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1.xml" ContentType="application/vnd.ms-excel.timelin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timelines/timeline2.xml" ContentType="application/vnd.ms-excel.timelin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adity\Downloads\"/>
    </mc:Choice>
  </mc:AlternateContent>
  <xr:revisionPtr revIDLastSave="0" documentId="13_ncr:1_{B3E7F2BB-885C-47F8-B8E6-0A5DDB6DCE83}" xr6:coauthVersionLast="47" xr6:coauthVersionMax="47" xr10:uidLastSave="{00000000-0000-0000-0000-000000000000}"/>
  <bookViews>
    <workbookView xWindow="0" yWindow="360" windowWidth="19420" windowHeight="10300" firstSheet="7" activeTab="7" xr2:uid="{00000000-000D-0000-FFFF-FFFF00000000}"/>
  </bookViews>
  <sheets>
    <sheet name="Best Plan" sheetId="14" r:id="rId1"/>
    <sheet name="male and female" sheetId="15" r:id="rId2"/>
    <sheet name="Membership by age group" sheetId="16" r:id="rId3"/>
    <sheet name="Revenue by plan type" sheetId="17" r:id="rId4"/>
    <sheet name="PT_Opted vs not opted" sheetId="18" r:id="rId5"/>
    <sheet name="Data" sheetId="1" r:id="rId6"/>
    <sheet name="Revenue by age group" sheetId="19" r:id="rId7"/>
    <sheet name="Dashboard" sheetId="11" r:id="rId8"/>
  </sheets>
  <definedNames>
    <definedName name="_xlchart.v2.0" hidden="1">'Revenue by age group'!$D$24:$D$26</definedName>
    <definedName name="_xlchart.v2.1" hidden="1">'Revenue by age group'!$E$23</definedName>
    <definedName name="_xlchart.v2.2" hidden="1">'Revenue by age group'!$E$24:$E$26</definedName>
    <definedName name="_xlchart.v2.3" hidden="1">'Revenue by age group'!$D$24:$D$26</definedName>
    <definedName name="_xlchart.v2.4" hidden="1">'Revenue by age group'!$E$23</definedName>
    <definedName name="_xlchart.v2.5" hidden="1">'Revenue by age group'!$E$24:$E$26</definedName>
    <definedName name="NativeTimeline_Join_Date">#N/A</definedName>
    <definedName name="Slicer_Gender">#N/A</definedName>
    <definedName name="Slicer_Group_Stage">#N/A</definedName>
    <definedName name="Slicer_Monthly_Fee">#N/A</definedName>
    <definedName name="Slicer_Plan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4" l="1"/>
  <c r="D25" i="19"/>
  <c r="D26" i="19"/>
  <c r="D24" i="19"/>
  <c r="P13" i="1"/>
  <c r="Q10" i="1"/>
  <c r="Q7" i="1"/>
  <c r="P5"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 i="1"/>
  <c r="E26" i="19"/>
  <c r="E24" i="19"/>
  <c r="B10" i="15"/>
  <c r="E25" i="19"/>
  <c r="B11" i="15"/>
  <c r="C11" i="15" l="1"/>
  <c r="C10" i="15"/>
  <c r="Q3" i="1"/>
  <c r="R2" i="1"/>
</calcChain>
</file>

<file path=xl/sharedStrings.xml><?xml version="1.0" encoding="utf-8"?>
<sst xmlns="http://schemas.openxmlformats.org/spreadsheetml/2006/main" count="8052" uniqueCount="36">
  <si>
    <t>member_id</t>
  </si>
  <si>
    <t>Age</t>
  </si>
  <si>
    <t>Gender</t>
  </si>
  <si>
    <t>Plan_Type</t>
  </si>
  <si>
    <t>Join_Date</t>
  </si>
  <si>
    <t>Last_Date</t>
  </si>
  <si>
    <t>Monthly_Fee</t>
  </si>
  <si>
    <t>PT_Opted</t>
  </si>
  <si>
    <t>Status</t>
  </si>
  <si>
    <t>M</t>
  </si>
  <si>
    <t>F</t>
  </si>
  <si>
    <t>Monthly</t>
  </si>
  <si>
    <t>Yearly</t>
  </si>
  <si>
    <t>Quarterly</t>
  </si>
  <si>
    <t>No</t>
  </si>
  <si>
    <t>Yes</t>
  </si>
  <si>
    <t>Active</t>
  </si>
  <si>
    <t>Inactive</t>
  </si>
  <si>
    <t>Total_Revenue</t>
  </si>
  <si>
    <t>Group_Stage</t>
  </si>
  <si>
    <t>Member_type</t>
  </si>
  <si>
    <t>Row Labels</t>
  </si>
  <si>
    <t>Grand Total</t>
  </si>
  <si>
    <t>Sum of Total_Revenue</t>
  </si>
  <si>
    <t>18-24</t>
  </si>
  <si>
    <t>25-34</t>
  </si>
  <si>
    <t>35+</t>
  </si>
  <si>
    <t>Count of member_id</t>
  </si>
  <si>
    <t>Month</t>
  </si>
  <si>
    <t>Sum of Monthly_Fee</t>
  </si>
  <si>
    <t>Female</t>
  </si>
  <si>
    <t>Male</t>
  </si>
  <si>
    <t>Count of Plan_Type</t>
  </si>
  <si>
    <t>monthly = 1200 &amp; 1700</t>
  </si>
  <si>
    <t>Quarterly = 1000 &amp; 1500</t>
  </si>
  <si>
    <t>Yearly = 800 &amp; 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</si>
</sst>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quot;₹&quot;\ #,##0"/>
    <numFmt numFmtId="166" formatCode="_ &quot;₹&quot;\ * #,##0_ ;_ &quot;₹&quot;\ * \-#,##0_ ;_ &quot;₹&quot;\ * &quot;-&quot;??_ ;_ @_ "/>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1" tint="0.34998626667073579"/>
      <name val="Calibri"/>
      <family val="2"/>
      <scheme val="minor"/>
    </font>
    <font>
      <sz val="11"/>
      <color theme="1" tint="0.34998626667073579"/>
      <name val="Lato black"/>
    </font>
  </fonts>
  <fills count="3">
    <fill>
      <patternFill patternType="none"/>
    </fill>
    <fill>
      <patternFill patternType="gray125"/>
    </fill>
    <fill>
      <patternFill patternType="solid">
        <fgColor theme="0"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166" fontId="0" fillId="0" borderId="0" xfId="1" applyNumberFormat="1" applyFont="1"/>
    <xf numFmtId="10" fontId="0" fillId="0" borderId="0" xfId="2" applyNumberFormat="1" applyFont="1"/>
    <xf numFmtId="0" fontId="3" fillId="2" borderId="0" xfId="0" applyFont="1" applyFill="1"/>
    <xf numFmtId="0" fontId="4" fillId="2" borderId="0" xfId="0" applyFont="1" applyFill="1"/>
    <xf numFmtId="0" fontId="0" fillId="0" borderId="0" xfId="0" applyNumberFormat="1"/>
  </cellXfs>
  <cellStyles count="3">
    <cellStyle name="Currency" xfId="1" builtinId="4"/>
    <cellStyle name="Normal" xfId="0" builtinId="0"/>
    <cellStyle name="Percent" xfId="2" builtinId="5"/>
  </cellStyles>
  <dxfs count="3">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E2C0E"/>
      <color rgb="FFC71209"/>
      <color rgb="FF9A27C3"/>
      <color rgb="FF1B81A1"/>
      <color rgb="FF876D63"/>
      <color rgb="FF452F8D"/>
      <color rgb="FF896F65"/>
      <color rgb="FFA936E2"/>
      <color rgb="FF1717A9"/>
      <color rgb="FFCA0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7-4C55-A976-D51831DC62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37-4C55-A976-D51831DC621F}"/>
              </c:ext>
            </c:extLst>
          </c:dPt>
          <c:val>
            <c:numRef>
              <c:f>'male and female'!$C$10:$C$11</c:f>
              <c:numCache>
                <c:formatCode>0.00%</c:formatCode>
                <c:ptCount val="2"/>
                <c:pt idx="0">
                  <c:v>0.36842105263157893</c:v>
                </c:pt>
                <c:pt idx="1">
                  <c:v>0.63157894736842102</c:v>
                </c:pt>
              </c:numCache>
            </c:numRef>
          </c:val>
          <c:extLst>
            <c:ext xmlns:c16="http://schemas.microsoft.com/office/drawing/2014/chart" uri="{C3380CC4-5D6E-409C-BE32-E72D297353CC}">
              <c16:uniqueId val="{00000000-A7C7-4FD1-92F5-34C2A19DC30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[Gym_Analytics_Dashboard.xlsx]Membership by age group!membership by age grp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'Membership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'Membership by age group'!$A$4:$A$7</c:f>
              <c:strCache>
                <c:ptCount val="3"/>
                <c:pt idx="0">
                  <c:v>18-24</c:v>
                </c:pt>
                <c:pt idx="1">
                  <c:v>25-34</c:v>
                </c:pt>
                <c:pt idx="2">
                  <c:v>35+</c:v>
                </c:pt>
              </c:strCache>
            </c:strRef>
          </c:cat>
          <c:val>
            <c:numRef>
              <c:f>'Membership by age group'!$B$4:$B$7</c:f>
              <c:numCache>
                <c:formatCode>General</c:formatCode>
                <c:ptCount val="3"/>
                <c:pt idx="0">
                  <c:v>6</c:v>
                </c:pt>
                <c:pt idx="1">
                  <c:v>13</c:v>
                </c:pt>
                <c:pt idx="2">
                  <c:v>19</c:v>
                </c:pt>
              </c:numCache>
            </c:numRef>
          </c:val>
          <c:extLst>
            <c:ext xmlns:c16="http://schemas.microsoft.com/office/drawing/2014/chart" uri="{C3380CC4-5D6E-409C-BE32-E72D297353CC}">
              <c16:uniqueId val="{00000000-EDD9-4B0B-BB18-79ACF9E31EB8}"/>
            </c:ext>
          </c:extLst>
        </c:ser>
        <c:dLbls>
          <c:dLblPos val="outEnd"/>
          <c:showLegendKey val="0"/>
          <c:showVal val="1"/>
          <c:showCatName val="0"/>
          <c:showSerName val="0"/>
          <c:showPercent val="0"/>
          <c:showBubbleSize val="0"/>
        </c:dLbls>
        <c:gapWidth val="182"/>
        <c:axId val="105623631"/>
        <c:axId val="105624591"/>
      </c:barChart>
      <c:catAx>
        <c:axId val="105623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24591"/>
        <c:crosses val="autoZero"/>
        <c:auto val="1"/>
        <c:lblAlgn val="ctr"/>
        <c:lblOffset val="100"/>
        <c:noMultiLvlLbl val="0"/>
      </c:catAx>
      <c:valAx>
        <c:axId val="105624591"/>
        <c:scaling>
          <c:orientation val="minMax"/>
        </c:scaling>
        <c:delete val="1"/>
        <c:axPos val="b"/>
        <c:numFmt formatCode="General" sourceLinked="1"/>
        <c:majorTickMark val="out"/>
        <c:minorTickMark val="none"/>
        <c:tickLblPos val="nextTo"/>
        <c:crossAx val="10562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[Gym_Analytics_Dashboard.xlsx]Revenue by plan type!revenue by plan type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plan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plan type'!$A$4:$A$10</c:f>
              <c:strCache>
                <c:ptCount val="6"/>
                <c:pt idx="0">
                  <c:v>800</c:v>
                </c:pt>
                <c:pt idx="1">
                  <c:v>1000</c:v>
                </c:pt>
                <c:pt idx="2">
                  <c:v>1200</c:v>
                </c:pt>
                <c:pt idx="3">
                  <c:v>1300</c:v>
                </c:pt>
                <c:pt idx="4">
                  <c:v>1500</c:v>
                </c:pt>
                <c:pt idx="5">
                  <c:v>1700</c:v>
                </c:pt>
              </c:strCache>
            </c:strRef>
          </c:cat>
          <c:val>
            <c:numRef>
              <c:f>'Revenue by plan type'!$B$4:$B$10</c:f>
              <c:numCache>
                <c:formatCode>General</c:formatCode>
                <c:ptCount val="6"/>
                <c:pt idx="0">
                  <c:v>182400</c:v>
                </c:pt>
                <c:pt idx="1">
                  <c:v>24000</c:v>
                </c:pt>
                <c:pt idx="2">
                  <c:v>27600</c:v>
                </c:pt>
                <c:pt idx="3">
                  <c:v>109200</c:v>
                </c:pt>
                <c:pt idx="4">
                  <c:v>63000</c:v>
                </c:pt>
                <c:pt idx="5">
                  <c:v>20400</c:v>
                </c:pt>
              </c:numCache>
            </c:numRef>
          </c:val>
          <c:extLst>
            <c:ext xmlns:c16="http://schemas.microsoft.com/office/drawing/2014/chart" uri="{C3380CC4-5D6E-409C-BE32-E72D297353CC}">
              <c16:uniqueId val="{00000000-0E0B-4BF9-993B-6D91C983CC2B}"/>
            </c:ext>
          </c:extLst>
        </c:ser>
        <c:dLbls>
          <c:dLblPos val="outEnd"/>
          <c:showLegendKey val="0"/>
          <c:showVal val="1"/>
          <c:showCatName val="0"/>
          <c:showSerName val="0"/>
          <c:showPercent val="0"/>
          <c:showBubbleSize val="0"/>
        </c:dLbls>
        <c:gapWidth val="219"/>
        <c:overlap val="-27"/>
        <c:axId val="105586671"/>
        <c:axId val="105580911"/>
      </c:barChart>
      <c:catAx>
        <c:axId val="10558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0911"/>
        <c:crosses val="autoZero"/>
        <c:auto val="1"/>
        <c:lblAlgn val="ctr"/>
        <c:lblOffset val="100"/>
        <c:noMultiLvlLbl val="0"/>
      </c:catAx>
      <c:valAx>
        <c:axId val="105580911"/>
        <c:scaling>
          <c:orientation val="minMax"/>
        </c:scaling>
        <c:delete val="1"/>
        <c:axPos val="l"/>
        <c:numFmt formatCode="General" sourceLinked="1"/>
        <c:majorTickMark val="none"/>
        <c:minorTickMark val="none"/>
        <c:tickLblPos val="nextTo"/>
        <c:crossAx val="10558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[Gym_Analytics_Dashboard.xlsx]PT_Opted vs not opted!pt opted bs not opted</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'PT_Opted vs not opted'!$B$3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95-4EFB-BB12-79B9D195D5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'PT_Opted vs not opted'!$A$4:$A$5</c:f>
              <c:strCache>
                <c:ptCount val="1"/>
                <c:pt idx="0">
                  <c:v>No</c:v>
                </c:pt>
              </c:strCache>
            </c:strRef>
          </c:cat>
          <c:val>
            <c:numRef>
              <c:f>'PT_Opted vs not opted'!$B$4:$B$5</c:f>
              <c:numCache>
                <c:formatCode>General</c:formatCode>
                <c:ptCount val="1"/>
                <c:pt idx="0">
                  <c:v>19</c:v>
                </c:pt>
              </c:numCache>
            </c:numRef>
          </c:val>
          <c:extLst>
            <c:ext xmlns:c16="http://schemas.microsoft.com/office/drawing/2014/chart" uri="{C3380CC4-5D6E-409C-BE32-E72D297353CC}">
              <c16:uniqueId val="{00000000-3CAE-4A6B-BEB5-CDADA44E6A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03567366579177"/>
          <c:y val="0.19965223097112866"/>
          <c:w val="0.15240100751094873"/>
          <c:h val="0.1336643018632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01A54"/>
                  </a:gs>
                  <a:gs pos="100000">
                    <a:srgbClr val="E78DD8"/>
                  </a:gs>
                </a:gsLst>
                <a:lin ang="10800000" scaled="0"/>
              </a:gradFill>
              <a:ln w="19050">
                <a:noFill/>
              </a:ln>
              <a:effectLst/>
            </c:spPr>
            <c:extLst>
              <c:ext xmlns:c16="http://schemas.microsoft.com/office/drawing/2014/chart" uri="{C3380CC4-5D6E-409C-BE32-E72D297353CC}">
                <c16:uniqueId val="{00000001-41F9-402D-9803-0369CE33E081}"/>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41F9-402D-9803-0369CE33E081}"/>
              </c:ext>
            </c:extLst>
          </c:dPt>
          <c:val>
            <c:numRef>
              <c:f>'male and female'!$C$10:$C$11</c:f>
              <c:numCache>
                <c:formatCode>0.00%</c:formatCode>
                <c:ptCount val="2"/>
                <c:pt idx="0">
                  <c:v>0.36842105263157893</c:v>
                </c:pt>
                <c:pt idx="1">
                  <c:v>0.63157894736842102</c:v>
                </c:pt>
              </c:numCache>
            </c:numRef>
          </c:val>
          <c:extLst>
            <c:ext xmlns:c16="http://schemas.microsoft.com/office/drawing/2014/chart" uri="{C3380CC4-5D6E-409C-BE32-E72D297353CC}">
              <c16:uniqueId val="{00000004-41F9-402D-9803-0369CE33E08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028E-48FD-9F17-E9105BBB2542}"/>
              </c:ext>
            </c:extLst>
          </c:dPt>
          <c:dPt>
            <c:idx val="1"/>
            <c:bubble3D val="0"/>
            <c:spPr>
              <a:gradFill>
                <a:gsLst>
                  <a:gs pos="0">
                    <a:srgbClr val="002060"/>
                  </a:gs>
                  <a:gs pos="100000">
                    <a:srgbClr val="00B0F0"/>
                  </a:gs>
                </a:gsLst>
                <a:lin ang="10800000" scaled="0"/>
              </a:gradFill>
              <a:ln w="19050">
                <a:solidFill>
                  <a:schemeClr val="lt1"/>
                </a:solidFill>
              </a:ln>
              <a:effectLst/>
            </c:spPr>
            <c:extLst>
              <c:ext xmlns:c16="http://schemas.microsoft.com/office/drawing/2014/chart" uri="{C3380CC4-5D6E-409C-BE32-E72D297353CC}">
                <c16:uniqueId val="{00000003-028E-48FD-9F17-E9105BBB2542}"/>
              </c:ext>
            </c:extLst>
          </c:dPt>
          <c:val>
            <c:numRef>
              <c:f>'male and female'!$C$10:$C$11</c:f>
              <c:numCache>
                <c:formatCode>0.00%</c:formatCode>
                <c:ptCount val="2"/>
                <c:pt idx="0">
                  <c:v>0.36842105263157893</c:v>
                </c:pt>
                <c:pt idx="1">
                  <c:v>0.63157894736842102</c:v>
                </c:pt>
              </c:numCache>
            </c:numRef>
          </c:val>
          <c:extLst>
            <c:ext xmlns:c16="http://schemas.microsoft.com/office/drawing/2014/chart" uri="{C3380CC4-5D6E-409C-BE32-E72D297353CC}">
              <c16:uniqueId val="{00000004-028E-48FD-9F17-E9105BBB25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[Gym_Analytics_Dashboard.xlsx]Membership by age group!membership by age grp</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2000">
                <a:schemeClr val="tx1">
                  <a:lumMod val="75000"/>
                  <a:lumOff val="25000"/>
                </a:schemeClr>
              </a:gs>
              <a:gs pos="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'Membership by age group'!$B$3</c:f>
              <c:strCache>
                <c:ptCount val="1"/>
                <c:pt idx="0">
                  <c:v>Total</c:v>
                </c:pt>
              </c:strCache>
            </c:strRef>
          </c:tx>
          <c:spPr>
            <a:gradFill>
              <a:gsLst>
                <a:gs pos="62000">
                  <a:schemeClr val="tx1">
                    <a:lumMod val="75000"/>
                    <a:lumOff val="25000"/>
                  </a:schemeClr>
                </a:gs>
                <a:gs pos="0">
                  <a:srgbClr val="C0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'Membership by age group'!$A$4:$A$7</c:f>
              <c:strCache>
                <c:ptCount val="3"/>
                <c:pt idx="0">
                  <c:v>18-24</c:v>
                </c:pt>
                <c:pt idx="1">
                  <c:v>25-34</c:v>
                </c:pt>
                <c:pt idx="2">
                  <c:v>35+</c:v>
                </c:pt>
              </c:strCache>
            </c:strRef>
          </c:cat>
          <c:val>
            <c:numRef>
              <c:f>'Membership by age group'!$B$4:$B$7</c:f>
              <c:numCache>
                <c:formatCode>General</c:formatCode>
                <c:ptCount val="3"/>
                <c:pt idx="0">
                  <c:v>6</c:v>
                </c:pt>
                <c:pt idx="1">
                  <c:v>13</c:v>
                </c:pt>
                <c:pt idx="2">
                  <c:v>19</c:v>
                </c:pt>
              </c:numCache>
            </c:numRef>
          </c:val>
          <c:extLst>
            <c:ext xmlns:c16="http://schemas.microsoft.com/office/drawing/2014/chart" uri="{C3380CC4-5D6E-409C-BE32-E72D297353CC}">
              <c16:uniqueId val="{00000000-9369-4018-ACE1-D7A80B5ACB7D}"/>
            </c:ext>
          </c:extLst>
        </c:ser>
        <c:dLbls>
          <c:dLblPos val="outEnd"/>
          <c:showLegendKey val="0"/>
          <c:showVal val="1"/>
          <c:showCatName val="0"/>
          <c:showSerName val="0"/>
          <c:showPercent val="0"/>
          <c:showBubbleSize val="0"/>
        </c:dLbls>
        <c:gapWidth val="182"/>
        <c:axId val="105623631"/>
        <c:axId val="105624591"/>
      </c:barChart>
      <c:catAx>
        <c:axId val="105623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Britannic Bold" panose="020B0903060703020204" pitchFamily="34" charset="0"/>
                <a:ea typeface="+mn-ea"/>
                <a:cs typeface="+mn-cs"/>
              </a:defRPr>
            </a:pPr>
            <a:endParaRPr lang="en-US"/>
          </a:p>
        </c:txPr>
        <c:crossAx val="105624591"/>
        <c:crosses val="autoZero"/>
        <c:auto val="1"/>
        <c:lblAlgn val="ctr"/>
        <c:lblOffset val="100"/>
        <c:noMultiLvlLbl val="0"/>
      </c:catAx>
      <c:valAx>
        <c:axId val="105624591"/>
        <c:scaling>
          <c:orientation val="minMax"/>
        </c:scaling>
        <c:delete val="1"/>
        <c:axPos val="b"/>
        <c:numFmt formatCode="General" sourceLinked="1"/>
        <c:majorTickMark val="out"/>
        <c:minorTickMark val="none"/>
        <c:tickLblPos val="nextTo"/>
        <c:crossAx val="10562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[Gym_Analytics_Dashboard.xlsx]Revenue by plan type!revenue by plan type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2000">
                <a:schemeClr val="tx1">
                  <a:lumMod val="75000"/>
                  <a:lumOff val="25000"/>
                </a:schemeClr>
              </a:gs>
              <a:gs pos="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plan type'!$B$3</c:f>
              <c:strCache>
                <c:ptCount val="1"/>
                <c:pt idx="0">
                  <c:v>Total</c:v>
                </c:pt>
              </c:strCache>
            </c:strRef>
          </c:tx>
          <c:spPr>
            <a:gradFill>
              <a:gsLst>
                <a:gs pos="62000">
                  <a:schemeClr val="tx1">
                    <a:lumMod val="75000"/>
                    <a:lumOff val="25000"/>
                  </a:schemeClr>
                </a:gs>
                <a:gs pos="0">
                  <a:srgbClr val="C0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plan type'!$A$4:$A$10</c:f>
              <c:strCache>
                <c:ptCount val="6"/>
                <c:pt idx="0">
                  <c:v>800</c:v>
                </c:pt>
                <c:pt idx="1">
                  <c:v>1000</c:v>
                </c:pt>
                <c:pt idx="2">
                  <c:v>1200</c:v>
                </c:pt>
                <c:pt idx="3">
                  <c:v>1300</c:v>
                </c:pt>
                <c:pt idx="4">
                  <c:v>1500</c:v>
                </c:pt>
                <c:pt idx="5">
                  <c:v>1700</c:v>
                </c:pt>
              </c:strCache>
            </c:strRef>
          </c:cat>
          <c:val>
            <c:numRef>
              <c:f>'Revenue by plan type'!$B$4:$B$10</c:f>
              <c:numCache>
                <c:formatCode>General</c:formatCode>
                <c:ptCount val="6"/>
                <c:pt idx="0">
                  <c:v>182400</c:v>
                </c:pt>
                <c:pt idx="1">
                  <c:v>24000</c:v>
                </c:pt>
                <c:pt idx="2">
                  <c:v>27600</c:v>
                </c:pt>
                <c:pt idx="3">
                  <c:v>109200</c:v>
                </c:pt>
                <c:pt idx="4">
                  <c:v>63000</c:v>
                </c:pt>
                <c:pt idx="5">
                  <c:v>20400</c:v>
                </c:pt>
              </c:numCache>
            </c:numRef>
          </c:val>
          <c:extLst>
            <c:ext xmlns:c16="http://schemas.microsoft.com/office/drawing/2014/chart" uri="{C3380CC4-5D6E-409C-BE32-E72D297353CC}">
              <c16:uniqueId val="{00000000-CA41-43CA-8FED-1E4F8565BE43}"/>
            </c:ext>
          </c:extLst>
        </c:ser>
        <c:dLbls>
          <c:dLblPos val="outEnd"/>
          <c:showLegendKey val="0"/>
          <c:showVal val="1"/>
          <c:showCatName val="0"/>
          <c:showSerName val="0"/>
          <c:showPercent val="0"/>
          <c:showBubbleSize val="0"/>
        </c:dLbls>
        <c:gapWidth val="219"/>
        <c:overlap val="-27"/>
        <c:axId val="105586671"/>
        <c:axId val="105580911"/>
      </c:barChart>
      <c:catAx>
        <c:axId val="10558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85000"/>
                    <a:lumOff val="15000"/>
                  </a:schemeClr>
                </a:solidFill>
                <a:latin typeface="Britannic Bold" panose="020B0903060703020204" pitchFamily="34" charset="0"/>
                <a:ea typeface="+mn-ea"/>
                <a:cs typeface="+mn-cs"/>
              </a:defRPr>
            </a:pPr>
            <a:endParaRPr lang="en-US"/>
          </a:p>
        </c:txPr>
        <c:crossAx val="105580911"/>
        <c:crosses val="autoZero"/>
        <c:auto val="1"/>
        <c:lblAlgn val="ctr"/>
        <c:lblOffset val="100"/>
        <c:noMultiLvlLbl val="0"/>
      </c:catAx>
      <c:valAx>
        <c:axId val="105580911"/>
        <c:scaling>
          <c:orientation val="minMax"/>
        </c:scaling>
        <c:delete val="1"/>
        <c:axPos val="l"/>
        <c:numFmt formatCode="General" sourceLinked="1"/>
        <c:majorTickMark val="none"/>
        <c:minorTickMark val="none"/>
        <c:tickLblPos val="nextTo"/>
        <c:crossAx val="10558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[Gym_Analytics_Dashboard.xlsx]PT_Opted vs not opted!pt opted bs not opted</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52000">
                <a:srgbClr val="452F8D"/>
              </a:gs>
              <a:gs pos="0">
                <a:srgbClr val="896F65"/>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2C0E"/>
                  </a:solidFill>
                  <a:latin typeface="Britannic Bold" panose="020B0903060703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56000">
                <a:schemeClr val="tx1">
                  <a:lumMod val="85000"/>
                  <a:lumOff val="15000"/>
                </a:schemeClr>
              </a:gs>
              <a:gs pos="0">
                <a:srgbClr val="C71209"/>
              </a:gs>
            </a:gsLst>
            <a:lin ang="5400000" scaled="1"/>
          </a:gradFill>
          <a:ln w="19050">
            <a:solidFill>
              <a:schemeClr val="lt1"/>
            </a:solidFill>
          </a:ln>
          <a:effectLst/>
        </c:spPr>
        <c:dLbl>
          <c:idx val="0"/>
          <c:layout>
            <c:manualLayout>
              <c:x val="0.17922759426783377"/>
              <c:y val="-7.1878801933146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2C0E"/>
                  </a:solidFill>
                  <a:latin typeface="Britannic Bold" panose="020B0903060703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52000">
                <a:schemeClr val="tx1">
                  <a:lumMod val="75000"/>
                  <a:lumOff val="25000"/>
                </a:schemeClr>
              </a:gs>
              <a:gs pos="0">
                <a:schemeClr val="bg2">
                  <a:lumMod val="50000"/>
                </a:schemeClr>
              </a:gs>
            </a:gsLst>
            <a:lin ang="5400000" scaled="1"/>
          </a:gradFill>
          <a:ln w="19050">
            <a:solidFill>
              <a:schemeClr val="lt1"/>
            </a:solidFill>
          </a:ln>
          <a:effectLst/>
        </c:spPr>
        <c:dLbl>
          <c:idx val="0"/>
          <c:layout>
            <c:manualLayout>
              <c:x val="0.20769951345003076"/>
              <c:y val="-5.8231135379097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2C0E"/>
                  </a:solidFill>
                  <a:latin typeface="Britannic Bold" panose="020B0903060703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1181609753593"/>
          <c:y val="8.3530877792911587E-2"/>
          <c:w val="0.46973808934566691"/>
          <c:h val="0.83293824441417674"/>
        </c:manualLayout>
      </c:layout>
      <c:pieChart>
        <c:varyColors val="1"/>
        <c:ser>
          <c:idx val="0"/>
          <c:order val="0"/>
          <c:tx>
            <c:strRef>
              <c:f>'PT_Opted vs not opted'!$B$3</c:f>
              <c:strCache>
                <c:ptCount val="1"/>
                <c:pt idx="0">
                  <c:v>Total</c:v>
                </c:pt>
              </c:strCache>
            </c:strRef>
          </c:tx>
          <c:spPr>
            <a:gradFill>
              <a:gsLst>
                <a:gs pos="52000">
                  <a:srgbClr val="452F8D"/>
                </a:gs>
                <a:gs pos="0">
                  <a:srgbClr val="896F65"/>
                </a:gs>
              </a:gsLst>
              <a:lin ang="5400000" scaled="1"/>
            </a:gradFill>
          </c:spPr>
          <c:dPt>
            <c:idx val="0"/>
            <c:bubble3D val="0"/>
            <c:spPr>
              <a:gradFill>
                <a:gsLst>
                  <a:gs pos="56000">
                    <a:schemeClr val="tx1">
                      <a:lumMod val="85000"/>
                      <a:lumOff val="15000"/>
                    </a:schemeClr>
                  </a:gs>
                  <a:gs pos="0">
                    <a:srgbClr val="C71209"/>
                  </a:gs>
                </a:gsLst>
                <a:lin ang="5400000" scaled="1"/>
              </a:gradFill>
              <a:ln w="19050">
                <a:solidFill>
                  <a:schemeClr val="lt1"/>
                </a:solidFill>
              </a:ln>
              <a:effectLst/>
            </c:spPr>
            <c:extLst>
              <c:ext xmlns:c16="http://schemas.microsoft.com/office/drawing/2014/chart" uri="{C3380CC4-5D6E-409C-BE32-E72D297353CC}">
                <c16:uniqueId val="{00000001-4420-48AE-AAAC-F8E044D70CFB}"/>
              </c:ext>
            </c:extLst>
          </c:dPt>
          <c:dPt>
            <c:idx val="1"/>
            <c:bubble3D val="0"/>
            <c:spPr>
              <a:gradFill>
                <a:gsLst>
                  <a:gs pos="52000">
                    <a:srgbClr val="452F8D"/>
                  </a:gs>
                  <a:gs pos="0">
                    <a:srgbClr val="896F65"/>
                  </a:gs>
                </a:gsLst>
                <a:lin ang="5400000" scaled="1"/>
              </a:gradFill>
              <a:ln w="19050">
                <a:solidFill>
                  <a:schemeClr val="lt1"/>
                </a:solidFill>
              </a:ln>
              <a:effectLst/>
            </c:spPr>
            <c:extLst>
              <c:ext xmlns:c16="http://schemas.microsoft.com/office/drawing/2014/chart" uri="{C3380CC4-5D6E-409C-BE32-E72D297353CC}">
                <c16:uniqueId val="{00000003-4420-48AE-AAAC-F8E044D70CFB}"/>
              </c:ext>
            </c:extLst>
          </c:dPt>
          <c:dLbls>
            <c:dLbl>
              <c:idx val="0"/>
              <c:layout>
                <c:manualLayout>
                  <c:x val="0.17922759426783377"/>
                  <c:y val="-7.18788019331463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20-48AE-AAAC-F8E044D70CF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2C0E"/>
                    </a:solidFill>
                    <a:latin typeface="Britannic Bold" panose="020B0903060703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'PT_Opted vs not opted'!$A$4:$A$5</c:f>
              <c:strCache>
                <c:ptCount val="1"/>
                <c:pt idx="0">
                  <c:v>No</c:v>
                </c:pt>
              </c:strCache>
            </c:strRef>
          </c:cat>
          <c:val>
            <c:numRef>
              <c:f>'PT_Opted vs not opted'!$B$4:$B$5</c:f>
              <c:numCache>
                <c:formatCode>General</c:formatCode>
                <c:ptCount val="1"/>
                <c:pt idx="0">
                  <c:v>19</c:v>
                </c:pt>
              </c:numCache>
            </c:numRef>
          </c:val>
          <c:extLst>
            <c:ext xmlns:c16="http://schemas.microsoft.com/office/drawing/2014/chart" uri="{C3380CC4-5D6E-409C-BE32-E72D297353CC}">
              <c16:uniqueId val="{00000004-4420-48AE-AAAC-F8E044D70C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03567366579177"/>
          <c:y val="0.19965223097112866"/>
          <c:w val="0.16294855794322541"/>
          <c:h val="0.26732860372651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B802512-8E1A-485E-835F-F63AABEEE172}">
          <cx:tx>
            <cx:txData>
              <cx:f>_xlchart.v2.1</cx:f>
              <cx:v>Monthly_Fee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B802512-8E1A-485E-835F-F63AABEEE172}">
          <cx:tx>
            <cx:txData>
              <cx:f>_xlchart.v2.4</cx:f>
              <cx:v>Monthly_Fee</cx:v>
            </cx:txData>
          </cx:tx>
          <cx:spPr>
            <a:gradFill>
              <a:gsLst>
                <a:gs pos="52000">
                  <a:schemeClr val="tx1">
                    <a:lumMod val="75000"/>
                    <a:lumOff val="25000"/>
                  </a:schemeClr>
                </a:gs>
                <a:gs pos="0">
                  <a:schemeClr val="bg2">
                    <a:lumMod val="50000"/>
                  </a:schemeClr>
                </a:gs>
              </a:gsLst>
              <a:lin ang="5400000" scaled="1"/>
            </a:gradFill>
          </cx:spPr>
          <cx:dataLabels>
            <cx:txPr>
              <a:bodyPr spcFirstLastPara="1" vertOverflow="ellipsis" horzOverflow="overflow" wrap="square" lIns="0" tIns="0" rIns="0" bIns="0" anchor="ctr" anchorCtr="1"/>
              <a:lstStyle/>
              <a:p>
                <a:pPr algn="ctr" rtl="0">
                  <a:defRPr>
                    <a:solidFill>
                      <a:schemeClr val="accent1">
                        <a:lumMod val="60000"/>
                        <a:lumOff val="40000"/>
                      </a:schemeClr>
                    </a:solidFill>
                    <a:latin typeface="Britannic Bold" panose="020B0903060703020204" pitchFamily="34" charset="0"/>
                    <a:ea typeface="Britannic Bold" panose="020B0903060703020204" pitchFamily="34" charset="0"/>
                    <a:cs typeface="Britannic Bold" panose="020B0903060703020204" pitchFamily="34" charset="0"/>
                  </a:defRPr>
                </a:pPr>
                <a:endParaRPr lang="en-US" sz="900" b="0" i="0" u="none" strike="noStrike" baseline="0">
                  <a:solidFill>
                    <a:schemeClr val="accent1">
                      <a:lumMod val="60000"/>
                      <a:lumOff val="40000"/>
                    </a:schemeClr>
                  </a:solidFill>
                  <a:latin typeface="Britannic Bold" panose="020B0903060703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Britannic Bold" panose="020B0903060703020204" pitchFamily="34" charset="0"/>
                <a:ea typeface="Britannic Bold" panose="020B0903060703020204" pitchFamily="34" charset="0"/>
                <a:cs typeface="Britannic Bold" panose="020B0903060703020204" pitchFamily="34" charset="0"/>
              </a:defRPr>
            </a:pPr>
            <a:endParaRPr lang="en-US" sz="900" b="1" i="0" u="none" strike="noStrike" baseline="0">
              <a:solidFill>
                <a:sysClr val="windowText" lastClr="000000">
                  <a:lumMod val="65000"/>
                  <a:lumOff val="35000"/>
                </a:sysClr>
              </a:solidFill>
              <a:latin typeface="Britannic Bold" panose="020B0903060703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11.sv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0.png"/><Relationship Id="rId17" Type="http://schemas.microsoft.com/office/2014/relationships/chartEx" Target="../charts/chartEx2.xml"/><Relationship Id="rId2" Type="http://schemas.openxmlformats.org/officeDocument/2006/relationships/image" Target="../media/image2.jpe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9.svg"/><Relationship Id="rId5" Type="http://schemas.openxmlformats.org/officeDocument/2006/relationships/image" Target="../media/image5.jpeg"/><Relationship Id="rId15" Type="http://schemas.openxmlformats.org/officeDocument/2006/relationships/chart" Target="../charts/chart8.xml"/><Relationship Id="rId10" Type="http://schemas.openxmlformats.org/officeDocument/2006/relationships/image" Target="../media/image8.png"/><Relationship Id="rId4" Type="http://schemas.openxmlformats.org/officeDocument/2006/relationships/image" Target="../media/image4.jpeg"/><Relationship Id="rId9" Type="http://schemas.openxmlformats.org/officeDocument/2006/relationships/chart" Target="../charts/chart6.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xdr:colOff>
      <xdr:row>13</xdr:row>
      <xdr:rowOff>0</xdr:rowOff>
    </xdr:from>
    <xdr:to>
      <xdr:col>2</xdr:col>
      <xdr:colOff>28865</xdr:colOff>
      <xdr:row>21</xdr:row>
      <xdr:rowOff>1</xdr:rowOff>
    </xdr:to>
    <xdr:graphicFrame macro="">
      <xdr:nvGraphicFramePr>
        <xdr:cNvPr id="6" name="Chart 5">
          <a:extLst>
            <a:ext uri="{FF2B5EF4-FFF2-40B4-BE49-F238E27FC236}">
              <a16:creationId xmlns:a16="http://schemas.microsoft.com/office/drawing/2014/main" id="{A52AB291-D37C-16A1-91B9-365A7B702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83319</xdr:colOff>
      <xdr:row>8</xdr:row>
      <xdr:rowOff>61576</xdr:rowOff>
    </xdr:from>
    <xdr:to>
      <xdr:col>8</xdr:col>
      <xdr:colOff>593181</xdr:colOff>
      <xdr:row>13</xdr:row>
      <xdr:rowOff>11561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59F21E8-D4C1-2240-8B4E-9CD63319F5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40154" y="1540563"/>
              <a:ext cx="1120749" cy="874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328661</xdr:colOff>
      <xdr:row>8</xdr:row>
      <xdr:rowOff>27903</xdr:rowOff>
    </xdr:from>
    <xdr:to>
      <xdr:col>13</xdr:col>
      <xdr:colOff>339053</xdr:colOff>
      <xdr:row>21</xdr:row>
      <xdr:rowOff>175588</xdr:rowOff>
    </xdr:to>
    <mc:AlternateContent xmlns:mc="http://schemas.openxmlformats.org/markup-compatibility/2006" xmlns:a14="http://schemas.microsoft.com/office/drawing/2010/main">
      <mc:Choice Requires="a14">
        <xdr:graphicFrame macro="">
          <xdr:nvGraphicFramePr>
            <xdr:cNvPr id="3" name="Plan_Type">
              <a:extLst>
                <a:ext uri="{FF2B5EF4-FFF2-40B4-BE49-F238E27FC236}">
                  <a16:creationId xmlns:a16="http://schemas.microsoft.com/office/drawing/2014/main" id="{3FBB340D-D1DB-075A-7276-CDD57F83B80A}"/>
                </a:ext>
              </a:extLst>
            </xdr:cNvPr>
            <xdr:cNvGraphicFramePr/>
          </xdr:nvGraphicFramePr>
          <xdr:xfrm>
            <a:off x="0" y="0"/>
            <a:ext cx="0" cy="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7418155" y="1506890"/>
              <a:ext cx="1843050" cy="255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2</xdr:row>
      <xdr:rowOff>15875</xdr:rowOff>
    </xdr:from>
    <xdr:to>
      <xdr:col>7</xdr:col>
      <xdr:colOff>400050</xdr:colOff>
      <xdr:row>9</xdr:row>
      <xdr:rowOff>44450</xdr:rowOff>
    </xdr:to>
    <xdr:graphicFrame macro="">
      <xdr:nvGraphicFramePr>
        <xdr:cNvPr id="2" name="Chart 1">
          <a:extLst>
            <a:ext uri="{FF2B5EF4-FFF2-40B4-BE49-F238E27FC236}">
              <a16:creationId xmlns:a16="http://schemas.microsoft.com/office/drawing/2014/main" id="{FA4F138F-01C3-BFE9-7B5F-83C92D056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508000</xdr:colOff>
      <xdr:row>1</xdr:row>
      <xdr:rowOff>174625</xdr:rowOff>
    </xdr:from>
    <xdr:to>
      <xdr:col>7</xdr:col>
      <xdr:colOff>146050</xdr:colOff>
      <xdr:row>11</xdr:row>
      <xdr:rowOff>127000</xdr:rowOff>
    </xdr:to>
    <xdr:graphicFrame macro="">
      <xdr:nvGraphicFramePr>
        <xdr:cNvPr id="2" name="Chart 1">
          <a:extLst>
            <a:ext uri="{FF2B5EF4-FFF2-40B4-BE49-F238E27FC236}">
              <a16:creationId xmlns:a16="http://schemas.microsoft.com/office/drawing/2014/main" id="{231CD4CA-A0FE-15C0-E675-5A06D1498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546100</xdr:colOff>
      <xdr:row>2</xdr:row>
      <xdr:rowOff>85725</xdr:rowOff>
    </xdr:from>
    <xdr:to>
      <xdr:col>6</xdr:col>
      <xdr:colOff>311150</xdr:colOff>
      <xdr:row>11</xdr:row>
      <xdr:rowOff>31750</xdr:rowOff>
    </xdr:to>
    <xdr:graphicFrame macro="">
      <xdr:nvGraphicFramePr>
        <xdr:cNvPr id="3" name="Chart 2">
          <a:extLst>
            <a:ext uri="{FF2B5EF4-FFF2-40B4-BE49-F238E27FC236}">
              <a16:creationId xmlns:a16="http://schemas.microsoft.com/office/drawing/2014/main" id="{0104D0D9-699A-B129-5E42-6C7BCA1E0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25399</xdr:colOff>
      <xdr:row>11</xdr:row>
      <xdr:rowOff>50800</xdr:rowOff>
    </xdr:from>
    <xdr:to>
      <xdr:col>9</xdr:col>
      <xdr:colOff>393700</xdr:colOff>
      <xdr:row>20</xdr:row>
      <xdr:rowOff>107950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80D2CA0-53E8-CFDF-E38E-361803A62E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51349" y="2076450"/>
              <a:ext cx="2806701" cy="1714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1225550</xdr:colOff>
      <xdr:row>29</xdr:row>
      <xdr:rowOff>19050</xdr:rowOff>
    </xdr:from>
    <xdr:to>
      <xdr:col>6</xdr:col>
      <xdr:colOff>438149</xdr:colOff>
      <xdr:row>36</xdr:row>
      <xdr:rowOff>101600</xdr:rowOff>
    </xdr:to>
    <mc:AlternateContent xmlns:mc="http://schemas.openxmlformats.org/markup-compatibility/2006" xmlns:tsle="http://schemas.microsoft.com/office/drawing/2012/timeslicer">
      <mc:Choice Requires="tsle">
        <xdr:graphicFrame macro="">
          <xdr:nvGraphicFramePr>
            <xdr:cNvPr id="5" name="Join_Date">
              <a:extLst>
                <a:ext uri="{FF2B5EF4-FFF2-40B4-BE49-F238E27FC236}">
                  <a16:creationId xmlns:a16="http://schemas.microsoft.com/office/drawing/2014/main" id="{D1A830CB-20AB-F5F0-DAD7-A9254550A9ED}"/>
                </a:ext>
              </a:extLst>
            </xdr:cNvPr>
            <xdr:cNvGraphicFramePr/>
          </xdr:nvGraphicFramePr>
          <xdr:xfrm>
            <a:off x="0" y="0"/>
            <a:ext cx="0" cy="0"/>
          </xdr:xfrm>
          <a:graphic>
            <a:graphicData uri="http://schemas.microsoft.com/office/drawing/2012/timeslicer">
              <tsle:timeslicer name="Join_Date"/>
            </a:graphicData>
          </a:graphic>
        </xdr:graphicFrame>
      </mc:Choice>
      <mc:Fallback xmlns="">
        <xdr:sp macro="" textlink="">
          <xdr:nvSpPr>
            <xdr:cNvPr id="0" name=""/>
            <xdr:cNvSpPr>
              <a:spLocks noTextEdit="1"/>
            </xdr:cNvSpPr>
          </xdr:nvSpPr>
          <xdr:spPr>
            <a:xfrm>
              <a:off x="2141764" y="5280479"/>
              <a:ext cx="3331028" cy="1352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0</xdr:colOff>
      <xdr:row>28</xdr:row>
      <xdr:rowOff>152400</xdr:rowOff>
    </xdr:from>
    <xdr:to>
      <xdr:col>13</xdr:col>
      <xdr:colOff>607390</xdr:colOff>
      <xdr:row>42</xdr:row>
      <xdr:rowOff>98425</xdr:rowOff>
    </xdr:to>
    <mc:AlternateContent xmlns:mc="http://schemas.openxmlformats.org/markup-compatibility/2006" xmlns:a14="http://schemas.microsoft.com/office/drawing/2010/main">
      <mc:Choice Requires="a14">
        <xdr:graphicFrame macro="">
          <xdr:nvGraphicFramePr>
            <xdr:cNvPr id="7" name="Gender 2">
              <a:extLst>
                <a:ext uri="{FF2B5EF4-FFF2-40B4-BE49-F238E27FC236}">
                  <a16:creationId xmlns:a16="http://schemas.microsoft.com/office/drawing/2014/main" id="{D352EF27-DF79-71A3-529E-5B840F72EAF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073571" y="5232400"/>
              <a:ext cx="1822962"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196850</xdr:colOff>
      <xdr:row>29</xdr:row>
      <xdr:rowOff>158750</xdr:rowOff>
    </xdr:from>
    <xdr:to>
      <xdr:col>1</xdr:col>
      <xdr:colOff>1110315</xdr:colOff>
      <xdr:row>43</xdr:row>
      <xdr:rowOff>104775</xdr:rowOff>
    </xdr:to>
    <mc:AlternateContent xmlns:mc="http://schemas.openxmlformats.org/markup-compatibility/2006" xmlns:a14="http://schemas.microsoft.com/office/drawing/2010/main">
      <mc:Choice Requires="a14">
        <xdr:graphicFrame macro="">
          <xdr:nvGraphicFramePr>
            <xdr:cNvPr id="8" name="Group_Stage">
              <a:extLst>
                <a:ext uri="{FF2B5EF4-FFF2-40B4-BE49-F238E27FC236}">
                  <a16:creationId xmlns:a16="http://schemas.microsoft.com/office/drawing/2014/main" id="{DD1895E6-8BE9-E1C2-F13B-D3CDB2B9851E}"/>
                </a:ext>
              </a:extLst>
            </xdr:cNvPr>
            <xdr:cNvGraphicFramePr/>
          </xdr:nvGraphicFramePr>
          <xdr:xfrm>
            <a:off x="0" y="0"/>
            <a:ext cx="0" cy="0"/>
          </xdr:xfrm>
          <a:graphic>
            <a:graphicData uri="http://schemas.microsoft.com/office/drawing/2010/slicer">
              <sle:slicer xmlns:sle="http://schemas.microsoft.com/office/drawing/2010/slicer" name="Group_Stage"/>
            </a:graphicData>
          </a:graphic>
        </xdr:graphicFrame>
      </mc:Choice>
      <mc:Fallback xmlns="">
        <xdr:sp macro="" textlink="">
          <xdr:nvSpPr>
            <xdr:cNvPr id="0" name=""/>
            <xdr:cNvSpPr>
              <a:spLocks noTextEdit="1"/>
            </xdr:cNvSpPr>
          </xdr:nvSpPr>
          <xdr:spPr>
            <a:xfrm>
              <a:off x="196850" y="5420179"/>
              <a:ext cx="1829679"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342899</xdr:colOff>
      <xdr:row>5</xdr:row>
      <xdr:rowOff>55336</xdr:rowOff>
    </xdr:from>
    <xdr:to>
      <xdr:col>15</xdr:col>
      <xdr:colOff>348342</xdr:colOff>
      <xdr:row>16</xdr:row>
      <xdr:rowOff>90715</xdr:rowOff>
    </xdr:to>
    <mc:AlternateContent xmlns:mc="http://schemas.openxmlformats.org/markup-compatibility/2006" xmlns:a14="http://schemas.microsoft.com/office/drawing/2010/main">
      <mc:Choice Requires="a14">
        <xdr:graphicFrame macro="">
          <xdr:nvGraphicFramePr>
            <xdr:cNvPr id="11" name="Monthly_Fee">
              <a:extLst>
                <a:ext uri="{FF2B5EF4-FFF2-40B4-BE49-F238E27FC236}">
                  <a16:creationId xmlns:a16="http://schemas.microsoft.com/office/drawing/2014/main" id="{5D1D30F9-67A3-057C-C75B-787B884740ED}"/>
                </a:ext>
              </a:extLst>
            </xdr:cNvPr>
            <xdr:cNvGraphicFramePr/>
          </xdr:nvGraphicFramePr>
          <xdr:xfrm>
            <a:off x="0" y="0"/>
            <a:ext cx="0" cy="0"/>
          </xdr:xfrm>
          <a:graphic>
            <a:graphicData uri="http://schemas.microsoft.com/office/drawing/2010/slicer">
              <sle:slicer xmlns:sle="http://schemas.microsoft.com/office/drawing/2010/slicer" name="Monthly_Fee"/>
            </a:graphicData>
          </a:graphic>
        </xdr:graphicFrame>
      </mc:Choice>
      <mc:Fallback xmlns="">
        <xdr:sp macro="" textlink="">
          <xdr:nvSpPr>
            <xdr:cNvPr id="0" name=""/>
            <xdr:cNvSpPr>
              <a:spLocks noTextEdit="1"/>
            </xdr:cNvSpPr>
          </xdr:nvSpPr>
          <xdr:spPr>
            <a:xfrm>
              <a:off x="9024256" y="962479"/>
              <a:ext cx="1828800" cy="2031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610258</xdr:colOff>
      <xdr:row>2</xdr:row>
      <xdr:rowOff>181428</xdr:rowOff>
    </xdr:from>
    <xdr:to>
      <xdr:col>27</xdr:col>
      <xdr:colOff>110555</xdr:colOff>
      <xdr:row>27</xdr:row>
      <xdr:rowOff>57727</xdr:rowOff>
    </xdr:to>
    <xdr:pic>
      <xdr:nvPicPr>
        <xdr:cNvPr id="7" name="Picture 6">
          <a:extLst>
            <a:ext uri="{FF2B5EF4-FFF2-40B4-BE49-F238E27FC236}">
              <a16:creationId xmlns:a16="http://schemas.microsoft.com/office/drawing/2014/main" id="{C7185E9E-6528-CE06-F406-C1122959C1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66885" y="548657"/>
          <a:ext cx="8068971" cy="4512564"/>
        </a:xfrm>
        <a:prstGeom prst="rect">
          <a:avLst/>
        </a:prstGeom>
      </xdr:spPr>
    </xdr:pic>
    <xdr:clientData/>
  </xdr:twoCellAnchor>
  <xdr:twoCellAnchor editAs="oneCell">
    <xdr:from>
      <xdr:col>14</xdr:col>
      <xdr:colOff>51561</xdr:colOff>
      <xdr:row>3</xdr:row>
      <xdr:rowOff>59699</xdr:rowOff>
    </xdr:from>
    <xdr:to>
      <xdr:col>16</xdr:col>
      <xdr:colOff>240897</xdr:colOff>
      <xdr:row>6</xdr:row>
      <xdr:rowOff>37829</xdr:rowOff>
    </xdr:to>
    <xdr:pic>
      <xdr:nvPicPr>
        <xdr:cNvPr id="9" name="Picture 8">
          <a:extLst>
            <a:ext uri="{FF2B5EF4-FFF2-40B4-BE49-F238E27FC236}">
              <a16:creationId xmlns:a16="http://schemas.microsoft.com/office/drawing/2014/main" id="{136C855F-924B-473A-B5CD-E8CFB63CB2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85961" y="612149"/>
          <a:ext cx="1408536" cy="574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426047</xdr:colOff>
      <xdr:row>3</xdr:row>
      <xdr:rowOff>119020</xdr:rowOff>
    </xdr:from>
    <xdr:to>
      <xdr:col>26</xdr:col>
      <xdr:colOff>138397</xdr:colOff>
      <xdr:row>6</xdr:row>
      <xdr:rowOff>21708</xdr:rowOff>
    </xdr:to>
    <xdr:sp macro="" textlink="">
      <xdr:nvSpPr>
        <xdr:cNvPr id="10" name="TextBox 9">
          <a:extLst>
            <a:ext uri="{FF2B5EF4-FFF2-40B4-BE49-F238E27FC236}">
              <a16:creationId xmlns:a16="http://schemas.microsoft.com/office/drawing/2014/main" id="{1B737167-113D-4FB4-8FD5-E6837C241343}"/>
            </a:ext>
          </a:extLst>
        </xdr:cNvPr>
        <xdr:cNvSpPr txBox="1"/>
      </xdr:nvSpPr>
      <xdr:spPr>
        <a:xfrm>
          <a:off x="10179647" y="671470"/>
          <a:ext cx="5808350" cy="455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4">
                  <a:lumMod val="50000"/>
                </a:schemeClr>
              </a:solidFill>
              <a:latin typeface="Britannic Bold" panose="020B0903060703020204" pitchFamily="34" charset="0"/>
            </a:rPr>
            <a:t>GYM ANALYTICS DASHBOARD</a:t>
          </a:r>
        </a:p>
      </xdr:txBody>
    </xdr:sp>
    <xdr:clientData/>
  </xdr:twoCellAnchor>
  <xdr:twoCellAnchor>
    <xdr:from>
      <xdr:col>14</xdr:col>
      <xdr:colOff>191</xdr:colOff>
      <xdr:row>6</xdr:row>
      <xdr:rowOff>102892</xdr:rowOff>
    </xdr:from>
    <xdr:to>
      <xdr:col>16</xdr:col>
      <xdr:colOff>38183</xdr:colOff>
      <xdr:row>7</xdr:row>
      <xdr:rowOff>158225</xdr:rowOff>
    </xdr:to>
    <xdr:sp macro="" textlink="">
      <xdr:nvSpPr>
        <xdr:cNvPr id="11" name="TextBox 10">
          <a:extLst>
            <a:ext uri="{FF2B5EF4-FFF2-40B4-BE49-F238E27FC236}">
              <a16:creationId xmlns:a16="http://schemas.microsoft.com/office/drawing/2014/main" id="{2212D6DF-BE1D-4B81-856E-A4741FFD6214}"/>
            </a:ext>
          </a:extLst>
        </xdr:cNvPr>
        <xdr:cNvSpPr txBox="1"/>
      </xdr:nvSpPr>
      <xdr:spPr>
        <a:xfrm>
          <a:off x="8568866" y="1250482"/>
          <a:ext cx="1262088" cy="23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TOTAL MEMBERS</a:t>
          </a:r>
        </a:p>
      </xdr:txBody>
    </xdr:sp>
    <xdr:clientData/>
  </xdr:twoCellAnchor>
  <xdr:twoCellAnchor>
    <xdr:from>
      <xdr:col>19</xdr:col>
      <xdr:colOff>72760</xdr:colOff>
      <xdr:row>6</xdr:row>
      <xdr:rowOff>118854</xdr:rowOff>
    </xdr:from>
    <xdr:to>
      <xdr:col>21</xdr:col>
      <xdr:colOff>502708</xdr:colOff>
      <xdr:row>7</xdr:row>
      <xdr:rowOff>142263</xdr:rowOff>
    </xdr:to>
    <xdr:sp macro="" textlink="">
      <xdr:nvSpPr>
        <xdr:cNvPr id="12" name="TextBox 11">
          <a:extLst>
            <a:ext uri="{FF2B5EF4-FFF2-40B4-BE49-F238E27FC236}">
              <a16:creationId xmlns:a16="http://schemas.microsoft.com/office/drawing/2014/main" id="{C4A12C7B-F659-4176-99DE-C78D705D9F23}"/>
            </a:ext>
          </a:extLst>
        </xdr:cNvPr>
        <xdr:cNvSpPr txBox="1"/>
      </xdr:nvSpPr>
      <xdr:spPr>
        <a:xfrm>
          <a:off x="11701676" y="1266444"/>
          <a:ext cx="1654044" cy="2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ACTIVE</a:t>
          </a:r>
          <a:r>
            <a:rPr lang="en-IN" sz="1100" b="1" baseline="0">
              <a:solidFill>
                <a:schemeClr val="accent2">
                  <a:lumMod val="75000"/>
                </a:schemeClr>
              </a:solidFill>
              <a:latin typeface="Britannic Bold" panose="020B0903060703020204" pitchFamily="34" charset="0"/>
            </a:rPr>
            <a:t> MEMBERS</a:t>
          </a:r>
          <a:endParaRPr lang="en-IN" sz="1100" b="1">
            <a:solidFill>
              <a:schemeClr val="accent2">
                <a:lumMod val="75000"/>
              </a:schemeClr>
            </a:solidFill>
            <a:latin typeface="Britannic Bold" panose="020B0903060703020204" pitchFamily="34" charset="0"/>
          </a:endParaRPr>
        </a:p>
      </xdr:txBody>
    </xdr:sp>
    <xdr:clientData/>
  </xdr:twoCellAnchor>
  <xdr:twoCellAnchor>
    <xdr:from>
      <xdr:col>16</xdr:col>
      <xdr:colOff>327318</xdr:colOff>
      <xdr:row>6</xdr:row>
      <xdr:rowOff>135986</xdr:rowOff>
    </xdr:from>
    <xdr:to>
      <xdr:col>18</xdr:col>
      <xdr:colOff>571729</xdr:colOff>
      <xdr:row>7</xdr:row>
      <xdr:rowOff>125132</xdr:rowOff>
    </xdr:to>
    <xdr:sp macro="" textlink="">
      <xdr:nvSpPr>
        <xdr:cNvPr id="13" name="TextBox 12">
          <a:extLst>
            <a:ext uri="{FF2B5EF4-FFF2-40B4-BE49-F238E27FC236}">
              <a16:creationId xmlns:a16="http://schemas.microsoft.com/office/drawing/2014/main" id="{939C441F-F9D3-415D-8321-1C93E1A475DC}"/>
            </a:ext>
          </a:extLst>
        </xdr:cNvPr>
        <xdr:cNvSpPr txBox="1"/>
      </xdr:nvSpPr>
      <xdr:spPr>
        <a:xfrm>
          <a:off x="10120089" y="1283576"/>
          <a:ext cx="1468507" cy="172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TOTAL</a:t>
          </a:r>
          <a:r>
            <a:rPr lang="en-IN" sz="1100" b="1" baseline="0">
              <a:solidFill>
                <a:schemeClr val="accent2">
                  <a:lumMod val="75000"/>
                </a:schemeClr>
              </a:solidFill>
              <a:latin typeface="Britannic Bold" panose="020B0903060703020204" pitchFamily="34" charset="0"/>
            </a:rPr>
            <a:t> REVENUE</a:t>
          </a:r>
          <a:endParaRPr lang="en-IN" sz="1100" b="1">
            <a:solidFill>
              <a:schemeClr val="accent2">
                <a:lumMod val="75000"/>
              </a:schemeClr>
            </a:solidFill>
            <a:latin typeface="Britannic Bold" panose="020B0903060703020204" pitchFamily="34" charset="0"/>
          </a:endParaRPr>
        </a:p>
      </xdr:txBody>
    </xdr:sp>
    <xdr:clientData/>
  </xdr:twoCellAnchor>
  <xdr:twoCellAnchor>
    <xdr:from>
      <xdr:col>22</xdr:col>
      <xdr:colOff>107864</xdr:colOff>
      <xdr:row>6</xdr:row>
      <xdr:rowOff>144165</xdr:rowOff>
    </xdr:from>
    <xdr:to>
      <xdr:col>24</xdr:col>
      <xdr:colOff>221839</xdr:colOff>
      <xdr:row>7</xdr:row>
      <xdr:rowOff>132254</xdr:rowOff>
    </xdr:to>
    <xdr:sp macro="" textlink="">
      <xdr:nvSpPr>
        <xdr:cNvPr id="14" name="TextBox 13">
          <a:extLst>
            <a:ext uri="{FF2B5EF4-FFF2-40B4-BE49-F238E27FC236}">
              <a16:creationId xmlns:a16="http://schemas.microsoft.com/office/drawing/2014/main" id="{0A42B872-2588-480D-B6DD-31E3460D884B}"/>
            </a:ext>
          </a:extLst>
        </xdr:cNvPr>
        <xdr:cNvSpPr txBox="1"/>
      </xdr:nvSpPr>
      <xdr:spPr>
        <a:xfrm>
          <a:off x="13572924" y="1291755"/>
          <a:ext cx="1338072" cy="17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ATTRITION</a:t>
          </a:r>
          <a:r>
            <a:rPr lang="en-IN" sz="1100" b="1" baseline="0">
              <a:solidFill>
                <a:schemeClr val="accent2">
                  <a:lumMod val="75000"/>
                </a:schemeClr>
              </a:solidFill>
              <a:latin typeface="Britannic Bold" panose="020B0903060703020204" pitchFamily="34" charset="0"/>
            </a:rPr>
            <a:t> RATE</a:t>
          </a:r>
          <a:endParaRPr lang="en-IN" sz="1100" b="1">
            <a:solidFill>
              <a:schemeClr val="accent2">
                <a:lumMod val="75000"/>
              </a:schemeClr>
            </a:solidFill>
            <a:latin typeface="Britannic Bold" panose="020B0903060703020204" pitchFamily="34" charset="0"/>
          </a:endParaRPr>
        </a:p>
      </xdr:txBody>
    </xdr:sp>
    <xdr:clientData/>
  </xdr:twoCellAnchor>
  <xdr:twoCellAnchor>
    <xdr:from>
      <xdr:col>24</xdr:col>
      <xdr:colOff>534424</xdr:colOff>
      <xdr:row>6</xdr:row>
      <xdr:rowOff>131758</xdr:rowOff>
    </xdr:from>
    <xdr:to>
      <xdr:col>26</xdr:col>
      <xdr:colOff>447586</xdr:colOff>
      <xdr:row>7</xdr:row>
      <xdr:rowOff>114419</xdr:rowOff>
    </xdr:to>
    <xdr:sp macro="" textlink="">
      <xdr:nvSpPr>
        <xdr:cNvPr id="15" name="TextBox 14">
          <a:extLst>
            <a:ext uri="{FF2B5EF4-FFF2-40B4-BE49-F238E27FC236}">
              <a16:creationId xmlns:a16="http://schemas.microsoft.com/office/drawing/2014/main" id="{8FCA28DC-5436-4B09-BCA5-D9E1BA302A4E}"/>
            </a:ext>
          </a:extLst>
        </xdr:cNvPr>
        <xdr:cNvSpPr txBox="1"/>
      </xdr:nvSpPr>
      <xdr:spPr>
        <a:xfrm>
          <a:off x="15236542" y="1297170"/>
          <a:ext cx="1138338" cy="169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BEST PLAN</a:t>
          </a:r>
        </a:p>
      </xdr:txBody>
    </xdr:sp>
    <xdr:clientData/>
  </xdr:twoCellAnchor>
  <xdr:twoCellAnchor>
    <xdr:from>
      <xdr:col>14</xdr:col>
      <xdr:colOff>211667</xdr:colOff>
      <xdr:row>7</xdr:row>
      <xdr:rowOff>157585</xdr:rowOff>
    </xdr:from>
    <xdr:to>
      <xdr:col>16</xdr:col>
      <xdr:colOff>68480</xdr:colOff>
      <xdr:row>9</xdr:row>
      <xdr:rowOff>120231</xdr:rowOff>
    </xdr:to>
    <xdr:sp macro="" textlink="Data!P5">
      <xdr:nvSpPr>
        <xdr:cNvPr id="17" name="TextBox 16">
          <a:extLst>
            <a:ext uri="{FF2B5EF4-FFF2-40B4-BE49-F238E27FC236}">
              <a16:creationId xmlns:a16="http://schemas.microsoft.com/office/drawing/2014/main" id="{42C9F887-A4C4-A894-0E8C-AA58BEEF7E29}"/>
            </a:ext>
          </a:extLst>
        </xdr:cNvPr>
        <xdr:cNvSpPr txBox="1"/>
      </xdr:nvSpPr>
      <xdr:spPr>
        <a:xfrm>
          <a:off x="8780342" y="1488790"/>
          <a:ext cx="1080909" cy="32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41F9BE-403D-4157-B691-82EE5DD9096D}" type="TxLink">
            <a:rPr lang="en-US" sz="2400" b="1" i="0" u="none" strike="noStrike">
              <a:solidFill>
                <a:srgbClr val="002060"/>
              </a:solidFill>
              <a:latin typeface="Britannic Bold" panose="020B0903060703020204" pitchFamily="34" charset="0"/>
              <a:ea typeface="Calibri"/>
              <a:cs typeface="Calibri"/>
            </a:rPr>
            <a:pPr algn="ctr"/>
            <a:t>2000</a:t>
          </a:fld>
          <a:endParaRPr lang="en-US" sz="2400" b="1">
            <a:solidFill>
              <a:srgbClr val="002060"/>
            </a:solidFill>
            <a:latin typeface="Britannic Bold" panose="020B0903060703020204" pitchFamily="34" charset="0"/>
          </a:endParaRPr>
        </a:p>
      </xdr:txBody>
    </xdr:sp>
    <xdr:clientData/>
  </xdr:twoCellAnchor>
  <xdr:twoCellAnchor>
    <xdr:from>
      <xdr:col>16</xdr:col>
      <xdr:colOff>291041</xdr:colOff>
      <xdr:row>7</xdr:row>
      <xdr:rowOff>132293</xdr:rowOff>
    </xdr:from>
    <xdr:to>
      <xdr:col>18</xdr:col>
      <xdr:colOff>601927</xdr:colOff>
      <xdr:row>9</xdr:row>
      <xdr:rowOff>145522</xdr:rowOff>
    </xdr:to>
    <xdr:sp macro="" textlink="Data!Q3">
      <xdr:nvSpPr>
        <xdr:cNvPr id="2" name="TextBox 1">
          <a:extLst>
            <a:ext uri="{FF2B5EF4-FFF2-40B4-BE49-F238E27FC236}">
              <a16:creationId xmlns:a16="http://schemas.microsoft.com/office/drawing/2014/main" id="{BBC574BA-99B9-298C-CE63-A0FD75A34C10}"/>
            </a:ext>
          </a:extLst>
        </xdr:cNvPr>
        <xdr:cNvSpPr txBox="1"/>
      </xdr:nvSpPr>
      <xdr:spPr>
        <a:xfrm>
          <a:off x="10083812" y="1463498"/>
          <a:ext cx="1534982" cy="38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3547A29-031E-47A5-A299-101B8809E5C6}" type="TxLink">
            <a:rPr lang="en-US" sz="1850" b="1" i="0" u="none" strike="noStrike">
              <a:solidFill>
                <a:srgbClr val="002060"/>
              </a:solidFill>
              <a:latin typeface="Britannic Bold" panose="020B0903060703020204" pitchFamily="34" charset="0"/>
              <a:ea typeface="Calibri"/>
              <a:cs typeface="Calibri"/>
            </a:rPr>
            <a:pPr algn="l"/>
            <a:t>₹ 92,06,300</a:t>
          </a:fld>
          <a:endParaRPr lang="en-IN" sz="1850" b="1">
            <a:solidFill>
              <a:srgbClr val="002060"/>
            </a:solidFill>
            <a:latin typeface="Britannic Bold" panose="020B0903060703020204" pitchFamily="34" charset="0"/>
          </a:endParaRPr>
        </a:p>
      </xdr:txBody>
    </xdr:sp>
    <xdr:clientData/>
  </xdr:twoCellAnchor>
  <xdr:twoCellAnchor>
    <xdr:from>
      <xdr:col>19</xdr:col>
      <xdr:colOff>145521</xdr:colOff>
      <xdr:row>7</xdr:row>
      <xdr:rowOff>145522</xdr:rowOff>
    </xdr:from>
    <xdr:to>
      <xdr:col>21</xdr:col>
      <xdr:colOff>396875</xdr:colOff>
      <xdr:row>9</xdr:row>
      <xdr:rowOff>132293</xdr:rowOff>
    </xdr:to>
    <xdr:sp macro="" textlink="Data!Q7">
      <xdr:nvSpPr>
        <xdr:cNvPr id="3" name="TextBox 2">
          <a:extLst>
            <a:ext uri="{FF2B5EF4-FFF2-40B4-BE49-F238E27FC236}">
              <a16:creationId xmlns:a16="http://schemas.microsoft.com/office/drawing/2014/main" id="{C6D84EF2-CC38-93CE-911B-12764DD598A3}"/>
            </a:ext>
          </a:extLst>
        </xdr:cNvPr>
        <xdr:cNvSpPr txBox="1"/>
      </xdr:nvSpPr>
      <xdr:spPr>
        <a:xfrm>
          <a:off x="11774437" y="1476727"/>
          <a:ext cx="1475450" cy="3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FA06A8-CE2E-4C20-9382-2B02CD53067D}" type="TxLink">
            <a:rPr lang="en-US" sz="2400" b="1" i="0" u="none" strike="noStrike">
              <a:solidFill>
                <a:srgbClr val="002060"/>
              </a:solidFill>
              <a:latin typeface="Britannic Bold" panose="020B0903060703020204" pitchFamily="34" charset="0"/>
              <a:ea typeface="Calibri"/>
              <a:cs typeface="Calibri"/>
            </a:rPr>
            <a:pPr algn="ctr"/>
            <a:t>1516</a:t>
          </a:fld>
          <a:endParaRPr lang="en-IN" sz="2400" b="1">
            <a:solidFill>
              <a:srgbClr val="002060"/>
            </a:solidFill>
            <a:latin typeface="Britannic Bold" panose="020B0903060703020204" pitchFamily="34" charset="0"/>
          </a:endParaRPr>
        </a:p>
      </xdr:txBody>
    </xdr:sp>
    <xdr:clientData/>
  </xdr:twoCellAnchor>
  <xdr:twoCellAnchor>
    <xdr:from>
      <xdr:col>22</xdr:col>
      <xdr:colOff>202422</xdr:colOff>
      <xdr:row>7</xdr:row>
      <xdr:rowOff>162059</xdr:rowOff>
    </xdr:from>
    <xdr:to>
      <xdr:col>24</xdr:col>
      <xdr:colOff>341329</xdr:colOff>
      <xdr:row>9</xdr:row>
      <xdr:rowOff>115757</xdr:rowOff>
    </xdr:to>
    <xdr:sp macro="" textlink="Data!Q10">
      <xdr:nvSpPr>
        <xdr:cNvPr id="4" name="TextBox 3">
          <a:extLst>
            <a:ext uri="{FF2B5EF4-FFF2-40B4-BE49-F238E27FC236}">
              <a16:creationId xmlns:a16="http://schemas.microsoft.com/office/drawing/2014/main" id="{191FDA95-B3F2-CE31-CA9B-A3AFE8336B9C}"/>
            </a:ext>
          </a:extLst>
        </xdr:cNvPr>
        <xdr:cNvSpPr txBox="1"/>
      </xdr:nvSpPr>
      <xdr:spPr>
        <a:xfrm>
          <a:off x="13667482" y="1493264"/>
          <a:ext cx="1363004" cy="320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DDC794-2877-4B4E-B305-2BC740B8C596}" type="TxLink">
            <a:rPr lang="en-US" sz="2400" b="1" i="0" u="none" strike="noStrike">
              <a:solidFill>
                <a:srgbClr val="002060"/>
              </a:solidFill>
              <a:latin typeface="Britannic Bold" panose="020B0903060703020204" pitchFamily="34" charset="0"/>
              <a:ea typeface="Calibri"/>
              <a:cs typeface="Calibri"/>
            </a:rPr>
            <a:pPr algn="ctr"/>
            <a:t>24.20%</a:t>
          </a:fld>
          <a:endParaRPr lang="en-IN" sz="2400" b="1">
            <a:solidFill>
              <a:srgbClr val="002060"/>
            </a:solidFill>
            <a:latin typeface="Britannic Bold" panose="020B0903060703020204" pitchFamily="34" charset="0"/>
          </a:endParaRPr>
        </a:p>
      </xdr:txBody>
    </xdr:sp>
    <xdr:clientData/>
  </xdr:twoCellAnchor>
  <xdr:twoCellAnchor>
    <xdr:from>
      <xdr:col>24</xdr:col>
      <xdr:colOff>359579</xdr:colOff>
      <xdr:row>7</xdr:row>
      <xdr:rowOff>169510</xdr:rowOff>
    </xdr:from>
    <xdr:to>
      <xdr:col>26</xdr:col>
      <xdr:colOff>355753</xdr:colOff>
      <xdr:row>9</xdr:row>
      <xdr:rowOff>108305</xdr:rowOff>
    </xdr:to>
    <xdr:sp macro="" textlink="'Best Plan'!E4">
      <xdr:nvSpPr>
        <xdr:cNvPr id="6" name="TextBox 5">
          <a:extLst>
            <a:ext uri="{FF2B5EF4-FFF2-40B4-BE49-F238E27FC236}">
              <a16:creationId xmlns:a16="http://schemas.microsoft.com/office/drawing/2014/main" id="{D5F15484-163B-A3B6-7606-EBE41FE7D4FB}"/>
            </a:ext>
          </a:extLst>
        </xdr:cNvPr>
        <xdr:cNvSpPr txBox="1"/>
      </xdr:nvSpPr>
      <xdr:spPr>
        <a:xfrm>
          <a:off x="14936970" y="1515434"/>
          <a:ext cx="1210957" cy="311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F541D-93B0-440D-9940-3E0D63E30F77}" type="TxLink">
            <a:rPr lang="en-US" sz="2000" b="1" i="0" u="none" strike="noStrike">
              <a:solidFill>
                <a:srgbClr val="002060"/>
              </a:solidFill>
              <a:latin typeface="Britannic Bold" panose="020B0903060703020204" pitchFamily="34" charset="0"/>
              <a:ea typeface="Calibri"/>
              <a:cs typeface="Calibri"/>
            </a:rPr>
            <a:pPr algn="ctr"/>
            <a:t> ₹ 800 </a:t>
          </a:fld>
          <a:endParaRPr lang="en-IN" sz="2000" b="1">
            <a:solidFill>
              <a:srgbClr val="002060"/>
            </a:solidFill>
            <a:latin typeface="Britannic Bold" panose="020B0903060703020204" pitchFamily="34" charset="0"/>
          </a:endParaRPr>
        </a:p>
      </xdr:txBody>
    </xdr:sp>
    <xdr:clientData/>
  </xdr:twoCellAnchor>
  <xdr:twoCellAnchor editAs="oneCell">
    <xdr:from>
      <xdr:col>15</xdr:col>
      <xdr:colOff>569091</xdr:colOff>
      <xdr:row>6</xdr:row>
      <xdr:rowOff>141363</xdr:rowOff>
    </xdr:from>
    <xdr:to>
      <xdr:col>16</xdr:col>
      <xdr:colOff>168072</xdr:colOff>
      <xdr:row>7</xdr:row>
      <xdr:rowOff>130223</xdr:rowOff>
    </xdr:to>
    <xdr:pic>
      <xdr:nvPicPr>
        <xdr:cNvPr id="16" name="Picture 15">
          <a:extLst>
            <a:ext uri="{FF2B5EF4-FFF2-40B4-BE49-F238E27FC236}">
              <a16:creationId xmlns:a16="http://schemas.microsoft.com/office/drawing/2014/main" id="{DE61AD3D-155A-1BF4-9DC6-FBADF6217F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3091" y="1301296"/>
          <a:ext cx="208581" cy="1751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326759</xdr:colOff>
      <xdr:row>6</xdr:row>
      <xdr:rowOff>167274</xdr:rowOff>
    </xdr:from>
    <xdr:to>
      <xdr:col>18</xdr:col>
      <xdr:colOff>570531</xdr:colOff>
      <xdr:row>7</xdr:row>
      <xdr:rowOff>83683</xdr:rowOff>
    </xdr:to>
    <xdr:pic>
      <xdr:nvPicPr>
        <xdr:cNvPr id="18" name="Picture 17">
          <a:extLst>
            <a:ext uri="{FF2B5EF4-FFF2-40B4-BE49-F238E27FC236}">
              <a16:creationId xmlns:a16="http://schemas.microsoft.com/office/drawing/2014/main" id="{121412C5-28EF-49EB-5343-757E611C893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11313736" y="1319134"/>
          <a:ext cx="243772" cy="101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252454</xdr:colOff>
      <xdr:row>6</xdr:row>
      <xdr:rowOff>148759</xdr:rowOff>
    </xdr:from>
    <xdr:to>
      <xdr:col>21</xdr:col>
      <xdr:colOff>538961</xdr:colOff>
      <xdr:row>7</xdr:row>
      <xdr:rowOff>146539</xdr:rowOff>
    </xdr:to>
    <xdr:pic>
      <xdr:nvPicPr>
        <xdr:cNvPr id="19" name="Picture 18">
          <a:extLst>
            <a:ext uri="{FF2B5EF4-FFF2-40B4-BE49-F238E27FC236}">
              <a16:creationId xmlns:a16="http://schemas.microsoft.com/office/drawing/2014/main" id="{73202AB3-1566-9FC3-430B-D349E6DEFD3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74569" y="1306413"/>
          <a:ext cx="286507" cy="18339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87923</xdr:colOff>
      <xdr:row>6</xdr:row>
      <xdr:rowOff>153423</xdr:rowOff>
    </xdr:from>
    <xdr:to>
      <xdr:col>24</xdr:col>
      <xdr:colOff>330843</xdr:colOff>
      <xdr:row>7</xdr:row>
      <xdr:rowOff>115067</xdr:rowOff>
    </xdr:to>
    <xdr:pic>
      <xdr:nvPicPr>
        <xdr:cNvPr id="21" name="Picture 20">
          <a:extLst>
            <a:ext uri="{FF2B5EF4-FFF2-40B4-BE49-F238E27FC236}">
              <a16:creationId xmlns:a16="http://schemas.microsoft.com/office/drawing/2014/main" id="{843AE400-588A-A776-5A39-96335E44A4F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741769" y="1311077"/>
          <a:ext cx="242920" cy="147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245804</xdr:colOff>
      <xdr:row>6</xdr:row>
      <xdr:rowOff>135051</xdr:rowOff>
    </xdr:from>
    <xdr:to>
      <xdr:col>26</xdr:col>
      <xdr:colOff>429058</xdr:colOff>
      <xdr:row>7</xdr:row>
      <xdr:rowOff>126528</xdr:rowOff>
    </xdr:to>
    <xdr:pic>
      <xdr:nvPicPr>
        <xdr:cNvPr id="22" name="Picture 21">
          <a:extLst>
            <a:ext uri="{FF2B5EF4-FFF2-40B4-BE49-F238E27FC236}">
              <a16:creationId xmlns:a16="http://schemas.microsoft.com/office/drawing/2014/main" id="{7CC548B2-A84E-6789-665E-3BB70C430A5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173098" y="1300463"/>
          <a:ext cx="183254" cy="178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603250</xdr:colOff>
      <xdr:row>14</xdr:row>
      <xdr:rowOff>106991</xdr:rowOff>
    </xdr:from>
    <xdr:to>
      <xdr:col>17</xdr:col>
      <xdr:colOff>401084</xdr:colOff>
      <xdr:row>19</xdr:row>
      <xdr:rowOff>10903</xdr:rowOff>
    </xdr:to>
    <xdr:grpSp>
      <xdr:nvGrpSpPr>
        <xdr:cNvPr id="25" name="Group 24">
          <a:extLst>
            <a:ext uri="{FF2B5EF4-FFF2-40B4-BE49-F238E27FC236}">
              <a16:creationId xmlns:a16="http://schemas.microsoft.com/office/drawing/2014/main" id="{E3BB1E0D-722C-4244-203C-734E610A26EE}"/>
            </a:ext>
          </a:extLst>
        </xdr:cNvPr>
        <xdr:cNvGrpSpPr/>
      </xdr:nvGrpSpPr>
      <xdr:grpSpPr>
        <a:xfrm>
          <a:off x="8552509" y="2678349"/>
          <a:ext cx="2243760" cy="805455"/>
          <a:chOff x="8514286" y="2435929"/>
          <a:chExt cx="2259430" cy="864000"/>
        </a:xfrm>
      </xdr:grpSpPr>
      <xdr:graphicFrame macro="">
        <xdr:nvGraphicFramePr>
          <xdr:cNvPr id="23" name="Chart 22">
            <a:extLst>
              <a:ext uri="{FF2B5EF4-FFF2-40B4-BE49-F238E27FC236}">
                <a16:creationId xmlns:a16="http://schemas.microsoft.com/office/drawing/2014/main" id="{EEA7F94D-EF03-4E47-9D22-B9729D020958}"/>
              </a:ext>
            </a:extLst>
          </xdr:cNvPr>
          <xdr:cNvGraphicFramePr>
            <a:graphicFrameLocks/>
          </xdr:cNvGraphicFramePr>
        </xdr:nvGraphicFramePr>
        <xdr:xfrm>
          <a:off x="8514286" y="2436657"/>
          <a:ext cx="961320" cy="86254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4" name="Chart 23">
            <a:extLst>
              <a:ext uri="{FF2B5EF4-FFF2-40B4-BE49-F238E27FC236}">
                <a16:creationId xmlns:a16="http://schemas.microsoft.com/office/drawing/2014/main" id="{947BF820-F69F-4FC5-878B-F194833F7966}"/>
              </a:ext>
            </a:extLst>
          </xdr:cNvPr>
          <xdr:cNvGraphicFramePr>
            <a:graphicFrameLocks/>
          </xdr:cNvGraphicFramePr>
        </xdr:nvGraphicFramePr>
        <xdr:xfrm>
          <a:off x="9812516" y="2435929"/>
          <a:ext cx="961200" cy="864000"/>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26" name="Graphic 25" descr="Male profile with solid fill">
            <a:extLst>
              <a:ext uri="{FF2B5EF4-FFF2-40B4-BE49-F238E27FC236}">
                <a16:creationId xmlns:a16="http://schemas.microsoft.com/office/drawing/2014/main" id="{31F70C30-0F3B-9B34-3B5F-D8140803B72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36123" y="2645834"/>
            <a:ext cx="427567" cy="433916"/>
          </a:xfrm>
          <a:prstGeom prst="rect">
            <a:avLst/>
          </a:prstGeom>
        </xdr:spPr>
      </xdr:pic>
      <xdr:pic>
        <xdr:nvPicPr>
          <xdr:cNvPr id="28" name="Graphic 27" descr="Female Profile with solid fill">
            <a:extLst>
              <a:ext uri="{FF2B5EF4-FFF2-40B4-BE49-F238E27FC236}">
                <a16:creationId xmlns:a16="http://schemas.microsoft.com/office/drawing/2014/main" id="{A3417A5D-96B5-3FD0-5820-47CAD072972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265710" y="2673953"/>
            <a:ext cx="428400" cy="400506"/>
          </a:xfrm>
          <a:prstGeom prst="rect">
            <a:avLst/>
          </a:prstGeom>
        </xdr:spPr>
      </xdr:pic>
      <xdr:sp macro="" textlink="'male and female'!B10">
        <xdr:nvSpPr>
          <xdr:cNvPr id="5" name="TextBox 4">
            <a:extLst>
              <a:ext uri="{FF2B5EF4-FFF2-40B4-BE49-F238E27FC236}">
                <a16:creationId xmlns:a16="http://schemas.microsoft.com/office/drawing/2014/main" id="{97607860-D721-9AFE-69EB-07790DF699D8}"/>
              </a:ext>
            </a:extLst>
          </xdr:cNvPr>
          <xdr:cNvSpPr txBox="1"/>
        </xdr:nvSpPr>
        <xdr:spPr>
          <a:xfrm>
            <a:off x="8763000" y="2767541"/>
            <a:ext cx="476250" cy="195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1AE4A9-978C-4C6C-B7B5-FE71232C5F39}" type="TxLink">
              <a:rPr lang="en-US" sz="800" b="1" i="0" u="none" strike="noStrike">
                <a:solidFill>
                  <a:srgbClr val="000000"/>
                </a:solidFill>
                <a:latin typeface="Britannic Bold" panose="020B0903060703020204" pitchFamily="34" charset="0"/>
                <a:ea typeface="Calibri"/>
                <a:cs typeface="Calibri"/>
              </a:rPr>
              <a:pPr algn="ctr"/>
              <a:t>7</a:t>
            </a:fld>
            <a:endParaRPr lang="en-IN" sz="800" b="1">
              <a:latin typeface="Britannic Bold" panose="020B0903060703020204" pitchFamily="34" charset="0"/>
            </a:endParaRPr>
          </a:p>
        </xdr:txBody>
      </xdr:sp>
      <xdr:sp macro="" textlink="'male and female'!B11">
        <xdr:nvSpPr>
          <xdr:cNvPr id="8" name="TextBox 7">
            <a:extLst>
              <a:ext uri="{FF2B5EF4-FFF2-40B4-BE49-F238E27FC236}">
                <a16:creationId xmlns:a16="http://schemas.microsoft.com/office/drawing/2014/main" id="{1EE95FC5-3F8D-482B-97A5-ECB4D0A28F17}"/>
              </a:ext>
            </a:extLst>
          </xdr:cNvPr>
          <xdr:cNvSpPr txBox="1"/>
        </xdr:nvSpPr>
        <xdr:spPr>
          <a:xfrm>
            <a:off x="10053108" y="2782357"/>
            <a:ext cx="476250" cy="195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319A94-4927-40FD-909C-6945F6934040}" type="TxLink">
              <a:rPr lang="en-US" sz="800" b="1" i="0" u="none" strike="noStrike">
                <a:solidFill>
                  <a:srgbClr val="000000"/>
                </a:solidFill>
                <a:latin typeface="Britannic Bold" panose="020B0903060703020204" pitchFamily="34" charset="0"/>
                <a:ea typeface="Calibri"/>
                <a:cs typeface="Calibri"/>
              </a:rPr>
              <a:pPr algn="ctr"/>
              <a:t>12</a:t>
            </a:fld>
            <a:endParaRPr lang="en-IN" sz="800" b="1">
              <a:latin typeface="Britannic Bold" panose="020B0903060703020204" pitchFamily="34" charset="0"/>
            </a:endParaRPr>
          </a:p>
        </xdr:txBody>
      </xdr:sp>
    </xdr:grpSp>
    <xdr:clientData/>
  </xdr:twoCellAnchor>
  <xdr:twoCellAnchor>
    <xdr:from>
      <xdr:col>14</xdr:col>
      <xdr:colOff>135317</xdr:colOff>
      <xdr:row>10</xdr:row>
      <xdr:rowOff>131721</xdr:rowOff>
    </xdr:from>
    <xdr:to>
      <xdr:col>17</xdr:col>
      <xdr:colOff>368150</xdr:colOff>
      <xdr:row>11</xdr:row>
      <xdr:rowOff>131722</xdr:rowOff>
    </xdr:to>
    <xdr:sp macro="" textlink="">
      <xdr:nvSpPr>
        <xdr:cNvPr id="27" name="TextBox 26">
          <a:extLst>
            <a:ext uri="{FF2B5EF4-FFF2-40B4-BE49-F238E27FC236}">
              <a16:creationId xmlns:a16="http://schemas.microsoft.com/office/drawing/2014/main" id="{BFB89984-3CF7-62CA-0908-F5E10C3835A9}"/>
            </a:ext>
          </a:extLst>
        </xdr:cNvPr>
        <xdr:cNvSpPr txBox="1"/>
      </xdr:nvSpPr>
      <xdr:spPr>
        <a:xfrm>
          <a:off x="8707817" y="1991364"/>
          <a:ext cx="2069797" cy="18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TOTAL MEMBERS BY GENDER</a:t>
          </a:r>
        </a:p>
      </xdr:txBody>
    </xdr:sp>
    <xdr:clientData/>
  </xdr:twoCellAnchor>
  <xdr:twoCellAnchor editAs="oneCell">
    <xdr:from>
      <xdr:col>14</xdr:col>
      <xdr:colOff>547774</xdr:colOff>
      <xdr:row>11</xdr:row>
      <xdr:rowOff>152439</xdr:rowOff>
    </xdr:from>
    <xdr:to>
      <xdr:col>16</xdr:col>
      <xdr:colOff>442620</xdr:colOff>
      <xdr:row>15</xdr:row>
      <xdr:rowOff>71569</xdr:rowOff>
    </xdr:to>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670B90D9-C0DC-4837-8E8B-73419D6F2F7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091410" y="2197634"/>
              <a:ext cx="1115366" cy="644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482958</xdr:colOff>
      <xdr:row>11</xdr:row>
      <xdr:rowOff>176389</xdr:rowOff>
    </xdr:from>
    <xdr:to>
      <xdr:col>21</xdr:col>
      <xdr:colOff>458611</xdr:colOff>
      <xdr:row>17</xdr:row>
      <xdr:rowOff>141111</xdr:rowOff>
    </xdr:to>
    <xdr:graphicFrame macro="">
      <xdr:nvGraphicFramePr>
        <xdr:cNvPr id="34" name="Chart 33">
          <a:extLst>
            <a:ext uri="{FF2B5EF4-FFF2-40B4-BE49-F238E27FC236}">
              <a16:creationId xmlns:a16="http://schemas.microsoft.com/office/drawing/2014/main" id="{042DF58E-38A1-4033-981E-FDC4BC27B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13411</xdr:colOff>
      <xdr:row>10</xdr:row>
      <xdr:rowOff>118066</xdr:rowOff>
    </xdr:from>
    <xdr:to>
      <xdr:col>21</xdr:col>
      <xdr:colOff>359443</xdr:colOff>
      <xdr:row>11</xdr:row>
      <xdr:rowOff>145378</xdr:rowOff>
    </xdr:to>
    <xdr:sp macro="" textlink="">
      <xdr:nvSpPr>
        <xdr:cNvPr id="35" name="TextBox 34">
          <a:extLst>
            <a:ext uri="{FF2B5EF4-FFF2-40B4-BE49-F238E27FC236}">
              <a16:creationId xmlns:a16="http://schemas.microsoft.com/office/drawing/2014/main" id="{445C1430-6E48-159F-F4D1-9822AA375E9B}"/>
            </a:ext>
          </a:extLst>
        </xdr:cNvPr>
        <xdr:cNvSpPr txBox="1"/>
      </xdr:nvSpPr>
      <xdr:spPr>
        <a:xfrm>
          <a:off x="11035197" y="1977709"/>
          <a:ext cx="2182996" cy="20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accent2">
                  <a:lumMod val="75000"/>
                </a:schemeClr>
              </a:solidFill>
              <a:latin typeface="Britannic Bold" panose="020B0903060703020204" pitchFamily="34" charset="0"/>
              <a:ea typeface="+mn-ea"/>
              <a:cs typeface="+mn-cs"/>
            </a:rPr>
            <a:t>MEMBERSHIP BY AGE GROUP</a:t>
          </a:r>
        </a:p>
      </xdr:txBody>
    </xdr:sp>
    <xdr:clientData/>
  </xdr:twoCellAnchor>
  <xdr:twoCellAnchor>
    <xdr:from>
      <xdr:col>22</xdr:col>
      <xdr:colOff>307004</xdr:colOff>
      <xdr:row>10</xdr:row>
      <xdr:rowOff>118066</xdr:rowOff>
    </xdr:from>
    <xdr:to>
      <xdr:col>26</xdr:col>
      <xdr:colOff>36082</xdr:colOff>
      <xdr:row>11</xdr:row>
      <xdr:rowOff>145378</xdr:rowOff>
    </xdr:to>
    <xdr:sp macro="" textlink="">
      <xdr:nvSpPr>
        <xdr:cNvPr id="36" name="TextBox 35">
          <a:extLst>
            <a:ext uri="{FF2B5EF4-FFF2-40B4-BE49-F238E27FC236}">
              <a16:creationId xmlns:a16="http://schemas.microsoft.com/office/drawing/2014/main" id="{9DA0B32F-E81C-4B9E-BEBD-ACB4F5C40FF1}"/>
            </a:ext>
          </a:extLst>
        </xdr:cNvPr>
        <xdr:cNvSpPr txBox="1"/>
      </xdr:nvSpPr>
      <xdr:spPr>
        <a:xfrm>
          <a:off x="13778075" y="1977709"/>
          <a:ext cx="2178364" cy="20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accent2">
                  <a:lumMod val="75000"/>
                </a:schemeClr>
              </a:solidFill>
              <a:latin typeface="Britannic Bold" panose="020B0903060703020204" pitchFamily="34" charset="0"/>
              <a:ea typeface="+mn-ea"/>
              <a:cs typeface="+mn-cs"/>
            </a:rPr>
            <a:t>REVENUE BY PLAN</a:t>
          </a:r>
          <a:r>
            <a:rPr lang="en-IN" sz="1100" b="1" baseline="0">
              <a:solidFill>
                <a:schemeClr val="accent2">
                  <a:lumMod val="75000"/>
                </a:schemeClr>
              </a:solidFill>
              <a:latin typeface="Britannic Bold" panose="020B0903060703020204" pitchFamily="34" charset="0"/>
              <a:ea typeface="+mn-ea"/>
              <a:cs typeface="+mn-cs"/>
            </a:rPr>
            <a:t> TYPE</a:t>
          </a:r>
          <a:endParaRPr lang="en-IN" sz="1100" b="1">
            <a:solidFill>
              <a:schemeClr val="accent2">
                <a:lumMod val="75000"/>
              </a:schemeClr>
            </a:solidFill>
            <a:latin typeface="Britannic Bold" panose="020B0903060703020204" pitchFamily="34" charset="0"/>
            <a:ea typeface="+mn-ea"/>
            <a:cs typeface="+mn-cs"/>
          </a:endParaRPr>
        </a:p>
      </xdr:txBody>
    </xdr:sp>
    <xdr:clientData/>
  </xdr:twoCellAnchor>
  <xdr:twoCellAnchor>
    <xdr:from>
      <xdr:col>21</xdr:col>
      <xdr:colOff>587204</xdr:colOff>
      <xdr:row>11</xdr:row>
      <xdr:rowOff>102419</xdr:rowOff>
    </xdr:from>
    <xdr:to>
      <xdr:col>26</xdr:col>
      <xdr:colOff>323578</xdr:colOff>
      <xdr:row>17</xdr:row>
      <xdr:rowOff>122904</xdr:rowOff>
    </xdr:to>
    <xdr:graphicFrame macro="">
      <xdr:nvGraphicFramePr>
        <xdr:cNvPr id="37" name="Chart 36">
          <a:extLst>
            <a:ext uri="{FF2B5EF4-FFF2-40B4-BE49-F238E27FC236}">
              <a16:creationId xmlns:a16="http://schemas.microsoft.com/office/drawing/2014/main" id="{B3E3659C-C733-4A49-9EC6-A3DFFCB75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190877</xdr:colOff>
      <xdr:row>18</xdr:row>
      <xdr:rowOff>158630</xdr:rowOff>
    </xdr:from>
    <xdr:to>
      <xdr:col>17</xdr:col>
      <xdr:colOff>246907</xdr:colOff>
      <xdr:row>19</xdr:row>
      <xdr:rowOff>127502</xdr:rowOff>
    </xdr:to>
    <xdr:sp macro="" textlink="">
      <xdr:nvSpPr>
        <xdr:cNvPr id="42" name="TextBox 41">
          <a:extLst>
            <a:ext uri="{FF2B5EF4-FFF2-40B4-BE49-F238E27FC236}">
              <a16:creationId xmlns:a16="http://schemas.microsoft.com/office/drawing/2014/main" id="{D53576B6-41EC-0FC4-B3CF-18FCE8CF0DA0}"/>
            </a:ext>
          </a:extLst>
        </xdr:cNvPr>
        <xdr:cNvSpPr txBox="1"/>
      </xdr:nvSpPr>
      <xdr:spPr>
        <a:xfrm>
          <a:off x="8751618" y="3451223"/>
          <a:ext cx="1890474" cy="14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PT</a:t>
          </a:r>
          <a:r>
            <a:rPr lang="en-IN" sz="1100" b="1" baseline="0">
              <a:solidFill>
                <a:schemeClr val="accent2">
                  <a:lumMod val="75000"/>
                </a:schemeClr>
              </a:solidFill>
              <a:latin typeface="Britannic Bold" panose="020B0903060703020204" pitchFamily="34" charset="0"/>
            </a:rPr>
            <a:t>_</a:t>
          </a:r>
          <a:r>
            <a:rPr lang="en-IN" sz="1100" b="1">
              <a:solidFill>
                <a:schemeClr val="accent2">
                  <a:lumMod val="75000"/>
                </a:schemeClr>
              </a:solidFill>
              <a:latin typeface="Britannic Bold" panose="020B0903060703020204" pitchFamily="34" charset="0"/>
            </a:rPr>
            <a:t>OPTED</a:t>
          </a:r>
          <a:r>
            <a:rPr lang="en-IN" sz="1100" b="1" baseline="0">
              <a:solidFill>
                <a:schemeClr val="accent2">
                  <a:lumMod val="75000"/>
                </a:schemeClr>
              </a:solidFill>
              <a:latin typeface="Britannic Bold" panose="020B0903060703020204" pitchFamily="34" charset="0"/>
            </a:rPr>
            <a:t> VS NOT OPTED</a:t>
          </a:r>
          <a:endParaRPr lang="en-IN" sz="1100" b="1">
            <a:solidFill>
              <a:schemeClr val="accent2">
                <a:lumMod val="75000"/>
              </a:schemeClr>
            </a:solidFill>
            <a:latin typeface="Britannic Bold" panose="020B0903060703020204" pitchFamily="34" charset="0"/>
          </a:endParaRPr>
        </a:p>
      </xdr:txBody>
    </xdr:sp>
    <xdr:clientData/>
  </xdr:twoCellAnchor>
  <xdr:twoCellAnchor>
    <xdr:from>
      <xdr:col>14</xdr:col>
      <xdr:colOff>90046</xdr:colOff>
      <xdr:row>20</xdr:row>
      <xdr:rowOff>20788</xdr:rowOff>
    </xdr:from>
    <xdr:to>
      <xdr:col>17</xdr:col>
      <xdr:colOff>401322</xdr:colOff>
      <xdr:row>26</xdr:row>
      <xdr:rowOff>102609</xdr:rowOff>
    </xdr:to>
    <xdr:graphicFrame macro="">
      <xdr:nvGraphicFramePr>
        <xdr:cNvPr id="43" name="Chart 42">
          <a:extLst>
            <a:ext uri="{FF2B5EF4-FFF2-40B4-BE49-F238E27FC236}">
              <a16:creationId xmlns:a16="http://schemas.microsoft.com/office/drawing/2014/main" id="{E80A7D51-1C25-4086-B54B-70A8A015F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469708</xdr:colOff>
      <xdr:row>20</xdr:row>
      <xdr:rowOff>37687</xdr:rowOff>
    </xdr:from>
    <xdr:to>
      <xdr:col>21</xdr:col>
      <xdr:colOff>533947</xdr:colOff>
      <xdr:row>26</xdr:row>
      <xdr:rowOff>117729</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CEA0F147-7644-4DC9-8C2D-C7FE887110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832908" y="3765137"/>
              <a:ext cx="2502639" cy="11849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242460</xdr:colOff>
      <xdr:row>18</xdr:row>
      <xdr:rowOff>158630</xdr:rowOff>
    </xdr:from>
    <xdr:to>
      <xdr:col>21</xdr:col>
      <xdr:colOff>298490</xdr:colOff>
      <xdr:row>19</xdr:row>
      <xdr:rowOff>127502</xdr:rowOff>
    </xdr:to>
    <xdr:sp macro="" textlink="">
      <xdr:nvSpPr>
        <xdr:cNvPr id="45" name="TextBox 44">
          <a:extLst>
            <a:ext uri="{FF2B5EF4-FFF2-40B4-BE49-F238E27FC236}">
              <a16:creationId xmlns:a16="http://schemas.microsoft.com/office/drawing/2014/main" id="{46EF4583-A67A-4C6A-B051-802D27BFEB27}"/>
            </a:ext>
          </a:extLst>
        </xdr:cNvPr>
        <xdr:cNvSpPr txBox="1"/>
      </xdr:nvSpPr>
      <xdr:spPr>
        <a:xfrm>
          <a:off x="11249127" y="3451223"/>
          <a:ext cx="1890474" cy="14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REVENUE</a:t>
          </a:r>
          <a:r>
            <a:rPr lang="en-IN" sz="1100" b="1" baseline="0">
              <a:solidFill>
                <a:schemeClr val="accent2">
                  <a:lumMod val="75000"/>
                </a:schemeClr>
              </a:solidFill>
              <a:latin typeface="Britannic Bold" panose="020B0903060703020204" pitchFamily="34" charset="0"/>
            </a:rPr>
            <a:t> BY AGE GROUP</a:t>
          </a:r>
        </a:p>
      </xdr:txBody>
    </xdr:sp>
    <xdr:clientData/>
  </xdr:twoCellAnchor>
  <xdr:twoCellAnchor editAs="oneCell">
    <xdr:from>
      <xdr:col>22</xdr:col>
      <xdr:colOff>122207</xdr:colOff>
      <xdr:row>19</xdr:row>
      <xdr:rowOff>34836</xdr:rowOff>
    </xdr:from>
    <xdr:to>
      <xdr:col>24</xdr:col>
      <xdr:colOff>81221</xdr:colOff>
      <xdr:row>26</xdr:row>
      <xdr:rowOff>170360</xdr:rowOff>
    </xdr:to>
    <mc:AlternateContent xmlns:mc="http://schemas.openxmlformats.org/markup-compatibility/2006" xmlns:tsle="http://schemas.microsoft.com/office/drawing/2012/timeslicer">
      <mc:Choice Requires="tsle">
        <xdr:graphicFrame macro="">
          <xdr:nvGraphicFramePr>
            <xdr:cNvPr id="46" name="Join_Date 1">
              <a:extLst>
                <a:ext uri="{FF2B5EF4-FFF2-40B4-BE49-F238E27FC236}">
                  <a16:creationId xmlns:a16="http://schemas.microsoft.com/office/drawing/2014/main" id="{37143506-C2D9-4342-8AC7-400C0E84AF21}"/>
                </a:ext>
              </a:extLst>
            </xdr:cNvPr>
            <xdr:cNvGraphicFramePr/>
          </xdr:nvGraphicFramePr>
          <xdr:xfrm>
            <a:off x="0" y="0"/>
            <a:ext cx="0" cy="0"/>
          </xdr:xfrm>
          <a:graphic>
            <a:graphicData uri="http://schemas.microsoft.com/office/drawing/2012/timeslicer">
              <tsle:timeslicer name="Join_Date 1"/>
            </a:graphicData>
          </a:graphic>
        </xdr:graphicFrame>
      </mc:Choice>
      <mc:Fallback xmlns="">
        <xdr:sp macro="" textlink="">
          <xdr:nvSpPr>
            <xdr:cNvPr id="0" name=""/>
            <xdr:cNvSpPr>
              <a:spLocks noTextEdit="1"/>
            </xdr:cNvSpPr>
          </xdr:nvSpPr>
          <xdr:spPr>
            <a:xfrm>
              <a:off x="13547921" y="3531459"/>
              <a:ext cx="1179534" cy="14055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144393</xdr:colOff>
      <xdr:row>19</xdr:row>
      <xdr:rowOff>134742</xdr:rowOff>
    </xdr:from>
    <xdr:to>
      <xdr:col>27</xdr:col>
      <xdr:colOff>73949</xdr:colOff>
      <xdr:row>21</xdr:row>
      <xdr:rowOff>131885</xdr:rowOff>
    </xdr:to>
    <mc:AlternateContent xmlns:mc="http://schemas.openxmlformats.org/markup-compatibility/2006" xmlns:a14="http://schemas.microsoft.com/office/drawing/2010/main">
      <mc:Choice Requires="a14">
        <xdr:graphicFrame macro="">
          <xdr:nvGraphicFramePr>
            <xdr:cNvPr id="47" name="Group_Stage 1">
              <a:extLst>
                <a:ext uri="{FF2B5EF4-FFF2-40B4-BE49-F238E27FC236}">
                  <a16:creationId xmlns:a16="http://schemas.microsoft.com/office/drawing/2014/main" id="{F0B34FA7-5958-41CC-B49C-D39CFCCB5E6C}"/>
                </a:ext>
              </a:extLst>
            </xdr:cNvPr>
            <xdr:cNvGraphicFramePr/>
          </xdr:nvGraphicFramePr>
          <xdr:xfrm>
            <a:off x="0" y="0"/>
            <a:ext cx="0" cy="0"/>
          </xdr:xfrm>
          <a:graphic>
            <a:graphicData uri="http://schemas.microsoft.com/office/drawing/2010/slicer">
              <sle:slicer xmlns:sle="http://schemas.microsoft.com/office/drawing/2010/slicer" name="Group_Stage 1"/>
            </a:graphicData>
          </a:graphic>
        </xdr:graphicFrame>
      </mc:Choice>
      <mc:Fallback xmlns="">
        <xdr:sp macro="" textlink="">
          <xdr:nvSpPr>
            <xdr:cNvPr id="0" name=""/>
            <xdr:cNvSpPr>
              <a:spLocks noTextEdit="1"/>
            </xdr:cNvSpPr>
          </xdr:nvSpPr>
          <xdr:spPr>
            <a:xfrm>
              <a:off x="14819949" y="3607643"/>
              <a:ext cx="1764000" cy="357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376762</xdr:colOff>
      <xdr:row>21</xdr:row>
      <xdr:rowOff>139680</xdr:rowOff>
    </xdr:from>
    <xdr:to>
      <xdr:col>27</xdr:col>
      <xdr:colOff>7384</xdr:colOff>
      <xdr:row>26</xdr:row>
      <xdr:rowOff>156173</xdr:rowOff>
    </xdr:to>
    <mc:AlternateContent xmlns:mc="http://schemas.openxmlformats.org/markup-compatibility/2006" xmlns:a14="http://schemas.microsoft.com/office/drawing/2010/main">
      <mc:Choice Requires="a14">
        <xdr:graphicFrame macro="">
          <xdr:nvGraphicFramePr>
            <xdr:cNvPr id="50" name="Monthly_Fee 1">
              <a:extLst>
                <a:ext uri="{FF2B5EF4-FFF2-40B4-BE49-F238E27FC236}">
                  <a16:creationId xmlns:a16="http://schemas.microsoft.com/office/drawing/2014/main" id="{0750CEED-5D13-469D-9349-CA6ECC82EF82}"/>
                </a:ext>
              </a:extLst>
            </xdr:cNvPr>
            <xdr:cNvGraphicFramePr/>
          </xdr:nvGraphicFramePr>
          <xdr:xfrm>
            <a:off x="0" y="0"/>
            <a:ext cx="0" cy="0"/>
          </xdr:xfrm>
          <a:graphic>
            <a:graphicData uri="http://schemas.microsoft.com/office/drawing/2010/slicer">
              <sle:slicer xmlns:sle="http://schemas.microsoft.com/office/drawing/2010/slicer" name="Monthly_Fee 1"/>
            </a:graphicData>
          </a:graphic>
        </xdr:graphicFrame>
      </mc:Choice>
      <mc:Fallback xmlns="">
        <xdr:sp macro="" textlink="">
          <xdr:nvSpPr>
            <xdr:cNvPr id="0" name=""/>
            <xdr:cNvSpPr>
              <a:spLocks noTextEdit="1"/>
            </xdr:cNvSpPr>
          </xdr:nvSpPr>
          <xdr:spPr>
            <a:xfrm>
              <a:off x="15022996" y="3999161"/>
              <a:ext cx="1461401" cy="92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82601</xdr:colOff>
      <xdr:row>18</xdr:row>
      <xdr:rowOff>148229</xdr:rowOff>
    </xdr:from>
    <xdr:to>
      <xdr:col>26</xdr:col>
      <xdr:colOff>542073</xdr:colOff>
      <xdr:row>19</xdr:row>
      <xdr:rowOff>137903</xdr:rowOff>
    </xdr:to>
    <xdr:sp macro="" textlink="">
      <xdr:nvSpPr>
        <xdr:cNvPr id="51" name="TextBox 50">
          <a:extLst>
            <a:ext uri="{FF2B5EF4-FFF2-40B4-BE49-F238E27FC236}">
              <a16:creationId xmlns:a16="http://schemas.microsoft.com/office/drawing/2014/main" id="{CBFDFBCB-D244-E2A8-73B3-9B158FACCD28}"/>
            </a:ext>
          </a:extLst>
        </xdr:cNvPr>
        <xdr:cNvSpPr txBox="1"/>
      </xdr:nvSpPr>
      <xdr:spPr>
        <a:xfrm>
          <a:off x="14758157" y="3440822"/>
          <a:ext cx="1682435" cy="16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latin typeface="Britannic Bold" panose="020B0903060703020204"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 refreshedDate="46037.915128009263" missingItemsLimit="0" createdVersion="8" refreshedVersion="8" minRefreshableVersion="3" recordCount="2000" xr:uid="{106E2730-0D13-4716-A8E1-2F5299CA8FF2}">
  <cacheSource type="worksheet">
    <worksheetSource name="Table1"/>
  </cacheSource>
  <cacheFields count="15">
    <cacheField name="member_id" numFmtId="0">
      <sharedItems containsSemiMixedTypes="0" containsString="0" containsNumber="1" containsInteger="1" minValue="10001" maxValue="12000"/>
    </cacheField>
    <cacheField name="Age" numFmtId="0">
      <sharedItems containsSemiMixedTypes="0" containsString="0" containsNumber="1" containsInteger="1" minValue="18" maxValue="45"/>
    </cacheField>
    <cacheField name="Gender" numFmtId="0">
      <sharedItems count="2">
        <s v="M"/>
        <s v="F"/>
      </sharedItems>
    </cacheField>
    <cacheField name="Plan_Type" numFmtId="0">
      <sharedItems count="3">
        <s v="Monthly"/>
        <s v="Yearly"/>
        <s v="Quarterly"/>
      </sharedItems>
    </cacheField>
    <cacheField name="Join_Date" numFmtId="164">
      <sharedItems containsSemiMixedTypes="0" containsNonDate="0" containsDate="1" containsString="0" minDate="2023-07-27T00:00:00" maxDate="2025-12-13T00:00:00" count="784">
        <d v="2025-12-03T00:00:00"/>
        <d v="2025-07-04T00:00:00"/>
        <d v="2025-05-07T00:00:00"/>
        <d v="2024-12-22T00:00:00"/>
        <d v="2024-02-29T00:00:00"/>
        <d v="2024-09-03T00:00:00"/>
        <d v="2024-12-14T00:00:00"/>
        <d v="2025-06-19T00:00:00"/>
        <d v="2025-10-23T00:00:00"/>
        <d v="2025-02-26T00:00:00"/>
        <d v="2023-10-21T00:00:00"/>
        <d v="2025-03-13T00:00:00"/>
        <d v="2024-06-26T00:00:00"/>
        <d v="2023-11-14T00:00:00"/>
        <d v="2024-01-07T00:00:00"/>
        <d v="2025-09-09T00:00:00"/>
        <d v="2024-02-20T00:00:00"/>
        <d v="2025-03-19T00:00:00"/>
        <d v="2025-06-07T00:00:00"/>
        <d v="2024-12-24T00:00:00"/>
        <d v="2024-05-04T00:00:00"/>
        <d v="2024-09-06T00:00:00"/>
        <d v="2024-04-19T00:00:00"/>
        <d v="2024-10-14T00:00:00"/>
        <d v="2025-11-10T00:00:00"/>
        <d v="2025-12-04T00:00:00"/>
        <d v="2025-03-05T00:00:00"/>
        <d v="2025-07-30T00:00:00"/>
        <d v="2024-03-12T00:00:00"/>
        <d v="2024-05-26T00:00:00"/>
        <d v="2023-11-17T00:00:00"/>
        <d v="2024-10-23T00:00:00"/>
        <d v="2025-09-24T00:00:00"/>
        <d v="2024-06-14T00:00:00"/>
        <d v="2024-01-11T00:00:00"/>
        <d v="2025-11-24T00:00:00"/>
        <d v="2023-08-15T00:00:00"/>
        <d v="2024-07-07T00:00:00"/>
        <d v="2024-09-13T00:00:00"/>
        <d v="2025-02-15T00:00:00"/>
        <d v="2024-06-08T00:00:00"/>
        <d v="2023-09-21T00:00:00"/>
        <d v="2025-01-09T00:00:00"/>
        <d v="2025-09-17T00:00:00"/>
        <d v="2025-11-17T00:00:00"/>
        <d v="2025-10-24T00:00:00"/>
        <d v="2024-03-09T00:00:00"/>
        <d v="2023-09-30T00:00:00"/>
        <d v="2025-12-09T00:00:00"/>
        <d v="2024-08-25T00:00:00"/>
        <d v="2025-06-27T00:00:00"/>
        <d v="2025-02-08T00:00:00"/>
        <d v="2024-05-12T00:00:00"/>
        <d v="2025-03-04T00:00:00"/>
        <d v="2024-02-27T00:00:00"/>
        <d v="2024-11-01T00:00:00"/>
        <d v="2024-12-18T00:00:00"/>
        <d v="2024-03-16T00:00:00"/>
        <d v="2025-09-30T00:00:00"/>
        <d v="2024-08-14T00:00:00"/>
        <d v="2025-05-09T00:00:00"/>
        <d v="2025-03-01T00:00:00"/>
        <d v="2023-10-10T00:00:00"/>
        <d v="2025-01-13T00:00:00"/>
        <d v="2024-09-30T00:00:00"/>
        <d v="2025-03-30T00:00:00"/>
        <d v="2024-05-21T00:00:00"/>
        <d v="2023-09-23T00:00:00"/>
        <d v="2023-12-09T00:00:00"/>
        <d v="2023-10-17T00:00:00"/>
        <d v="2024-04-22T00:00:00"/>
        <d v="2024-12-03T00:00:00"/>
        <d v="2025-11-20T00:00:00"/>
        <d v="2024-10-19T00:00:00"/>
        <d v="2025-10-11T00:00:00"/>
        <d v="2025-09-21T00:00:00"/>
        <d v="2025-08-10T00:00:00"/>
        <d v="2025-07-07T00:00:00"/>
        <d v="2023-11-13T00:00:00"/>
        <d v="2024-09-04T00:00:00"/>
        <d v="2025-08-03T00:00:00"/>
        <d v="2024-04-10T00:00:00"/>
        <d v="2024-05-01T00:00:00"/>
        <d v="2024-02-06T00:00:00"/>
        <d v="2023-10-07T00:00:00"/>
        <d v="2024-03-26T00:00:00"/>
        <d v="2024-07-17T00:00:00"/>
        <d v="2024-12-29T00:00:00"/>
        <d v="2025-04-22T00:00:00"/>
        <d v="2024-05-18T00:00:00"/>
        <d v="2023-12-22T00:00:00"/>
        <d v="2025-09-25T00:00:00"/>
        <d v="2023-09-02T00:00:00"/>
        <d v="2024-12-26T00:00:00"/>
        <d v="2024-07-09T00:00:00"/>
        <d v="2024-04-20T00:00:00"/>
        <d v="2025-01-27T00:00:00"/>
        <d v="2024-03-31T00:00:00"/>
        <d v="2024-04-14T00:00:00"/>
        <d v="2024-03-27T00:00:00"/>
        <d v="2024-08-07T00:00:00"/>
        <d v="2024-06-18T00:00:00"/>
        <d v="2023-09-03T00:00:00"/>
        <d v="2024-01-30T00:00:00"/>
        <d v="2025-11-05T00:00:00"/>
        <d v="2025-06-14T00:00:00"/>
        <d v="2023-09-22T00:00:00"/>
        <d v="2025-04-04T00:00:00"/>
        <d v="2023-08-04T00:00:00"/>
        <d v="2024-05-03T00:00:00"/>
        <d v="2024-11-28T00:00:00"/>
        <d v="2024-02-13T00:00:00"/>
        <d v="2024-10-18T00:00:00"/>
        <d v="2025-02-11T00:00:00"/>
        <d v="2024-11-21T00:00:00"/>
        <d v="2024-05-11T00:00:00"/>
        <d v="2024-06-02T00:00:00"/>
        <d v="2023-12-31T00:00:00"/>
        <d v="2025-10-27T00:00:00"/>
        <d v="2023-10-11T00:00:00"/>
        <d v="2025-02-14T00:00:00"/>
        <d v="2023-07-31T00:00:00"/>
        <d v="2023-11-24T00:00:00"/>
        <d v="2024-10-09T00:00:00"/>
        <d v="2025-01-24T00:00:00"/>
        <d v="2024-05-31T00:00:00"/>
        <d v="2025-07-08T00:00:00"/>
        <d v="2025-03-20T00:00:00"/>
        <d v="2023-08-07T00:00:00"/>
        <d v="2025-10-16T00:00:00"/>
        <d v="2023-12-21T00:00:00"/>
        <d v="2023-10-02T00:00:00"/>
        <d v="2024-09-25T00:00:00"/>
        <d v="2025-05-16T00:00:00"/>
        <d v="2024-07-18T00:00:00"/>
        <d v="2024-02-09T00:00:00"/>
        <d v="2024-06-10T00:00:00"/>
        <d v="2025-04-26T00:00:00"/>
        <d v="2024-12-21T00:00:00"/>
        <d v="2025-05-24T00:00:00"/>
        <d v="2023-10-16T00:00:00"/>
        <d v="2024-04-18T00:00:00"/>
        <d v="2025-09-05T00:00:00"/>
        <d v="2025-10-14T00:00:00"/>
        <d v="2025-04-18T00:00:00"/>
        <d v="2024-10-24T00:00:00"/>
        <d v="2023-09-07T00:00:00"/>
        <d v="2024-02-21T00:00:00"/>
        <d v="2024-12-20T00:00:00"/>
        <d v="2024-11-12T00:00:00"/>
        <d v="2025-09-01T00:00:00"/>
        <d v="2024-05-14T00:00:00"/>
        <d v="2024-07-15T00:00:00"/>
        <d v="2024-01-26T00:00:00"/>
        <d v="2023-09-24T00:00:00"/>
        <d v="2024-04-15T00:00:00"/>
        <d v="2024-01-03T00:00:00"/>
        <d v="2024-11-05T00:00:00"/>
        <d v="2025-05-08T00:00:00"/>
        <d v="2025-03-31T00:00:00"/>
        <d v="2025-08-16T00:00:00"/>
        <d v="2023-09-14T00:00:00"/>
        <d v="2025-11-12T00:00:00"/>
        <d v="2025-04-03T00:00:00"/>
        <d v="2025-11-28T00:00:00"/>
        <d v="2025-08-24T00:00:00"/>
        <d v="2025-10-04T00:00:00"/>
        <d v="2024-08-12T00:00:00"/>
        <d v="2024-07-19T00:00:00"/>
        <d v="2024-04-23T00:00:00"/>
        <d v="2025-04-01T00:00:00"/>
        <d v="2025-06-12T00:00:00"/>
        <d v="2024-11-14T00:00:00"/>
        <d v="2025-06-16T00:00:00"/>
        <d v="2024-11-18T00:00:00"/>
        <d v="2024-09-22T00:00:00"/>
        <d v="2025-04-13T00:00:00"/>
        <d v="2025-10-05T00:00:00"/>
        <d v="2025-09-04T00:00:00"/>
        <d v="2025-10-20T00:00:00"/>
        <d v="2023-11-16T00:00:00"/>
        <d v="2024-06-17T00:00:00"/>
        <d v="2025-06-18T00:00:00"/>
        <d v="2023-09-15T00:00:00"/>
        <d v="2024-01-27T00:00:00"/>
        <d v="2025-01-04T00:00:00"/>
        <d v="2025-09-18T00:00:00"/>
        <d v="2025-01-21T00:00:00"/>
        <d v="2025-05-30T00:00:00"/>
        <d v="2023-09-04T00:00:00"/>
        <d v="2025-03-07T00:00:00"/>
        <d v="2023-10-05T00:00:00"/>
        <d v="2025-06-08T00:00:00"/>
        <d v="2024-09-21T00:00:00"/>
        <d v="2025-05-31T00:00:00"/>
        <d v="2025-01-06T00:00:00"/>
        <d v="2024-08-01T00:00:00"/>
        <d v="2024-09-12T00:00:00"/>
        <d v="2025-10-15T00:00:00"/>
        <d v="2024-08-18T00:00:00"/>
        <d v="2024-04-21T00:00:00"/>
        <d v="2023-10-27T00:00:00"/>
        <d v="2025-04-16T00:00:00"/>
        <d v="2025-01-31T00:00:00"/>
        <d v="2024-08-13T00:00:00"/>
        <d v="2024-12-23T00:00:00"/>
        <d v="2024-08-08T00:00:00"/>
        <d v="2025-01-12T00:00:00"/>
        <d v="2023-11-21T00:00:00"/>
        <d v="2025-11-30T00:00:00"/>
        <d v="2024-04-03T00:00:00"/>
        <d v="2025-07-19T00:00:00"/>
        <d v="2025-12-06T00:00:00"/>
        <d v="2025-07-16T00:00:00"/>
        <d v="2024-11-09T00:00:00"/>
        <d v="2025-03-21T00:00:00"/>
        <d v="2024-02-17T00:00:00"/>
        <d v="2024-08-19T00:00:00"/>
        <d v="2025-08-19T00:00:00"/>
        <d v="2024-08-03T00:00:00"/>
        <d v="2023-08-08T00:00:00"/>
        <d v="2024-04-12T00:00:00"/>
        <d v="2024-04-06T00:00:00"/>
        <d v="2025-08-02T00:00:00"/>
        <d v="2024-08-17T00:00:00"/>
        <d v="2023-11-09T00:00:00"/>
        <d v="2025-04-17T00:00:00"/>
        <d v="2024-06-27T00:00:00"/>
        <d v="2025-08-18T00:00:00"/>
        <d v="2025-03-15T00:00:00"/>
        <d v="2025-12-11T00:00:00"/>
        <d v="2025-08-06T00:00:00"/>
        <d v="2025-02-22T00:00:00"/>
        <d v="2023-11-06T00:00:00"/>
        <d v="2024-07-01T00:00:00"/>
        <d v="2024-05-05T00:00:00"/>
        <d v="2024-10-13T00:00:00"/>
        <d v="2025-08-09T00:00:00"/>
        <d v="2024-03-18T00:00:00"/>
        <d v="2023-10-18T00:00:00"/>
        <d v="2025-09-19T00:00:00"/>
        <d v="2024-07-31T00:00:00"/>
        <d v="2025-04-07T00:00:00"/>
        <d v="2024-09-29T00:00:00"/>
        <d v="2024-10-20T00:00:00"/>
        <d v="2023-11-19T00:00:00"/>
        <d v="2023-09-27T00:00:00"/>
        <d v="2025-01-07T00:00:00"/>
        <d v="2023-11-20T00:00:00"/>
        <d v="2024-07-16T00:00:00"/>
        <d v="2025-03-03T00:00:00"/>
        <d v="2025-06-22T00:00:00"/>
        <d v="2023-09-09T00:00:00"/>
        <d v="2025-03-12T00:00:00"/>
        <d v="2025-10-13T00:00:00"/>
        <d v="2023-10-28T00:00:00"/>
        <d v="2025-07-02T00:00:00"/>
        <d v="2024-04-07T00:00:00"/>
        <d v="2023-12-13T00:00:00"/>
        <d v="2023-10-09T00:00:00"/>
        <d v="2023-09-16T00:00:00"/>
        <d v="2024-07-13T00:00:00"/>
        <d v="2024-07-03T00:00:00"/>
        <d v="2024-02-25T00:00:00"/>
        <d v="2024-07-05T00:00:00"/>
        <d v="2023-10-08T00:00:00"/>
        <d v="2025-08-15T00:00:00"/>
        <d v="2023-12-18T00:00:00"/>
        <d v="2024-07-22T00:00:00"/>
        <d v="2025-02-20T00:00:00"/>
        <d v="2024-07-28T00:00:00"/>
        <d v="2024-08-16T00:00:00"/>
        <d v="2025-08-11T00:00:00"/>
        <d v="2023-10-26T00:00:00"/>
        <d v="2025-01-30T00:00:00"/>
        <d v="2024-09-15T00:00:00"/>
        <d v="2024-06-09T00:00:00"/>
        <d v="2025-10-06T00:00:00"/>
        <d v="2025-05-06T00:00:00"/>
        <d v="2023-08-27T00:00:00"/>
        <d v="2025-03-02T00:00:00"/>
        <d v="2024-04-11T00:00:00"/>
        <d v="2024-07-10T00:00:00"/>
        <d v="2025-08-30T00:00:00"/>
        <d v="2024-03-08T00:00:00"/>
        <d v="2024-02-14T00:00:00"/>
        <d v="2023-10-06T00:00:00"/>
        <d v="2023-12-05T00:00:00"/>
        <d v="2024-04-26T00:00:00"/>
        <d v="2025-05-14T00:00:00"/>
        <d v="2025-04-27T00:00:00"/>
        <d v="2025-06-03T00:00:00"/>
        <d v="2024-09-19T00:00:00"/>
        <d v="2023-10-15T00:00:00"/>
        <d v="2025-11-09T00:00:00"/>
        <d v="2024-06-15T00:00:00"/>
        <d v="2024-12-10T00:00:00"/>
        <d v="2025-07-06T00:00:00"/>
        <d v="2025-09-15T00:00:00"/>
        <d v="2025-03-25T00:00:00"/>
        <d v="2024-10-11T00:00:00"/>
        <d v="2025-03-17T00:00:00"/>
        <d v="2025-09-27T00:00:00"/>
        <d v="2023-10-12T00:00:00"/>
        <d v="2025-01-29T00:00:00"/>
        <d v="2025-10-03T00:00:00"/>
        <d v="2024-10-12T00:00:00"/>
        <d v="2024-12-13T00:00:00"/>
        <d v="2025-06-06T00:00:00"/>
        <d v="2025-01-18T00:00:00"/>
        <d v="2024-08-10T00:00:00"/>
        <d v="2023-08-03T00:00:00"/>
        <d v="2023-08-25T00:00:00"/>
        <d v="2024-11-30T00:00:00"/>
        <d v="2023-09-17T00:00:00"/>
        <d v="2023-09-11T00:00:00"/>
        <d v="2023-08-19T00:00:00"/>
        <d v="2024-01-13T00:00:00"/>
        <d v="2024-08-22T00:00:00"/>
        <d v="2025-05-11T00:00:00"/>
        <d v="2025-06-04T00:00:00"/>
        <d v="2025-01-17T00:00:00"/>
        <d v="2024-09-14T00:00:00"/>
        <d v="2024-04-13T00:00:00"/>
        <d v="2025-07-22T00:00:00"/>
        <d v="2023-12-07T00:00:00"/>
        <d v="2023-11-11T00:00:00"/>
        <d v="2024-01-23T00:00:00"/>
        <d v="2024-01-14T00:00:00"/>
        <d v="2025-09-20T00:00:00"/>
        <d v="2024-02-02T00:00:00"/>
        <d v="2025-02-25T00:00:00"/>
        <d v="2024-05-13T00:00:00"/>
        <d v="2025-10-31T00:00:00"/>
        <d v="2025-03-06T00:00:00"/>
        <d v="2025-04-24T00:00:00"/>
        <d v="2025-11-01T00:00:00"/>
        <d v="2025-05-12T00:00:00"/>
        <d v="2024-10-22T00:00:00"/>
        <d v="2024-01-24T00:00:00"/>
        <d v="2025-02-18T00:00:00"/>
        <d v="2025-07-18T00:00:00"/>
        <d v="2024-08-04T00:00:00"/>
        <d v="2023-10-25T00:00:00"/>
        <d v="2024-11-13T00:00:00"/>
        <d v="2025-09-22T00:00:00"/>
        <d v="2025-04-08T00:00:00"/>
        <d v="2025-10-09T00:00:00"/>
        <d v="2023-12-01T00:00:00"/>
        <d v="2025-04-12T00:00:00"/>
        <d v="2025-04-09T00:00:00"/>
        <d v="2024-03-25T00:00:00"/>
        <d v="2023-12-28T00:00:00"/>
        <d v="2024-10-05T00:00:00"/>
        <d v="2025-08-17T00:00:00"/>
        <d v="2024-05-16T00:00:00"/>
        <d v="2024-09-11T00:00:00"/>
        <d v="2024-12-11T00:00:00"/>
        <d v="2023-11-28T00:00:00"/>
        <d v="2023-07-30T00:00:00"/>
        <d v="2024-04-02T00:00:00"/>
        <d v="2024-12-04T00:00:00"/>
        <d v="2024-06-19T00:00:00"/>
        <d v="2024-02-12T00:00:00"/>
        <d v="2025-11-25T00:00:00"/>
        <d v="2025-03-18T00:00:00"/>
        <d v="2025-06-13T00:00:00"/>
        <d v="2024-11-23T00:00:00"/>
        <d v="2024-01-18T00:00:00"/>
        <d v="2024-11-06T00:00:00"/>
        <d v="2023-10-30T00:00:00"/>
        <d v="2024-07-25T00:00:00"/>
        <d v="2023-10-31T00:00:00"/>
        <d v="2024-02-15T00:00:00"/>
        <d v="2024-06-16T00:00:00"/>
        <d v="2023-11-04T00:00:00"/>
        <d v="2023-11-29T00:00:00"/>
        <d v="2025-06-24T00:00:00"/>
        <d v="2024-09-10T00:00:00"/>
        <d v="2025-10-26T00:00:00"/>
        <d v="2023-10-01T00:00:00"/>
        <d v="2025-10-28T00:00:00"/>
        <d v="2023-12-27T00:00:00"/>
        <d v="2024-07-12T00:00:00"/>
        <d v="2024-08-05T00:00:00"/>
        <d v="2023-08-29T00:00:00"/>
        <d v="2024-01-01T00:00:00"/>
        <d v="2024-04-16T00:00:00"/>
        <d v="2023-11-22T00:00:00"/>
        <d v="2025-03-08T00:00:00"/>
        <d v="2024-03-30T00:00:00"/>
        <d v="2024-04-09T00:00:00"/>
        <d v="2024-05-02T00:00:00"/>
        <d v="2025-11-06T00:00:00"/>
        <d v="2025-02-12T00:00:00"/>
        <d v="2024-06-28T00:00:00"/>
        <d v="2024-11-29T00:00:00"/>
        <d v="2025-03-29T00:00:00"/>
        <d v="2024-09-02T00:00:00"/>
        <d v="2025-06-09T00:00:00"/>
        <d v="2025-01-20T00:00:00"/>
        <d v="2024-08-26T00:00:00"/>
        <d v="2025-08-05T00:00:00"/>
        <d v="2024-10-01T00:00:00"/>
        <d v="2024-07-14T00:00:00"/>
        <d v="2024-07-11T00:00:00"/>
        <d v="2024-07-24T00:00:00"/>
        <d v="2025-04-28T00:00:00"/>
        <d v="2025-05-10T00:00:00"/>
        <d v="2024-11-27T00:00:00"/>
        <d v="2025-11-11T00:00:00"/>
        <d v="2024-01-20T00:00:00"/>
        <d v="2024-08-30T00:00:00"/>
        <d v="2024-02-22T00:00:00"/>
        <d v="2024-07-20T00:00:00"/>
        <d v="2024-06-07T00:00:00"/>
        <d v="2023-11-02T00:00:00"/>
        <d v="2024-01-16T00:00:00"/>
        <d v="2025-07-27T00:00:00"/>
        <d v="2024-10-10T00:00:00"/>
        <d v="2024-05-23T00:00:00"/>
        <d v="2023-09-18T00:00:00"/>
        <d v="2023-08-30T00:00:00"/>
        <d v="2025-04-30T00:00:00"/>
        <d v="2023-12-19T00:00:00"/>
        <d v="2023-08-28T00:00:00"/>
        <d v="2024-12-28T00:00:00"/>
        <d v="2025-01-05T00:00:00"/>
        <d v="2023-12-24T00:00:00"/>
        <d v="2024-06-21T00:00:00"/>
        <d v="2024-08-28T00:00:00"/>
        <d v="2025-09-23T00:00:00"/>
        <d v="2023-11-25T00:00:00"/>
        <d v="2025-07-11T00:00:00"/>
        <d v="2024-05-25T00:00:00"/>
        <d v="2023-10-04T00:00:00"/>
        <d v="2025-07-01T00:00:00"/>
        <d v="2025-07-03T00:00:00"/>
        <d v="2023-09-19T00:00:00"/>
        <d v="2025-04-14T00:00:00"/>
        <d v="2024-11-22T00:00:00"/>
        <d v="2025-02-28T00:00:00"/>
        <d v="2023-10-13T00:00:00"/>
        <d v="2025-01-28T00:00:00"/>
        <d v="2024-09-27T00:00:00"/>
        <d v="2025-09-26T00:00:00"/>
        <d v="2025-08-13T00:00:00"/>
        <d v="2024-05-06T00:00:00"/>
        <d v="2024-01-31T00:00:00"/>
        <d v="2023-08-10T00:00:00"/>
        <d v="2025-11-14T00:00:00"/>
        <d v="2024-12-31T00:00:00"/>
        <d v="2024-08-06T00:00:00"/>
        <d v="2023-12-03T00:00:00"/>
        <d v="2024-06-23T00:00:00"/>
        <d v="2024-06-05T00:00:00"/>
        <d v="2025-01-02T00:00:00"/>
        <d v="2025-02-01T00:00:00"/>
        <d v="2024-06-25T00:00:00"/>
        <d v="2024-08-20T00:00:00"/>
        <d v="2023-11-18T00:00:00"/>
        <d v="2023-08-09T00:00:00"/>
        <d v="2025-04-11T00:00:00"/>
        <d v="2024-12-09T00:00:00"/>
        <d v="2024-09-01T00:00:00"/>
        <d v="2024-09-17T00:00:00"/>
        <d v="2024-11-07T00:00:00"/>
        <d v="2025-02-06T00:00:00"/>
        <d v="2024-01-17T00:00:00"/>
        <d v="2024-02-08T00:00:00"/>
        <d v="2025-08-25T00:00:00"/>
        <d v="2024-10-31T00:00:00"/>
        <d v="2025-05-25T00:00:00"/>
        <d v="2025-09-07T00:00:00"/>
        <d v="2025-09-28T00:00:00"/>
        <d v="2025-08-08T00:00:00"/>
        <d v="2025-07-17T00:00:00"/>
        <d v="2025-11-08T00:00:00"/>
        <d v="2025-05-26T00:00:00"/>
        <d v="2023-12-10T00:00:00"/>
        <d v="2024-02-07T00:00:00"/>
        <d v="2024-09-16T00:00:00"/>
        <d v="2025-05-20T00:00:00"/>
        <d v="2024-09-08T00:00:00"/>
        <d v="2025-06-25T00:00:00"/>
        <d v="2024-10-03T00:00:00"/>
        <d v="2023-08-17T00:00:00"/>
        <d v="2025-05-18T00:00:00"/>
        <d v="2023-12-14T00:00:00"/>
        <d v="2023-07-29T00:00:00"/>
        <d v="2024-07-04T00:00:00"/>
        <d v="2025-05-02T00:00:00"/>
        <d v="2025-07-21T00:00:00"/>
        <d v="2025-12-08T00:00:00"/>
        <d v="2024-11-20T00:00:00"/>
        <d v="2023-08-22T00:00:00"/>
        <d v="2025-11-27T00:00:00"/>
        <d v="2025-02-07T00:00:00"/>
        <d v="2023-10-20T00:00:00"/>
        <d v="2023-09-10T00:00:00"/>
        <d v="2025-01-26T00:00:00"/>
        <d v="2025-06-17T00:00:00"/>
        <d v="2023-12-17T00:00:00"/>
        <d v="2024-03-21T00:00:00"/>
        <d v="2025-11-18T00:00:00"/>
        <d v="2025-06-02T00:00:00"/>
        <d v="2024-05-10T00:00:00"/>
        <d v="2023-08-18T00:00:00"/>
        <d v="2024-11-15T00:00:00"/>
        <d v="2025-10-29T00:00:00"/>
        <d v="2025-02-27T00:00:00"/>
        <d v="2025-03-14T00:00:00"/>
        <d v="2024-07-06T00:00:00"/>
        <d v="2024-12-01T00:00:00"/>
        <d v="2023-12-23T00:00:00"/>
        <d v="2025-11-29T00:00:00"/>
        <d v="2025-12-07T00:00:00"/>
        <d v="2024-03-02T00:00:00"/>
        <d v="2024-11-19T00:00:00"/>
        <d v="2023-11-10T00:00:00"/>
        <d v="2024-06-04T00:00:00"/>
        <d v="2023-10-29T00:00:00"/>
        <d v="2024-10-08T00:00:00"/>
        <d v="2023-12-12T00:00:00"/>
        <d v="2024-03-10T00:00:00"/>
        <d v="2024-02-19T00:00:00"/>
        <d v="2023-07-27T00:00:00"/>
        <d v="2023-08-01T00:00:00"/>
        <d v="2024-03-29T00:00:00"/>
        <d v="2024-02-24T00:00:00"/>
        <d v="2025-07-15T00:00:00"/>
        <d v="2025-01-10T00:00:00"/>
        <d v="2024-09-18T00:00:00"/>
        <d v="2024-01-09T00:00:00"/>
        <d v="2024-09-07T00:00:00"/>
        <d v="2024-04-08T00:00:00"/>
        <d v="2024-12-02T00:00:00"/>
        <d v="2025-08-01T00:00:00"/>
        <d v="2025-03-27T00:00:00"/>
        <d v="2025-02-09T00:00:00"/>
        <d v="2024-01-12T00:00:00"/>
        <d v="2024-05-17T00:00:00"/>
        <d v="2024-10-16T00:00:00"/>
        <d v="2025-12-10T00:00:00"/>
        <d v="2024-02-04T00:00:00"/>
        <d v="2025-08-14T00:00:00"/>
        <d v="2023-08-21T00:00:00"/>
        <d v="2024-03-19T00:00:00"/>
        <d v="2024-02-01T00:00:00"/>
        <d v="2024-01-08T00:00:00"/>
        <d v="2024-06-22T00:00:00"/>
        <d v="2025-08-12T00:00:00"/>
        <d v="2025-04-10T00:00:00"/>
        <d v="2024-04-28T00:00:00"/>
        <d v="2024-01-02T00:00:00"/>
        <d v="2024-12-12T00:00:00"/>
        <d v="2025-11-19T00:00:00"/>
        <d v="2025-09-02T00:00:00"/>
        <d v="2025-08-21T00:00:00"/>
        <d v="2025-12-05T00:00:00"/>
        <d v="2025-04-15T00:00:00"/>
        <d v="2025-05-23T00:00:00"/>
        <d v="2023-08-20T00:00:00"/>
        <d v="2024-12-19T00:00:00"/>
        <d v="2024-06-11T00:00:00"/>
        <d v="2024-12-06T00:00:00"/>
        <d v="2024-12-25T00:00:00"/>
        <d v="2025-10-10T00:00:00"/>
        <d v="2024-11-26T00:00:00"/>
        <d v="2023-12-04T00:00:00"/>
        <d v="2024-12-05T00:00:00"/>
        <d v="2023-09-28T00:00:00"/>
        <d v="2024-02-26T00:00:00"/>
        <d v="2023-11-05T00:00:00"/>
        <d v="2024-12-16T00:00:00"/>
        <d v="2024-10-28T00:00:00"/>
        <d v="2024-02-23T00:00:00"/>
        <d v="2025-07-28T00:00:00"/>
        <d v="2023-09-29T00:00:00"/>
        <d v="2024-10-30T00:00:00"/>
        <d v="2025-08-23T00:00:00"/>
        <d v="2025-02-10T00:00:00"/>
        <d v="2025-10-21T00:00:00"/>
        <d v="2025-09-14T00:00:00"/>
        <d v="2024-12-17T00:00:00"/>
        <d v="2025-02-02T00:00:00"/>
        <d v="2025-07-10T00:00:00"/>
        <d v="2024-07-26T00:00:00"/>
        <d v="2025-11-04T00:00:00"/>
        <d v="2024-10-07T00:00:00"/>
        <d v="2025-10-17T00:00:00"/>
        <d v="2023-12-29T00:00:00"/>
        <d v="2023-12-06T00:00:00"/>
        <d v="2025-07-29T00:00:00"/>
        <d v="2024-11-03T00:00:00"/>
        <d v="2023-10-19T00:00:00"/>
        <d v="2025-03-11T00:00:00"/>
        <d v="2024-08-09T00:00:00"/>
        <d v="2024-03-03T00:00:00"/>
        <d v="2025-09-11T00:00:00"/>
        <d v="2025-09-03T00:00:00"/>
        <d v="2024-09-23T00:00:00"/>
        <d v="2024-11-02T00:00:00"/>
        <d v="2024-10-21T00:00:00"/>
        <d v="2025-04-21T00:00:00"/>
        <d v="2024-01-06T00:00:00"/>
        <d v="2024-05-20T00:00:00"/>
        <d v="2025-05-03T00:00:00"/>
        <d v="2025-05-17T00:00:00"/>
        <d v="2024-06-06T00:00:00"/>
        <d v="2024-01-05T00:00:00"/>
        <d v="2024-02-18T00:00:00"/>
        <d v="2025-06-05T00:00:00"/>
        <d v="2024-03-17T00:00:00"/>
        <d v="2023-09-12T00:00:00"/>
        <d v="2025-11-15T00:00:00"/>
        <d v="2024-10-25T00:00:00"/>
        <d v="2024-09-20T00:00:00"/>
        <d v="2023-09-01T00:00:00"/>
        <d v="2025-03-26T00:00:00"/>
        <d v="2024-06-12T00:00:00"/>
        <d v="2024-10-26T00:00:00"/>
        <d v="2025-03-24T00:00:00"/>
        <d v="2025-06-15T00:00:00"/>
        <d v="2024-06-13T00:00:00"/>
        <d v="2025-04-25T00:00:00"/>
        <d v="2023-07-28T00:00:00"/>
        <d v="2024-08-27T00:00:00"/>
        <d v="2024-11-24T00:00:00"/>
        <d v="2024-12-30T00:00:00"/>
        <d v="2025-10-12T00:00:00"/>
        <d v="2024-05-28T00:00:00"/>
        <d v="2023-08-24T00:00:00"/>
        <d v="2024-01-22T00:00:00"/>
        <d v="2025-02-05T00:00:00"/>
        <d v="2024-01-21T00:00:00"/>
        <d v="2024-05-15T00:00:00"/>
        <d v="2025-09-29T00:00:00"/>
        <d v="2024-11-25T00:00:00"/>
        <d v="2024-07-23T00:00:00"/>
        <d v="2024-03-13T00:00:00"/>
        <d v="2025-01-03T00:00:00"/>
        <d v="2024-01-10T00:00:00"/>
        <d v="2024-07-21T00:00:00"/>
        <d v="2024-05-27T00:00:00"/>
        <d v="2024-09-24T00:00:00"/>
        <d v="2025-02-04T00:00:00"/>
        <d v="2024-04-25T00:00:00"/>
        <d v="2024-05-19T00:00:00"/>
        <d v="2025-07-12T00:00:00"/>
        <d v="2025-12-01T00:00:00"/>
        <d v="2025-07-26T00:00:00"/>
        <d v="2025-07-13T00:00:00"/>
        <d v="2025-11-26T00:00:00"/>
        <d v="2024-03-05T00:00:00"/>
        <d v="2025-02-17T00:00:00"/>
        <d v="2024-10-17T00:00:00"/>
        <d v="2024-12-07T00:00:00"/>
        <d v="2023-09-05T00:00:00"/>
        <d v="2025-10-08T00:00:00"/>
        <d v="2024-02-05T00:00:00"/>
        <d v="2025-01-19T00:00:00"/>
        <d v="2024-03-01T00:00:00"/>
        <d v="2025-06-20T00:00:00"/>
        <d v="2025-05-28T00:00:00"/>
        <d v="2025-03-22T00:00:00"/>
        <d v="2025-12-12T00:00:00"/>
        <d v="2025-04-02T00:00:00"/>
        <d v="2024-05-24T00:00:00"/>
        <d v="2023-08-23T00:00:00"/>
        <d v="2023-09-06T00:00:00"/>
        <d v="2025-08-22T00:00:00"/>
        <d v="2025-06-11T00:00:00"/>
        <d v="2025-01-25T00:00:00"/>
        <d v="2024-04-17T00:00:00"/>
        <d v="2024-08-15T00:00:00"/>
        <d v="2025-10-01T00:00:00"/>
        <d v="2025-02-21T00:00:00"/>
        <d v="2024-08-24T00:00:00"/>
        <d v="2024-06-20T00:00:00"/>
        <d v="2025-03-09T00:00:00"/>
        <d v="2024-03-14T00:00:00"/>
        <d v="2025-03-23T00:00:00"/>
        <d v="2025-01-15T00:00:00"/>
        <d v="2025-05-15T00:00:00"/>
        <d v="2025-11-21T00:00:00"/>
        <d v="2025-04-29T00:00:00"/>
        <d v="2023-10-03T00:00:00"/>
        <d v="2025-11-03T00:00:00"/>
        <d v="2023-09-08T00:00:00"/>
        <d v="2025-09-06T00:00:00"/>
        <d v="2023-09-26T00:00:00"/>
        <d v="2025-01-01T00:00:00"/>
        <d v="2023-11-26T00:00:00"/>
        <d v="2025-01-08T00:00:00"/>
        <d v="2024-05-09T00:00:00"/>
        <d v="2024-05-30T00:00:00"/>
        <d v="2024-05-29T00:00:00"/>
        <d v="2023-11-01T00:00:00"/>
        <d v="2024-12-08T00:00:00"/>
        <d v="2025-04-20T00:00:00"/>
        <d v="2025-07-31T00:00:00"/>
        <d v="2024-03-15T00:00:00"/>
        <d v="2025-06-29T00:00:00"/>
        <d v="2023-08-02T00:00:00"/>
        <d v="2024-01-29T00:00:00"/>
        <d v="2024-08-31T00:00:00"/>
        <d v="2024-03-28T00:00:00"/>
        <d v="2025-02-03T00:00:00"/>
        <d v="2023-08-16T00:00:00"/>
        <d v="2025-06-10T00:00:00"/>
        <d v="2023-08-31T00:00:00"/>
        <d v="2023-10-22T00:00:00"/>
        <d v="2024-03-23T00:00:00"/>
        <d v="2024-08-29T00:00:00"/>
        <d v="2025-05-21T00:00:00"/>
        <d v="2025-01-16T00:00:00"/>
        <d v="2025-10-22T00:00:00"/>
        <d v="2025-08-26T00:00:00"/>
        <d v="2024-08-23T00:00:00"/>
        <d v="2023-12-20T00:00:00"/>
        <d v="2024-10-15T00:00:00"/>
        <d v="2024-03-06T00:00:00"/>
        <d v="2024-07-02T00:00:00"/>
        <d v="2024-01-04T00:00:00"/>
        <d v="2024-05-22T00:00:00"/>
        <d v="2025-09-13T00:00:00"/>
        <d v="2023-08-11T00:00:00"/>
        <d v="2025-05-22T00:00:00"/>
        <d v="2025-12-02T00:00:00"/>
        <d v="2024-11-10T00:00:00"/>
        <d v="2024-10-27T00:00:00"/>
        <d v="2023-12-26T00:00:00"/>
        <d v="2025-07-24T00:00:00"/>
        <d v="2025-05-27T00:00:00"/>
        <d v="2024-03-20T00:00:00"/>
        <d v="2025-05-01T00:00:00"/>
        <d v="2024-02-28T00:00:00"/>
        <d v="2025-03-28T00:00:00"/>
        <d v="2025-11-22T00:00:00"/>
        <d v="2024-08-21T00:00:00"/>
        <d v="2025-05-29T00:00:00"/>
        <d v="2023-08-14T00:00:00"/>
        <d v="2023-10-24T00:00:00"/>
        <d v="2023-08-12T00:00:00"/>
        <d v="2024-05-07T00:00:00"/>
        <d v="2023-08-26T00:00:00"/>
        <d v="2024-04-30T00:00:00"/>
        <d v="2024-09-09T00:00:00"/>
        <d v="2023-09-13T00:00:00"/>
        <d v="2024-11-16T00:00:00"/>
        <d v="2024-02-10T00:00:00"/>
        <d v="2024-08-02T00:00:00"/>
        <d v="2024-03-07T00:00:00"/>
        <d v="2025-03-16T00:00:00"/>
        <d v="2023-11-07T00:00:00"/>
        <d v="2025-06-23T00:00:00"/>
        <d v="2024-01-19T00:00:00"/>
        <d v="2025-10-25T00:00:00"/>
        <d v="2024-11-04T00:00:00"/>
        <d v="2024-03-11T00:00:00"/>
        <d v="2024-02-16T00:00:00"/>
        <d v="2025-08-28T00:00:00"/>
        <d v="2024-10-29T00:00:00"/>
        <d v="2024-11-17T00:00:00"/>
        <d v="2024-12-15T00:00:00"/>
        <d v="2023-11-03T00:00:00"/>
        <d v="2023-12-08T00:00:00"/>
        <d v="2025-02-23T00:00:00"/>
        <d v="2024-04-05T00:00:00"/>
        <d v="2025-01-22T00:00:00"/>
        <d v="2025-11-16T00:00:00"/>
        <d v="2025-02-13T00:00:00"/>
        <d v="2025-08-20T00:00:00"/>
        <d v="2025-11-02T00:00:00"/>
        <d v="2024-01-15T00:00:00"/>
        <d v="2025-04-23T00:00:00"/>
        <d v="2025-05-05T00:00:00"/>
        <d v="2025-08-31T00:00:00"/>
        <d v="2025-11-13T00:00:00"/>
        <d v="2024-01-25T00:00:00"/>
        <d v="2025-04-05T00:00:00"/>
        <d v="2023-11-27T00:00:00"/>
        <d v="2025-01-23T00:00:00"/>
      </sharedItems>
      <fieldGroup par="14"/>
    </cacheField>
    <cacheField name="Last_Date" numFmtId="164">
      <sharedItems containsSemiMixedTypes="0" containsNonDate="0" containsDate="1" containsString="0" minDate="2025-09-13T00:00:00" maxDate="2026-01-11T00:00:00"/>
    </cacheField>
    <cacheField name="Monthly_Fee" numFmtId="0">
      <sharedItems containsSemiMixedTypes="0" containsString="0" containsNumber="1" containsInteger="1" minValue="800" maxValue="1700" count="6">
        <n v="1200"/>
        <n v="1300"/>
        <n v="1700"/>
        <n v="800"/>
        <n v="1000"/>
        <n v="1500"/>
      </sharedItems>
    </cacheField>
    <cacheField name="PT_Opted" numFmtId="0">
      <sharedItems count="2">
        <s v="No"/>
        <s v="Yes"/>
      </sharedItems>
    </cacheField>
    <cacheField name="Status" numFmtId="0">
      <sharedItems/>
    </cacheField>
    <cacheField name="Total_Revenue" numFmtId="0">
      <sharedItems containsSemiMixedTypes="0" containsString="0" containsNumber="1" containsInteger="1" minValue="1200" maxValue="15600"/>
    </cacheField>
    <cacheField name="Group_Stage" numFmtId="0">
      <sharedItems count="3">
        <s v="18-24"/>
        <s v="35+"/>
        <s v="25-34"/>
      </sharedItems>
    </cacheField>
    <cacheField name="Member_type" numFmtId="0">
      <sharedItems/>
    </cacheField>
    <cacheField name="Month" numFmtId="0">
      <sharedItems/>
    </cacheField>
    <cacheField name="Months (Join_Date)" numFmtId="0" databaseField="0">
      <fieldGroup base="4">
        <rangePr groupBy="months" startDate="2023-07-27T00:00:00" endDate="2025-12-13T00:00:00"/>
        <groupItems count="14">
          <s v="&lt;27-07-2023"/>
          <s v="Jan"/>
          <s v="Feb"/>
          <s v="Mar"/>
          <s v="Apr"/>
          <s v="May"/>
          <s v="Jun"/>
          <s v="Jul"/>
          <s v="Aug"/>
          <s v="Sep"/>
          <s v="Oct"/>
          <s v="Nov"/>
          <s v="Dec"/>
          <s v="&gt;13-12-2025"/>
        </groupItems>
      </fieldGroup>
    </cacheField>
    <cacheField name="Years (Join_Date)" numFmtId="0" databaseField="0">
      <fieldGroup base="4">
        <rangePr groupBy="years" startDate="2023-07-27T00:00:00" endDate="2025-12-13T00:00:00"/>
        <groupItems count="5">
          <s v="&lt;27-07-2023"/>
          <s v="2023"/>
          <s v="2024"/>
          <s v="2025"/>
          <s v="&gt;13-12-2025"/>
        </groupItems>
      </fieldGroup>
    </cacheField>
  </cacheFields>
  <extLst>
    <ext xmlns:x14="http://schemas.microsoft.com/office/spreadsheetml/2009/9/main" uri="{725AE2AE-9491-48be-B2B4-4EB974FC3084}">
      <x14:pivotCacheDefinition pivotCacheId="377252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001"/>
    <n v="24"/>
    <x v="0"/>
    <x v="0"/>
    <x v="0"/>
    <d v="2026-01-05T00:00:00"/>
    <x v="0"/>
    <x v="0"/>
    <s v="Active"/>
    <n v="1200"/>
    <x v="0"/>
    <s v="Safe"/>
    <s v="Dec-2025"/>
  </r>
  <r>
    <n v="10002"/>
    <n v="37"/>
    <x v="0"/>
    <x v="1"/>
    <x v="1"/>
    <d v="2026-01-10T00:00:00"/>
    <x v="1"/>
    <x v="1"/>
    <s v="Active"/>
    <n v="15600"/>
    <x v="1"/>
    <s v="Safe"/>
    <s v="Jul-2025"/>
  </r>
  <r>
    <n v="10003"/>
    <n v="32"/>
    <x v="0"/>
    <x v="0"/>
    <x v="2"/>
    <d v="2026-01-08T00:00:00"/>
    <x v="2"/>
    <x v="1"/>
    <s v="Active"/>
    <n v="1700"/>
    <x v="2"/>
    <s v="Safe"/>
    <s v="May-2025"/>
  </r>
  <r>
    <n v="10004"/>
    <n v="28"/>
    <x v="0"/>
    <x v="1"/>
    <x v="3"/>
    <d v="2025-09-20T00:00:00"/>
    <x v="3"/>
    <x v="0"/>
    <s v="Inactive"/>
    <n v="9600"/>
    <x v="2"/>
    <s v="High Risk"/>
    <s v="Dec-2024"/>
  </r>
  <r>
    <n v="10005"/>
    <n v="25"/>
    <x v="0"/>
    <x v="2"/>
    <x v="4"/>
    <d v="2025-09-23T00:00:00"/>
    <x v="4"/>
    <x v="0"/>
    <s v="Inactive"/>
    <n v="3000"/>
    <x v="2"/>
    <s v="High Risk"/>
    <s v="Feb-2024"/>
  </r>
  <r>
    <n v="10006"/>
    <n v="38"/>
    <x v="1"/>
    <x v="1"/>
    <x v="5"/>
    <d v="2025-11-18T00:00:00"/>
    <x v="3"/>
    <x v="0"/>
    <s v="Inactive"/>
    <n v="9600"/>
    <x v="1"/>
    <s v="High Risk"/>
    <s v="Sep-2024"/>
  </r>
  <r>
    <n v="10007"/>
    <n v="24"/>
    <x v="0"/>
    <x v="2"/>
    <x v="6"/>
    <d v="2026-01-01T00:00:00"/>
    <x v="4"/>
    <x v="0"/>
    <s v="Active"/>
    <n v="3000"/>
    <x v="0"/>
    <s v="Safe"/>
    <s v="Dec-2024"/>
  </r>
  <r>
    <n v="10008"/>
    <n v="43"/>
    <x v="0"/>
    <x v="2"/>
    <x v="7"/>
    <d v="2025-12-26T00:00:00"/>
    <x v="5"/>
    <x v="1"/>
    <s v="Active"/>
    <n v="4500"/>
    <x v="1"/>
    <s v="Safe"/>
    <s v="Jun-2025"/>
  </r>
  <r>
    <n v="10009"/>
    <n v="36"/>
    <x v="0"/>
    <x v="0"/>
    <x v="8"/>
    <d v="2025-12-17T00:00:00"/>
    <x v="0"/>
    <x v="0"/>
    <s v="Active"/>
    <n v="1200"/>
    <x v="1"/>
    <s v="Safe"/>
    <s v="Oct-2025"/>
  </r>
  <r>
    <n v="10010"/>
    <n v="40"/>
    <x v="1"/>
    <x v="1"/>
    <x v="9"/>
    <d v="2026-01-10T00:00:00"/>
    <x v="1"/>
    <x v="1"/>
    <s v="Active"/>
    <n v="15600"/>
    <x v="1"/>
    <s v="Safe"/>
    <s v="Feb-2025"/>
  </r>
  <r>
    <n v="10011"/>
    <n v="28"/>
    <x v="1"/>
    <x v="0"/>
    <x v="10"/>
    <d v="2025-12-30T00:00:00"/>
    <x v="0"/>
    <x v="0"/>
    <s v="Active"/>
    <n v="1200"/>
    <x v="2"/>
    <s v="Safe"/>
    <s v="Oct-2023"/>
  </r>
  <r>
    <n v="10012"/>
    <n v="28"/>
    <x v="0"/>
    <x v="2"/>
    <x v="11"/>
    <d v="2025-12-31T00:00:00"/>
    <x v="5"/>
    <x v="1"/>
    <s v="Active"/>
    <n v="4500"/>
    <x v="2"/>
    <s v="Safe"/>
    <s v="Mar-2025"/>
  </r>
  <r>
    <n v="10013"/>
    <n v="41"/>
    <x v="1"/>
    <x v="1"/>
    <x v="12"/>
    <d v="2025-12-31T00:00:00"/>
    <x v="3"/>
    <x v="0"/>
    <s v="Active"/>
    <n v="9600"/>
    <x v="1"/>
    <s v="Safe"/>
    <s v="Jun-2024"/>
  </r>
  <r>
    <n v="10014"/>
    <n v="38"/>
    <x v="0"/>
    <x v="2"/>
    <x v="3"/>
    <d v="2026-01-04T00:00:00"/>
    <x v="4"/>
    <x v="0"/>
    <s v="Active"/>
    <n v="3000"/>
    <x v="1"/>
    <s v="Safe"/>
    <s v="Dec-2024"/>
  </r>
  <r>
    <n v="10015"/>
    <n v="21"/>
    <x v="1"/>
    <x v="0"/>
    <x v="13"/>
    <d v="2025-10-07T00:00:00"/>
    <x v="0"/>
    <x v="0"/>
    <s v="Inactive"/>
    <n v="1200"/>
    <x v="0"/>
    <s v="High Risk"/>
    <s v="Nov-2023"/>
  </r>
  <r>
    <n v="10016"/>
    <n v="25"/>
    <x v="0"/>
    <x v="2"/>
    <x v="14"/>
    <d v="2025-11-27T00:00:00"/>
    <x v="4"/>
    <x v="0"/>
    <s v="Inactive"/>
    <n v="3000"/>
    <x v="2"/>
    <s v="High Risk"/>
    <s v="Jan-2024"/>
  </r>
  <r>
    <n v="10017"/>
    <n v="41"/>
    <x v="1"/>
    <x v="0"/>
    <x v="15"/>
    <d v="2025-09-24T00:00:00"/>
    <x v="2"/>
    <x v="1"/>
    <s v="Inactive"/>
    <n v="1700"/>
    <x v="1"/>
    <s v="High Risk"/>
    <s v="Sep-2025"/>
  </r>
  <r>
    <n v="10018"/>
    <n v="20"/>
    <x v="0"/>
    <x v="2"/>
    <x v="16"/>
    <d v="2026-01-02T00:00:00"/>
    <x v="4"/>
    <x v="0"/>
    <s v="Active"/>
    <n v="3000"/>
    <x v="0"/>
    <s v="Safe"/>
    <s v="Feb-2024"/>
  </r>
  <r>
    <n v="10019"/>
    <n v="39"/>
    <x v="0"/>
    <x v="0"/>
    <x v="4"/>
    <d v="2025-12-18T00:00:00"/>
    <x v="0"/>
    <x v="0"/>
    <s v="Active"/>
    <n v="1200"/>
    <x v="1"/>
    <s v="Safe"/>
    <s v="Feb-2024"/>
  </r>
  <r>
    <n v="10020"/>
    <n v="38"/>
    <x v="1"/>
    <x v="0"/>
    <x v="17"/>
    <d v="2026-01-10T00:00:00"/>
    <x v="2"/>
    <x v="1"/>
    <s v="Active"/>
    <n v="1700"/>
    <x v="1"/>
    <s v="Safe"/>
    <s v="Mar-2025"/>
  </r>
  <r>
    <n v="10021"/>
    <n v="19"/>
    <x v="0"/>
    <x v="0"/>
    <x v="18"/>
    <d v="2025-11-03T00:00:00"/>
    <x v="0"/>
    <x v="0"/>
    <s v="Inactive"/>
    <n v="1200"/>
    <x v="0"/>
    <s v="High Risk"/>
    <s v="Jun-2025"/>
  </r>
  <r>
    <n v="10022"/>
    <n v="41"/>
    <x v="0"/>
    <x v="2"/>
    <x v="19"/>
    <d v="2026-01-01T00:00:00"/>
    <x v="5"/>
    <x v="1"/>
    <s v="Active"/>
    <n v="4500"/>
    <x v="1"/>
    <s v="Safe"/>
    <s v="Dec-2024"/>
  </r>
  <r>
    <n v="10023"/>
    <n v="29"/>
    <x v="0"/>
    <x v="0"/>
    <x v="20"/>
    <d v="2025-09-16T00:00:00"/>
    <x v="0"/>
    <x v="0"/>
    <s v="Inactive"/>
    <n v="1200"/>
    <x v="2"/>
    <s v="High Risk"/>
    <s v="May-2024"/>
  </r>
  <r>
    <n v="10024"/>
    <n v="23"/>
    <x v="0"/>
    <x v="0"/>
    <x v="21"/>
    <d v="2025-12-24T00:00:00"/>
    <x v="0"/>
    <x v="0"/>
    <s v="Active"/>
    <n v="1200"/>
    <x v="0"/>
    <s v="Safe"/>
    <s v="Sep-2024"/>
  </r>
  <r>
    <n v="10025"/>
    <n v="19"/>
    <x v="0"/>
    <x v="1"/>
    <x v="22"/>
    <d v="2025-12-23T00:00:00"/>
    <x v="3"/>
    <x v="0"/>
    <s v="Active"/>
    <n v="9600"/>
    <x v="0"/>
    <s v="Safe"/>
    <s v="Apr-2024"/>
  </r>
  <r>
    <n v="10026"/>
    <n v="45"/>
    <x v="0"/>
    <x v="0"/>
    <x v="23"/>
    <d v="2025-11-01T00:00:00"/>
    <x v="2"/>
    <x v="1"/>
    <s v="Inactive"/>
    <n v="1700"/>
    <x v="1"/>
    <s v="High Risk"/>
    <s v="Oct-2024"/>
  </r>
  <r>
    <n v="10027"/>
    <n v="38"/>
    <x v="0"/>
    <x v="2"/>
    <x v="24"/>
    <d v="2025-10-20T00:00:00"/>
    <x v="5"/>
    <x v="1"/>
    <s v="Inactive"/>
    <n v="4500"/>
    <x v="1"/>
    <s v="High Risk"/>
    <s v="Nov-2025"/>
  </r>
  <r>
    <n v="10028"/>
    <n v="18"/>
    <x v="0"/>
    <x v="1"/>
    <x v="25"/>
    <d v="2026-01-09T00:00:00"/>
    <x v="3"/>
    <x v="0"/>
    <s v="Active"/>
    <n v="9600"/>
    <x v="0"/>
    <s v="Safe"/>
    <s v="Dec-2025"/>
  </r>
  <r>
    <n v="10029"/>
    <n v="29"/>
    <x v="1"/>
    <x v="1"/>
    <x v="26"/>
    <d v="2025-12-27T00:00:00"/>
    <x v="1"/>
    <x v="1"/>
    <s v="Active"/>
    <n v="15600"/>
    <x v="2"/>
    <s v="Safe"/>
    <s v="Mar-2025"/>
  </r>
  <r>
    <n v="10030"/>
    <n v="43"/>
    <x v="0"/>
    <x v="2"/>
    <x v="27"/>
    <d v="2025-12-26T00:00:00"/>
    <x v="5"/>
    <x v="1"/>
    <s v="Active"/>
    <n v="4500"/>
    <x v="1"/>
    <s v="Safe"/>
    <s v="Jul-2025"/>
  </r>
  <r>
    <n v="10031"/>
    <n v="39"/>
    <x v="0"/>
    <x v="2"/>
    <x v="28"/>
    <d v="2025-09-17T00:00:00"/>
    <x v="4"/>
    <x v="0"/>
    <s v="Inactive"/>
    <n v="3000"/>
    <x v="1"/>
    <s v="High Risk"/>
    <s v="Mar-2024"/>
  </r>
  <r>
    <n v="10032"/>
    <n v="29"/>
    <x v="0"/>
    <x v="1"/>
    <x v="29"/>
    <d v="2025-10-29T00:00:00"/>
    <x v="3"/>
    <x v="0"/>
    <s v="Inactive"/>
    <n v="9600"/>
    <x v="2"/>
    <s v="High Risk"/>
    <s v="May-2024"/>
  </r>
  <r>
    <n v="10033"/>
    <n v="42"/>
    <x v="0"/>
    <x v="0"/>
    <x v="30"/>
    <d v="2025-11-08T00:00:00"/>
    <x v="0"/>
    <x v="0"/>
    <s v="Inactive"/>
    <n v="1200"/>
    <x v="1"/>
    <s v="High Risk"/>
    <s v="Nov-2023"/>
  </r>
  <r>
    <n v="10034"/>
    <n v="34"/>
    <x v="1"/>
    <x v="1"/>
    <x v="31"/>
    <d v="2026-01-01T00:00:00"/>
    <x v="3"/>
    <x v="0"/>
    <s v="Active"/>
    <n v="9600"/>
    <x v="2"/>
    <s v="Safe"/>
    <s v="Oct-2024"/>
  </r>
  <r>
    <n v="10035"/>
    <n v="44"/>
    <x v="0"/>
    <x v="0"/>
    <x v="32"/>
    <d v="2025-10-31T00:00:00"/>
    <x v="2"/>
    <x v="1"/>
    <s v="Inactive"/>
    <n v="1700"/>
    <x v="1"/>
    <s v="High Risk"/>
    <s v="Sep-2025"/>
  </r>
  <r>
    <n v="10036"/>
    <n v="44"/>
    <x v="0"/>
    <x v="1"/>
    <x v="33"/>
    <d v="2026-01-08T00:00:00"/>
    <x v="3"/>
    <x v="0"/>
    <s v="Active"/>
    <n v="9600"/>
    <x v="1"/>
    <s v="Safe"/>
    <s v="Jun-2024"/>
  </r>
  <r>
    <n v="10037"/>
    <n v="27"/>
    <x v="1"/>
    <x v="0"/>
    <x v="34"/>
    <d v="2025-11-03T00:00:00"/>
    <x v="2"/>
    <x v="1"/>
    <s v="Inactive"/>
    <n v="1700"/>
    <x v="2"/>
    <s v="High Risk"/>
    <s v="Jan-2024"/>
  </r>
  <r>
    <n v="10038"/>
    <n v="45"/>
    <x v="1"/>
    <x v="2"/>
    <x v="35"/>
    <d v="2025-10-18T00:00:00"/>
    <x v="4"/>
    <x v="0"/>
    <s v="Inactive"/>
    <n v="3000"/>
    <x v="1"/>
    <s v="High Risk"/>
    <s v="Nov-2025"/>
  </r>
  <r>
    <n v="10039"/>
    <n v="45"/>
    <x v="0"/>
    <x v="0"/>
    <x v="36"/>
    <d v="2025-10-03T00:00:00"/>
    <x v="0"/>
    <x v="0"/>
    <s v="Inactive"/>
    <n v="1200"/>
    <x v="1"/>
    <s v="High Risk"/>
    <s v="Aug-2023"/>
  </r>
  <r>
    <n v="10040"/>
    <n v="33"/>
    <x v="1"/>
    <x v="2"/>
    <x v="37"/>
    <d v="2025-11-17T00:00:00"/>
    <x v="4"/>
    <x v="0"/>
    <s v="Inactive"/>
    <n v="3000"/>
    <x v="2"/>
    <s v="High Risk"/>
    <s v="Jul-2024"/>
  </r>
  <r>
    <n v="10041"/>
    <n v="32"/>
    <x v="1"/>
    <x v="0"/>
    <x v="38"/>
    <d v="2025-12-29T00:00:00"/>
    <x v="2"/>
    <x v="1"/>
    <s v="Active"/>
    <n v="1700"/>
    <x v="2"/>
    <s v="Safe"/>
    <s v="Sep-2024"/>
  </r>
  <r>
    <n v="10042"/>
    <n v="32"/>
    <x v="0"/>
    <x v="1"/>
    <x v="39"/>
    <d v="2026-01-09T00:00:00"/>
    <x v="3"/>
    <x v="0"/>
    <s v="Active"/>
    <n v="9600"/>
    <x v="2"/>
    <s v="Safe"/>
    <s v="Feb-2025"/>
  </r>
  <r>
    <n v="10043"/>
    <n v="36"/>
    <x v="1"/>
    <x v="1"/>
    <x v="40"/>
    <d v="2025-11-19T00:00:00"/>
    <x v="3"/>
    <x v="0"/>
    <s v="Inactive"/>
    <n v="9600"/>
    <x v="1"/>
    <s v="High Risk"/>
    <s v="Jun-2024"/>
  </r>
  <r>
    <n v="10044"/>
    <n v="29"/>
    <x v="1"/>
    <x v="0"/>
    <x v="41"/>
    <d v="2026-01-06T00:00:00"/>
    <x v="2"/>
    <x v="1"/>
    <s v="Active"/>
    <n v="1700"/>
    <x v="2"/>
    <s v="Safe"/>
    <s v="Sep-2023"/>
  </r>
  <r>
    <n v="10045"/>
    <n v="40"/>
    <x v="0"/>
    <x v="1"/>
    <x v="42"/>
    <d v="2025-12-29T00:00:00"/>
    <x v="3"/>
    <x v="0"/>
    <s v="Active"/>
    <n v="9600"/>
    <x v="1"/>
    <s v="Safe"/>
    <s v="Jan-2025"/>
  </r>
  <r>
    <n v="10046"/>
    <n v="37"/>
    <x v="0"/>
    <x v="1"/>
    <x v="43"/>
    <d v="2025-11-26T00:00:00"/>
    <x v="3"/>
    <x v="0"/>
    <s v="Inactive"/>
    <n v="9600"/>
    <x v="1"/>
    <s v="High Risk"/>
    <s v="Sep-2025"/>
  </r>
  <r>
    <n v="10047"/>
    <n v="42"/>
    <x v="0"/>
    <x v="2"/>
    <x v="44"/>
    <d v="2025-10-17T00:00:00"/>
    <x v="4"/>
    <x v="0"/>
    <s v="Inactive"/>
    <n v="3000"/>
    <x v="1"/>
    <s v="High Risk"/>
    <s v="Nov-2025"/>
  </r>
  <r>
    <n v="10048"/>
    <n v="20"/>
    <x v="1"/>
    <x v="0"/>
    <x v="45"/>
    <d v="2026-01-07T00:00:00"/>
    <x v="2"/>
    <x v="1"/>
    <s v="Active"/>
    <n v="1700"/>
    <x v="0"/>
    <s v="Safe"/>
    <s v="Oct-2025"/>
  </r>
  <r>
    <n v="10049"/>
    <n v="22"/>
    <x v="1"/>
    <x v="0"/>
    <x v="46"/>
    <d v="2025-09-15T00:00:00"/>
    <x v="2"/>
    <x v="1"/>
    <s v="Inactive"/>
    <n v="1700"/>
    <x v="0"/>
    <s v="High Risk"/>
    <s v="Mar-2024"/>
  </r>
  <r>
    <n v="10050"/>
    <n v="36"/>
    <x v="0"/>
    <x v="0"/>
    <x v="47"/>
    <d v="2026-01-02T00:00:00"/>
    <x v="2"/>
    <x v="1"/>
    <s v="Active"/>
    <n v="1700"/>
    <x v="1"/>
    <s v="Safe"/>
    <s v="Sep-2023"/>
  </r>
  <r>
    <n v="10051"/>
    <n v="24"/>
    <x v="0"/>
    <x v="0"/>
    <x v="48"/>
    <d v="2025-12-02T00:00:00"/>
    <x v="0"/>
    <x v="0"/>
    <s v="Inactive"/>
    <n v="1200"/>
    <x v="0"/>
    <s v="High Risk"/>
    <s v="Dec-2025"/>
  </r>
  <r>
    <n v="10052"/>
    <n v="38"/>
    <x v="0"/>
    <x v="1"/>
    <x v="49"/>
    <d v="2026-01-05T00:00:00"/>
    <x v="1"/>
    <x v="1"/>
    <s v="Active"/>
    <n v="15600"/>
    <x v="1"/>
    <s v="Safe"/>
    <s v="Aug-2024"/>
  </r>
  <r>
    <n v="10053"/>
    <n v="26"/>
    <x v="0"/>
    <x v="0"/>
    <x v="50"/>
    <d v="2025-12-18T00:00:00"/>
    <x v="2"/>
    <x v="1"/>
    <s v="Active"/>
    <n v="1700"/>
    <x v="2"/>
    <s v="Safe"/>
    <s v="Jun-2025"/>
  </r>
  <r>
    <n v="10054"/>
    <n v="24"/>
    <x v="0"/>
    <x v="1"/>
    <x v="51"/>
    <d v="2025-12-28T00:00:00"/>
    <x v="3"/>
    <x v="0"/>
    <s v="Active"/>
    <n v="9600"/>
    <x v="0"/>
    <s v="Safe"/>
    <s v="Feb-2025"/>
  </r>
  <r>
    <n v="10055"/>
    <n v="35"/>
    <x v="0"/>
    <x v="0"/>
    <x v="52"/>
    <d v="2025-12-22T00:00:00"/>
    <x v="0"/>
    <x v="0"/>
    <s v="Active"/>
    <n v="1200"/>
    <x v="1"/>
    <s v="Safe"/>
    <s v="May-2024"/>
  </r>
  <r>
    <n v="10056"/>
    <n v="21"/>
    <x v="1"/>
    <x v="2"/>
    <x v="53"/>
    <d v="2025-09-23T00:00:00"/>
    <x v="5"/>
    <x v="1"/>
    <s v="Inactive"/>
    <n v="4500"/>
    <x v="0"/>
    <s v="High Risk"/>
    <s v="Mar-2025"/>
  </r>
  <r>
    <n v="10057"/>
    <n v="42"/>
    <x v="0"/>
    <x v="1"/>
    <x v="54"/>
    <d v="2025-10-15T00:00:00"/>
    <x v="1"/>
    <x v="1"/>
    <s v="Inactive"/>
    <n v="15600"/>
    <x v="1"/>
    <s v="High Risk"/>
    <s v="Feb-2024"/>
  </r>
  <r>
    <n v="10058"/>
    <n v="45"/>
    <x v="1"/>
    <x v="1"/>
    <x v="55"/>
    <d v="2025-12-28T00:00:00"/>
    <x v="3"/>
    <x v="0"/>
    <s v="Active"/>
    <n v="9600"/>
    <x v="1"/>
    <s v="Safe"/>
    <s v="Nov-2024"/>
  </r>
  <r>
    <n v="10059"/>
    <n v="31"/>
    <x v="0"/>
    <x v="0"/>
    <x v="56"/>
    <d v="2025-12-27T00:00:00"/>
    <x v="2"/>
    <x v="1"/>
    <s v="Active"/>
    <n v="1700"/>
    <x v="2"/>
    <s v="Safe"/>
    <s v="Dec-2024"/>
  </r>
  <r>
    <n v="10060"/>
    <n v="35"/>
    <x v="0"/>
    <x v="2"/>
    <x v="57"/>
    <d v="2026-01-06T00:00:00"/>
    <x v="4"/>
    <x v="0"/>
    <s v="Active"/>
    <n v="3000"/>
    <x v="1"/>
    <s v="Safe"/>
    <s v="Mar-2024"/>
  </r>
  <r>
    <n v="10061"/>
    <n v="43"/>
    <x v="0"/>
    <x v="0"/>
    <x v="58"/>
    <d v="2025-12-24T00:00:00"/>
    <x v="0"/>
    <x v="0"/>
    <s v="Active"/>
    <n v="1200"/>
    <x v="1"/>
    <s v="Safe"/>
    <s v="Sep-2025"/>
  </r>
  <r>
    <n v="10062"/>
    <n v="26"/>
    <x v="0"/>
    <x v="0"/>
    <x v="59"/>
    <d v="2025-11-08T00:00:00"/>
    <x v="0"/>
    <x v="0"/>
    <s v="Inactive"/>
    <n v="1200"/>
    <x v="2"/>
    <s v="High Risk"/>
    <s v="Aug-2024"/>
  </r>
  <r>
    <n v="10063"/>
    <n v="43"/>
    <x v="1"/>
    <x v="0"/>
    <x v="60"/>
    <d v="2025-12-31T00:00:00"/>
    <x v="0"/>
    <x v="0"/>
    <s v="Active"/>
    <n v="1200"/>
    <x v="1"/>
    <s v="Safe"/>
    <s v="May-2025"/>
  </r>
  <r>
    <n v="10064"/>
    <n v="38"/>
    <x v="0"/>
    <x v="2"/>
    <x v="61"/>
    <d v="2025-12-23T00:00:00"/>
    <x v="4"/>
    <x v="0"/>
    <s v="Active"/>
    <n v="3000"/>
    <x v="1"/>
    <s v="Safe"/>
    <s v="Mar-2025"/>
  </r>
  <r>
    <n v="10065"/>
    <n v="19"/>
    <x v="1"/>
    <x v="0"/>
    <x v="62"/>
    <d v="2025-12-28T00:00:00"/>
    <x v="0"/>
    <x v="0"/>
    <s v="Active"/>
    <n v="1200"/>
    <x v="0"/>
    <s v="Safe"/>
    <s v="Oct-2023"/>
  </r>
  <r>
    <n v="10066"/>
    <n v="37"/>
    <x v="0"/>
    <x v="2"/>
    <x v="15"/>
    <d v="2025-09-25T00:00:00"/>
    <x v="5"/>
    <x v="1"/>
    <s v="Inactive"/>
    <n v="4500"/>
    <x v="1"/>
    <s v="High Risk"/>
    <s v="Sep-2025"/>
  </r>
  <r>
    <n v="10067"/>
    <n v="45"/>
    <x v="1"/>
    <x v="0"/>
    <x v="63"/>
    <d v="2026-01-09T00:00:00"/>
    <x v="0"/>
    <x v="0"/>
    <s v="Active"/>
    <n v="1200"/>
    <x v="1"/>
    <s v="Safe"/>
    <s v="Jan-2025"/>
  </r>
  <r>
    <n v="10068"/>
    <n v="32"/>
    <x v="0"/>
    <x v="2"/>
    <x v="64"/>
    <d v="2025-12-24T00:00:00"/>
    <x v="4"/>
    <x v="0"/>
    <s v="Active"/>
    <n v="3000"/>
    <x v="2"/>
    <s v="Safe"/>
    <s v="Sep-2024"/>
  </r>
  <r>
    <n v="10069"/>
    <n v="45"/>
    <x v="1"/>
    <x v="0"/>
    <x v="65"/>
    <d v="2025-11-02T00:00:00"/>
    <x v="2"/>
    <x v="1"/>
    <s v="Inactive"/>
    <n v="1700"/>
    <x v="1"/>
    <s v="High Risk"/>
    <s v="Mar-2025"/>
  </r>
  <r>
    <n v="10070"/>
    <n v="24"/>
    <x v="1"/>
    <x v="2"/>
    <x v="66"/>
    <d v="2025-10-06T00:00:00"/>
    <x v="5"/>
    <x v="1"/>
    <s v="Inactive"/>
    <n v="4500"/>
    <x v="0"/>
    <s v="High Risk"/>
    <s v="May-2024"/>
  </r>
  <r>
    <n v="10071"/>
    <n v="29"/>
    <x v="0"/>
    <x v="1"/>
    <x v="67"/>
    <d v="2026-01-10T00:00:00"/>
    <x v="1"/>
    <x v="1"/>
    <s v="Active"/>
    <n v="15600"/>
    <x v="2"/>
    <s v="Safe"/>
    <s v="Sep-2023"/>
  </r>
  <r>
    <n v="10072"/>
    <n v="25"/>
    <x v="0"/>
    <x v="2"/>
    <x v="68"/>
    <d v="2025-12-22T00:00:00"/>
    <x v="4"/>
    <x v="0"/>
    <s v="Active"/>
    <n v="3000"/>
    <x v="2"/>
    <s v="Safe"/>
    <s v="Dec-2023"/>
  </r>
  <r>
    <n v="10073"/>
    <n v="32"/>
    <x v="1"/>
    <x v="1"/>
    <x v="69"/>
    <d v="2025-10-04T00:00:00"/>
    <x v="1"/>
    <x v="1"/>
    <s v="Inactive"/>
    <n v="15600"/>
    <x v="2"/>
    <s v="High Risk"/>
    <s v="Oct-2023"/>
  </r>
  <r>
    <n v="10074"/>
    <n v="20"/>
    <x v="1"/>
    <x v="0"/>
    <x v="70"/>
    <d v="2025-09-28T00:00:00"/>
    <x v="2"/>
    <x v="1"/>
    <s v="Inactive"/>
    <n v="1700"/>
    <x v="0"/>
    <s v="High Risk"/>
    <s v="Apr-2024"/>
  </r>
  <r>
    <n v="10075"/>
    <n v="31"/>
    <x v="0"/>
    <x v="2"/>
    <x v="71"/>
    <d v="2025-12-24T00:00:00"/>
    <x v="4"/>
    <x v="0"/>
    <s v="Active"/>
    <n v="3000"/>
    <x v="2"/>
    <s v="Safe"/>
    <s v="Dec-2024"/>
  </r>
  <r>
    <n v="10076"/>
    <n v="34"/>
    <x v="1"/>
    <x v="0"/>
    <x v="72"/>
    <d v="2026-01-02T00:00:00"/>
    <x v="0"/>
    <x v="0"/>
    <s v="Active"/>
    <n v="1200"/>
    <x v="2"/>
    <s v="Safe"/>
    <s v="Nov-2025"/>
  </r>
  <r>
    <n v="10077"/>
    <n v="21"/>
    <x v="1"/>
    <x v="0"/>
    <x v="73"/>
    <d v="2026-01-08T00:00:00"/>
    <x v="2"/>
    <x v="1"/>
    <s v="Active"/>
    <n v="1700"/>
    <x v="0"/>
    <s v="Safe"/>
    <s v="Oct-2024"/>
  </r>
  <r>
    <n v="10078"/>
    <n v="35"/>
    <x v="1"/>
    <x v="2"/>
    <x v="74"/>
    <d v="2025-12-29T00:00:00"/>
    <x v="4"/>
    <x v="0"/>
    <s v="Active"/>
    <n v="3000"/>
    <x v="1"/>
    <s v="Safe"/>
    <s v="Oct-2025"/>
  </r>
  <r>
    <n v="10079"/>
    <n v="25"/>
    <x v="1"/>
    <x v="1"/>
    <x v="75"/>
    <d v="2026-01-04T00:00:00"/>
    <x v="3"/>
    <x v="0"/>
    <s v="Active"/>
    <n v="9600"/>
    <x v="2"/>
    <s v="Safe"/>
    <s v="Sep-2025"/>
  </r>
  <r>
    <n v="10080"/>
    <n v="21"/>
    <x v="1"/>
    <x v="0"/>
    <x v="76"/>
    <d v="2025-10-20T00:00:00"/>
    <x v="0"/>
    <x v="0"/>
    <s v="Inactive"/>
    <n v="1200"/>
    <x v="0"/>
    <s v="High Risk"/>
    <s v="Aug-2025"/>
  </r>
  <r>
    <n v="10081"/>
    <n v="19"/>
    <x v="0"/>
    <x v="2"/>
    <x v="77"/>
    <d v="2025-11-22T00:00:00"/>
    <x v="4"/>
    <x v="0"/>
    <s v="Inactive"/>
    <n v="3000"/>
    <x v="0"/>
    <s v="High Risk"/>
    <s v="Jul-2025"/>
  </r>
  <r>
    <n v="10082"/>
    <n v="23"/>
    <x v="0"/>
    <x v="2"/>
    <x v="78"/>
    <d v="2025-12-20T00:00:00"/>
    <x v="5"/>
    <x v="1"/>
    <s v="Active"/>
    <n v="4500"/>
    <x v="0"/>
    <s v="Safe"/>
    <s v="Nov-2023"/>
  </r>
  <r>
    <n v="10083"/>
    <n v="39"/>
    <x v="0"/>
    <x v="0"/>
    <x v="79"/>
    <d v="2025-12-24T00:00:00"/>
    <x v="2"/>
    <x v="1"/>
    <s v="Active"/>
    <n v="1700"/>
    <x v="1"/>
    <s v="Safe"/>
    <s v="Sep-2024"/>
  </r>
  <r>
    <n v="10084"/>
    <n v="27"/>
    <x v="1"/>
    <x v="0"/>
    <x v="80"/>
    <d v="2025-12-26T00:00:00"/>
    <x v="0"/>
    <x v="0"/>
    <s v="Active"/>
    <n v="1200"/>
    <x v="2"/>
    <s v="Safe"/>
    <s v="Aug-2025"/>
  </r>
  <r>
    <n v="10085"/>
    <n v="21"/>
    <x v="1"/>
    <x v="0"/>
    <x v="81"/>
    <d v="2025-12-20T00:00:00"/>
    <x v="2"/>
    <x v="1"/>
    <s v="Active"/>
    <n v="1700"/>
    <x v="0"/>
    <s v="Safe"/>
    <s v="Apr-2024"/>
  </r>
  <r>
    <n v="10086"/>
    <n v="39"/>
    <x v="0"/>
    <x v="0"/>
    <x v="82"/>
    <d v="2026-01-06T00:00:00"/>
    <x v="2"/>
    <x v="1"/>
    <s v="Active"/>
    <n v="1700"/>
    <x v="1"/>
    <s v="Safe"/>
    <s v="May-2024"/>
  </r>
  <r>
    <n v="10087"/>
    <n v="35"/>
    <x v="1"/>
    <x v="0"/>
    <x v="83"/>
    <d v="2025-11-02T00:00:00"/>
    <x v="0"/>
    <x v="0"/>
    <s v="Inactive"/>
    <n v="1200"/>
    <x v="1"/>
    <s v="High Risk"/>
    <s v="Feb-2024"/>
  </r>
  <r>
    <n v="10088"/>
    <n v="43"/>
    <x v="1"/>
    <x v="0"/>
    <x v="84"/>
    <d v="2025-11-28T00:00:00"/>
    <x v="2"/>
    <x v="1"/>
    <s v="Inactive"/>
    <n v="1700"/>
    <x v="1"/>
    <s v="High Risk"/>
    <s v="Oct-2023"/>
  </r>
  <r>
    <n v="10089"/>
    <n v="29"/>
    <x v="0"/>
    <x v="0"/>
    <x v="85"/>
    <d v="2026-01-07T00:00:00"/>
    <x v="0"/>
    <x v="0"/>
    <s v="Active"/>
    <n v="1200"/>
    <x v="2"/>
    <s v="Safe"/>
    <s v="Mar-2024"/>
  </r>
  <r>
    <n v="10090"/>
    <n v="19"/>
    <x v="0"/>
    <x v="2"/>
    <x v="86"/>
    <d v="2025-11-06T00:00:00"/>
    <x v="5"/>
    <x v="1"/>
    <s v="Inactive"/>
    <n v="4500"/>
    <x v="0"/>
    <s v="High Risk"/>
    <s v="Jul-2024"/>
  </r>
  <r>
    <n v="10091"/>
    <n v="27"/>
    <x v="0"/>
    <x v="2"/>
    <x v="87"/>
    <d v="2025-11-09T00:00:00"/>
    <x v="4"/>
    <x v="0"/>
    <s v="Inactive"/>
    <n v="3000"/>
    <x v="2"/>
    <s v="High Risk"/>
    <s v="Dec-2024"/>
  </r>
  <r>
    <n v="10092"/>
    <n v="21"/>
    <x v="0"/>
    <x v="1"/>
    <x v="88"/>
    <d v="2026-01-10T00:00:00"/>
    <x v="3"/>
    <x v="0"/>
    <s v="Active"/>
    <n v="9600"/>
    <x v="0"/>
    <s v="Safe"/>
    <s v="Apr-2025"/>
  </r>
  <r>
    <n v="10093"/>
    <n v="31"/>
    <x v="0"/>
    <x v="0"/>
    <x v="89"/>
    <d v="2025-12-27T00:00:00"/>
    <x v="0"/>
    <x v="0"/>
    <s v="Active"/>
    <n v="1200"/>
    <x v="2"/>
    <s v="Safe"/>
    <s v="May-2024"/>
  </r>
  <r>
    <n v="10094"/>
    <n v="33"/>
    <x v="0"/>
    <x v="1"/>
    <x v="90"/>
    <d v="2025-12-31T00:00:00"/>
    <x v="1"/>
    <x v="1"/>
    <s v="Active"/>
    <n v="15600"/>
    <x v="2"/>
    <s v="Safe"/>
    <s v="Dec-2023"/>
  </r>
  <r>
    <n v="10095"/>
    <n v="32"/>
    <x v="0"/>
    <x v="1"/>
    <x v="91"/>
    <d v="2025-12-17T00:00:00"/>
    <x v="3"/>
    <x v="0"/>
    <s v="Active"/>
    <n v="9600"/>
    <x v="2"/>
    <s v="Safe"/>
    <s v="Sep-2025"/>
  </r>
  <r>
    <n v="10096"/>
    <n v="25"/>
    <x v="0"/>
    <x v="2"/>
    <x v="92"/>
    <d v="2025-12-29T00:00:00"/>
    <x v="4"/>
    <x v="0"/>
    <s v="Active"/>
    <n v="3000"/>
    <x v="2"/>
    <s v="Safe"/>
    <s v="Sep-2023"/>
  </r>
  <r>
    <n v="10097"/>
    <n v="31"/>
    <x v="0"/>
    <x v="0"/>
    <x v="93"/>
    <d v="2025-10-26T00:00:00"/>
    <x v="0"/>
    <x v="0"/>
    <s v="Inactive"/>
    <n v="1200"/>
    <x v="2"/>
    <s v="High Risk"/>
    <s v="Dec-2024"/>
  </r>
  <r>
    <n v="10098"/>
    <n v="40"/>
    <x v="0"/>
    <x v="1"/>
    <x v="94"/>
    <d v="2025-12-19T00:00:00"/>
    <x v="3"/>
    <x v="0"/>
    <s v="Active"/>
    <n v="9600"/>
    <x v="1"/>
    <s v="Safe"/>
    <s v="Jul-2024"/>
  </r>
  <r>
    <n v="10099"/>
    <n v="45"/>
    <x v="1"/>
    <x v="0"/>
    <x v="95"/>
    <d v="2025-09-22T00:00:00"/>
    <x v="0"/>
    <x v="0"/>
    <s v="Inactive"/>
    <n v="1200"/>
    <x v="1"/>
    <s v="High Risk"/>
    <s v="Apr-2024"/>
  </r>
  <r>
    <n v="10100"/>
    <n v="42"/>
    <x v="0"/>
    <x v="0"/>
    <x v="96"/>
    <d v="2026-01-08T00:00:00"/>
    <x v="0"/>
    <x v="0"/>
    <s v="Active"/>
    <n v="1200"/>
    <x v="1"/>
    <s v="Safe"/>
    <s v="Jan-2025"/>
  </r>
  <r>
    <n v="10101"/>
    <n v="25"/>
    <x v="1"/>
    <x v="2"/>
    <x v="97"/>
    <d v="2025-12-22T00:00:00"/>
    <x v="4"/>
    <x v="0"/>
    <s v="Active"/>
    <n v="3000"/>
    <x v="2"/>
    <s v="Safe"/>
    <s v="Mar-2024"/>
  </r>
  <r>
    <n v="10102"/>
    <n v="38"/>
    <x v="1"/>
    <x v="2"/>
    <x v="98"/>
    <d v="2025-12-17T00:00:00"/>
    <x v="4"/>
    <x v="0"/>
    <s v="Active"/>
    <n v="3000"/>
    <x v="1"/>
    <s v="Safe"/>
    <s v="Apr-2024"/>
  </r>
  <r>
    <n v="10103"/>
    <n v="33"/>
    <x v="0"/>
    <x v="0"/>
    <x v="99"/>
    <d v="2025-12-26T00:00:00"/>
    <x v="2"/>
    <x v="1"/>
    <s v="Active"/>
    <n v="1700"/>
    <x v="2"/>
    <s v="Safe"/>
    <s v="Mar-2024"/>
  </r>
  <r>
    <n v="10104"/>
    <n v="30"/>
    <x v="0"/>
    <x v="1"/>
    <x v="100"/>
    <d v="2025-12-07T00:00:00"/>
    <x v="3"/>
    <x v="0"/>
    <s v="Inactive"/>
    <n v="9600"/>
    <x v="2"/>
    <s v="High Risk"/>
    <s v="Aug-2024"/>
  </r>
  <r>
    <n v="10105"/>
    <n v="35"/>
    <x v="0"/>
    <x v="2"/>
    <x v="101"/>
    <d v="2026-01-09T00:00:00"/>
    <x v="4"/>
    <x v="0"/>
    <s v="Active"/>
    <n v="3000"/>
    <x v="1"/>
    <s v="Safe"/>
    <s v="Jun-2024"/>
  </r>
  <r>
    <n v="10106"/>
    <n v="32"/>
    <x v="0"/>
    <x v="2"/>
    <x v="102"/>
    <d v="2025-11-13T00:00:00"/>
    <x v="4"/>
    <x v="0"/>
    <s v="Inactive"/>
    <n v="3000"/>
    <x v="2"/>
    <s v="High Risk"/>
    <s v="Sep-2023"/>
  </r>
  <r>
    <n v="10107"/>
    <n v="38"/>
    <x v="0"/>
    <x v="1"/>
    <x v="103"/>
    <d v="2025-12-20T00:00:00"/>
    <x v="3"/>
    <x v="0"/>
    <s v="Active"/>
    <n v="9600"/>
    <x v="1"/>
    <s v="Safe"/>
    <s v="Jan-2024"/>
  </r>
  <r>
    <n v="10108"/>
    <n v="41"/>
    <x v="0"/>
    <x v="0"/>
    <x v="104"/>
    <d v="2026-01-02T00:00:00"/>
    <x v="0"/>
    <x v="0"/>
    <s v="Active"/>
    <n v="1200"/>
    <x v="1"/>
    <s v="Safe"/>
    <s v="Nov-2025"/>
  </r>
  <r>
    <n v="10109"/>
    <n v="43"/>
    <x v="0"/>
    <x v="1"/>
    <x v="105"/>
    <d v="2026-01-02T00:00:00"/>
    <x v="3"/>
    <x v="0"/>
    <s v="Active"/>
    <n v="9600"/>
    <x v="1"/>
    <s v="Safe"/>
    <s v="Jun-2025"/>
  </r>
  <r>
    <n v="10110"/>
    <n v="42"/>
    <x v="0"/>
    <x v="2"/>
    <x v="82"/>
    <d v="2026-01-02T00:00:00"/>
    <x v="5"/>
    <x v="1"/>
    <s v="Active"/>
    <n v="4500"/>
    <x v="1"/>
    <s v="Safe"/>
    <s v="May-2024"/>
  </r>
  <r>
    <n v="10111"/>
    <n v="45"/>
    <x v="0"/>
    <x v="0"/>
    <x v="106"/>
    <d v="2026-01-03T00:00:00"/>
    <x v="2"/>
    <x v="1"/>
    <s v="Active"/>
    <n v="1700"/>
    <x v="1"/>
    <s v="Safe"/>
    <s v="Sep-2023"/>
  </r>
  <r>
    <n v="10112"/>
    <n v="45"/>
    <x v="0"/>
    <x v="1"/>
    <x v="107"/>
    <d v="2025-12-27T00:00:00"/>
    <x v="3"/>
    <x v="0"/>
    <s v="Active"/>
    <n v="9600"/>
    <x v="1"/>
    <s v="Safe"/>
    <s v="Apr-2025"/>
  </r>
  <r>
    <n v="10113"/>
    <n v="45"/>
    <x v="0"/>
    <x v="2"/>
    <x v="108"/>
    <d v="2026-01-04T00:00:00"/>
    <x v="4"/>
    <x v="0"/>
    <s v="Active"/>
    <n v="3000"/>
    <x v="1"/>
    <s v="Safe"/>
    <s v="Aug-2023"/>
  </r>
  <r>
    <n v="10114"/>
    <n v="30"/>
    <x v="0"/>
    <x v="1"/>
    <x v="109"/>
    <d v="2026-01-06T00:00:00"/>
    <x v="1"/>
    <x v="1"/>
    <s v="Active"/>
    <n v="15600"/>
    <x v="2"/>
    <s v="Safe"/>
    <s v="May-2024"/>
  </r>
  <r>
    <n v="10115"/>
    <n v="26"/>
    <x v="0"/>
    <x v="1"/>
    <x v="110"/>
    <d v="2026-01-03T00:00:00"/>
    <x v="1"/>
    <x v="1"/>
    <s v="Active"/>
    <n v="15600"/>
    <x v="2"/>
    <s v="Safe"/>
    <s v="Nov-2024"/>
  </r>
  <r>
    <n v="10116"/>
    <n v="32"/>
    <x v="1"/>
    <x v="1"/>
    <x v="111"/>
    <d v="2025-12-29T00:00:00"/>
    <x v="1"/>
    <x v="1"/>
    <s v="Active"/>
    <n v="15600"/>
    <x v="2"/>
    <s v="Safe"/>
    <s v="Feb-2024"/>
  </r>
  <r>
    <n v="10117"/>
    <n v="30"/>
    <x v="0"/>
    <x v="2"/>
    <x v="112"/>
    <d v="2025-12-21T00:00:00"/>
    <x v="4"/>
    <x v="0"/>
    <s v="Active"/>
    <n v="3000"/>
    <x v="2"/>
    <s v="Safe"/>
    <s v="Oct-2024"/>
  </r>
  <r>
    <n v="10118"/>
    <n v="18"/>
    <x v="0"/>
    <x v="1"/>
    <x v="58"/>
    <d v="2025-11-19T00:00:00"/>
    <x v="1"/>
    <x v="1"/>
    <s v="Inactive"/>
    <n v="15600"/>
    <x v="0"/>
    <s v="High Risk"/>
    <s v="Sep-2025"/>
  </r>
  <r>
    <n v="10119"/>
    <n v="42"/>
    <x v="0"/>
    <x v="2"/>
    <x v="113"/>
    <d v="2025-12-21T00:00:00"/>
    <x v="4"/>
    <x v="0"/>
    <s v="Active"/>
    <n v="3000"/>
    <x v="1"/>
    <s v="Safe"/>
    <s v="Feb-2025"/>
  </r>
  <r>
    <n v="10120"/>
    <n v="24"/>
    <x v="0"/>
    <x v="0"/>
    <x v="114"/>
    <d v="2025-09-13T00:00:00"/>
    <x v="0"/>
    <x v="0"/>
    <s v="Inactive"/>
    <n v="1200"/>
    <x v="0"/>
    <s v="High Risk"/>
    <s v="Nov-2024"/>
  </r>
  <r>
    <n v="10121"/>
    <n v="26"/>
    <x v="1"/>
    <x v="1"/>
    <x v="4"/>
    <d v="2025-10-14T00:00:00"/>
    <x v="3"/>
    <x v="0"/>
    <s v="Inactive"/>
    <n v="9600"/>
    <x v="2"/>
    <s v="High Risk"/>
    <s v="Feb-2024"/>
  </r>
  <r>
    <n v="10122"/>
    <n v="41"/>
    <x v="1"/>
    <x v="0"/>
    <x v="24"/>
    <d v="2026-01-05T00:00:00"/>
    <x v="0"/>
    <x v="0"/>
    <s v="Active"/>
    <n v="1200"/>
    <x v="1"/>
    <s v="Safe"/>
    <s v="Nov-2025"/>
  </r>
  <r>
    <n v="10123"/>
    <n v="18"/>
    <x v="0"/>
    <x v="2"/>
    <x v="115"/>
    <d v="2025-10-06T00:00:00"/>
    <x v="4"/>
    <x v="0"/>
    <s v="Inactive"/>
    <n v="3000"/>
    <x v="0"/>
    <s v="High Risk"/>
    <s v="May-2024"/>
  </r>
  <r>
    <n v="10124"/>
    <n v="29"/>
    <x v="1"/>
    <x v="1"/>
    <x v="116"/>
    <d v="2025-12-28T00:00:00"/>
    <x v="1"/>
    <x v="1"/>
    <s v="Active"/>
    <n v="15600"/>
    <x v="2"/>
    <s v="Safe"/>
    <s v="Jun-2024"/>
  </r>
  <r>
    <n v="10125"/>
    <n v="25"/>
    <x v="1"/>
    <x v="2"/>
    <x v="29"/>
    <d v="2026-01-07T00:00:00"/>
    <x v="4"/>
    <x v="0"/>
    <s v="Active"/>
    <n v="3000"/>
    <x v="2"/>
    <s v="Safe"/>
    <s v="May-2024"/>
  </r>
  <r>
    <n v="10126"/>
    <n v="41"/>
    <x v="1"/>
    <x v="2"/>
    <x v="117"/>
    <d v="2025-12-24T00:00:00"/>
    <x v="4"/>
    <x v="0"/>
    <s v="Active"/>
    <n v="3000"/>
    <x v="1"/>
    <s v="Safe"/>
    <s v="Dec-2023"/>
  </r>
  <r>
    <n v="10127"/>
    <n v="28"/>
    <x v="1"/>
    <x v="1"/>
    <x v="118"/>
    <d v="2025-09-19T00:00:00"/>
    <x v="3"/>
    <x v="0"/>
    <s v="Inactive"/>
    <n v="9600"/>
    <x v="2"/>
    <s v="High Risk"/>
    <s v="Oct-2025"/>
  </r>
  <r>
    <n v="10128"/>
    <n v="36"/>
    <x v="1"/>
    <x v="2"/>
    <x v="119"/>
    <d v="2026-01-01T00:00:00"/>
    <x v="5"/>
    <x v="1"/>
    <s v="Active"/>
    <n v="4500"/>
    <x v="1"/>
    <s v="Safe"/>
    <s v="Oct-2023"/>
  </r>
  <r>
    <n v="10129"/>
    <n v="34"/>
    <x v="0"/>
    <x v="1"/>
    <x v="48"/>
    <d v="2025-12-26T00:00:00"/>
    <x v="1"/>
    <x v="1"/>
    <s v="Active"/>
    <n v="15600"/>
    <x v="2"/>
    <s v="Safe"/>
    <s v="Dec-2025"/>
  </r>
  <r>
    <n v="10130"/>
    <n v="25"/>
    <x v="0"/>
    <x v="0"/>
    <x v="120"/>
    <d v="2025-12-27T00:00:00"/>
    <x v="2"/>
    <x v="1"/>
    <s v="Active"/>
    <n v="1700"/>
    <x v="2"/>
    <s v="Safe"/>
    <s v="Feb-2025"/>
  </r>
  <r>
    <n v="10131"/>
    <n v="20"/>
    <x v="0"/>
    <x v="0"/>
    <x v="44"/>
    <d v="2025-12-24T00:00:00"/>
    <x v="0"/>
    <x v="0"/>
    <s v="Active"/>
    <n v="1200"/>
    <x v="0"/>
    <s v="Safe"/>
    <s v="Nov-2025"/>
  </r>
  <r>
    <n v="10132"/>
    <n v="20"/>
    <x v="0"/>
    <x v="0"/>
    <x v="121"/>
    <d v="2025-12-27T00:00:00"/>
    <x v="0"/>
    <x v="0"/>
    <s v="Active"/>
    <n v="1200"/>
    <x v="0"/>
    <s v="Safe"/>
    <s v="Jul-2023"/>
  </r>
  <r>
    <n v="10133"/>
    <n v="18"/>
    <x v="0"/>
    <x v="2"/>
    <x v="122"/>
    <d v="2025-11-12T00:00:00"/>
    <x v="5"/>
    <x v="1"/>
    <s v="Inactive"/>
    <n v="4500"/>
    <x v="0"/>
    <s v="High Risk"/>
    <s v="Nov-2023"/>
  </r>
  <r>
    <n v="10134"/>
    <n v="44"/>
    <x v="0"/>
    <x v="2"/>
    <x v="123"/>
    <d v="2025-12-30T00:00:00"/>
    <x v="4"/>
    <x v="0"/>
    <s v="Active"/>
    <n v="3000"/>
    <x v="1"/>
    <s v="Safe"/>
    <s v="Oct-2024"/>
  </r>
  <r>
    <n v="10135"/>
    <n v="22"/>
    <x v="0"/>
    <x v="1"/>
    <x v="124"/>
    <d v="2025-12-31T00:00:00"/>
    <x v="1"/>
    <x v="1"/>
    <s v="Active"/>
    <n v="15600"/>
    <x v="0"/>
    <s v="Safe"/>
    <s v="Jan-2025"/>
  </r>
  <r>
    <n v="10136"/>
    <n v="27"/>
    <x v="1"/>
    <x v="0"/>
    <x v="125"/>
    <d v="2025-12-19T00:00:00"/>
    <x v="2"/>
    <x v="1"/>
    <s v="Active"/>
    <n v="1700"/>
    <x v="2"/>
    <s v="Safe"/>
    <s v="May-2024"/>
  </r>
  <r>
    <n v="10137"/>
    <n v="24"/>
    <x v="1"/>
    <x v="2"/>
    <x v="126"/>
    <d v="2025-12-20T00:00:00"/>
    <x v="4"/>
    <x v="0"/>
    <s v="Active"/>
    <n v="3000"/>
    <x v="0"/>
    <s v="Safe"/>
    <s v="Jul-2025"/>
  </r>
  <r>
    <n v="10138"/>
    <n v="43"/>
    <x v="0"/>
    <x v="0"/>
    <x v="127"/>
    <d v="2025-12-23T00:00:00"/>
    <x v="2"/>
    <x v="1"/>
    <s v="Active"/>
    <n v="1700"/>
    <x v="1"/>
    <s v="Safe"/>
    <s v="Mar-2025"/>
  </r>
  <r>
    <n v="10139"/>
    <n v="26"/>
    <x v="0"/>
    <x v="0"/>
    <x v="128"/>
    <d v="2025-12-04T00:00:00"/>
    <x v="0"/>
    <x v="0"/>
    <s v="Inactive"/>
    <n v="1200"/>
    <x v="2"/>
    <s v="High Risk"/>
    <s v="Aug-2023"/>
  </r>
  <r>
    <n v="10140"/>
    <n v="45"/>
    <x v="1"/>
    <x v="2"/>
    <x v="129"/>
    <d v="2025-12-28T00:00:00"/>
    <x v="4"/>
    <x v="0"/>
    <s v="Active"/>
    <n v="3000"/>
    <x v="1"/>
    <s v="Safe"/>
    <s v="Oct-2025"/>
  </r>
  <r>
    <n v="10141"/>
    <n v="24"/>
    <x v="0"/>
    <x v="0"/>
    <x v="57"/>
    <d v="2025-12-29T00:00:00"/>
    <x v="0"/>
    <x v="0"/>
    <s v="Active"/>
    <n v="1200"/>
    <x v="0"/>
    <s v="Safe"/>
    <s v="Mar-2024"/>
  </r>
  <r>
    <n v="10142"/>
    <n v="26"/>
    <x v="1"/>
    <x v="0"/>
    <x v="130"/>
    <d v="2025-12-21T00:00:00"/>
    <x v="2"/>
    <x v="1"/>
    <s v="Active"/>
    <n v="1700"/>
    <x v="2"/>
    <s v="Safe"/>
    <s v="Dec-2023"/>
  </r>
  <r>
    <n v="10143"/>
    <n v="25"/>
    <x v="0"/>
    <x v="0"/>
    <x v="131"/>
    <d v="2025-11-07T00:00:00"/>
    <x v="0"/>
    <x v="0"/>
    <s v="Inactive"/>
    <n v="1200"/>
    <x v="2"/>
    <s v="High Risk"/>
    <s v="Oct-2023"/>
  </r>
  <r>
    <n v="10144"/>
    <n v="29"/>
    <x v="0"/>
    <x v="0"/>
    <x v="132"/>
    <d v="2025-12-27T00:00:00"/>
    <x v="0"/>
    <x v="0"/>
    <s v="Active"/>
    <n v="1200"/>
    <x v="2"/>
    <s v="Safe"/>
    <s v="Sep-2024"/>
  </r>
  <r>
    <n v="10145"/>
    <n v="19"/>
    <x v="1"/>
    <x v="2"/>
    <x v="133"/>
    <d v="2026-01-07T00:00:00"/>
    <x v="4"/>
    <x v="0"/>
    <s v="Active"/>
    <n v="3000"/>
    <x v="0"/>
    <s v="Safe"/>
    <s v="May-2025"/>
  </r>
  <r>
    <n v="10146"/>
    <n v="18"/>
    <x v="0"/>
    <x v="0"/>
    <x v="134"/>
    <d v="2025-10-22T00:00:00"/>
    <x v="2"/>
    <x v="1"/>
    <s v="Inactive"/>
    <n v="1700"/>
    <x v="0"/>
    <s v="High Risk"/>
    <s v="Jul-2024"/>
  </r>
  <r>
    <n v="10147"/>
    <n v="33"/>
    <x v="0"/>
    <x v="2"/>
    <x v="135"/>
    <d v="2026-01-01T00:00:00"/>
    <x v="5"/>
    <x v="1"/>
    <s v="Active"/>
    <n v="4500"/>
    <x v="2"/>
    <s v="Safe"/>
    <s v="Feb-2024"/>
  </r>
  <r>
    <n v="10148"/>
    <n v="40"/>
    <x v="1"/>
    <x v="1"/>
    <x v="9"/>
    <d v="2025-12-27T00:00:00"/>
    <x v="1"/>
    <x v="1"/>
    <s v="Active"/>
    <n v="15600"/>
    <x v="1"/>
    <s v="Safe"/>
    <s v="Feb-2025"/>
  </r>
  <r>
    <n v="10149"/>
    <n v="40"/>
    <x v="0"/>
    <x v="2"/>
    <x v="136"/>
    <d v="2026-01-09T00:00:00"/>
    <x v="5"/>
    <x v="1"/>
    <s v="Active"/>
    <n v="4500"/>
    <x v="1"/>
    <s v="Safe"/>
    <s v="Jun-2024"/>
  </r>
  <r>
    <n v="10150"/>
    <n v="41"/>
    <x v="0"/>
    <x v="1"/>
    <x v="122"/>
    <d v="2025-12-22T00:00:00"/>
    <x v="3"/>
    <x v="0"/>
    <s v="Active"/>
    <n v="9600"/>
    <x v="1"/>
    <s v="Safe"/>
    <s v="Nov-2023"/>
  </r>
  <r>
    <n v="10151"/>
    <n v="22"/>
    <x v="1"/>
    <x v="2"/>
    <x v="137"/>
    <d v="2026-01-08T00:00:00"/>
    <x v="4"/>
    <x v="0"/>
    <s v="Active"/>
    <n v="3000"/>
    <x v="0"/>
    <s v="Safe"/>
    <s v="Apr-2025"/>
  </r>
  <r>
    <n v="10152"/>
    <n v="20"/>
    <x v="0"/>
    <x v="2"/>
    <x v="138"/>
    <d v="2025-12-20T00:00:00"/>
    <x v="4"/>
    <x v="0"/>
    <s v="Active"/>
    <n v="3000"/>
    <x v="0"/>
    <s v="Safe"/>
    <s v="Dec-2024"/>
  </r>
  <r>
    <n v="10153"/>
    <n v="29"/>
    <x v="1"/>
    <x v="1"/>
    <x v="139"/>
    <d v="2025-12-20T00:00:00"/>
    <x v="1"/>
    <x v="1"/>
    <s v="Active"/>
    <n v="15600"/>
    <x v="2"/>
    <s v="Safe"/>
    <s v="May-2025"/>
  </r>
  <r>
    <n v="10154"/>
    <n v="25"/>
    <x v="0"/>
    <x v="0"/>
    <x v="140"/>
    <d v="2026-01-06T00:00:00"/>
    <x v="0"/>
    <x v="0"/>
    <s v="Active"/>
    <n v="1200"/>
    <x v="2"/>
    <s v="Safe"/>
    <s v="Oct-2023"/>
  </r>
  <r>
    <n v="10155"/>
    <n v="39"/>
    <x v="0"/>
    <x v="1"/>
    <x v="141"/>
    <d v="2025-12-22T00:00:00"/>
    <x v="1"/>
    <x v="1"/>
    <s v="Active"/>
    <n v="15600"/>
    <x v="1"/>
    <s v="Safe"/>
    <s v="Apr-2024"/>
  </r>
  <r>
    <n v="10156"/>
    <n v="44"/>
    <x v="0"/>
    <x v="0"/>
    <x v="142"/>
    <d v="2025-12-28T00:00:00"/>
    <x v="0"/>
    <x v="0"/>
    <s v="Active"/>
    <n v="1200"/>
    <x v="1"/>
    <s v="Safe"/>
    <s v="Sep-2025"/>
  </r>
  <r>
    <n v="10157"/>
    <n v="20"/>
    <x v="0"/>
    <x v="0"/>
    <x v="143"/>
    <d v="2026-01-02T00:00:00"/>
    <x v="0"/>
    <x v="0"/>
    <s v="Active"/>
    <n v="1200"/>
    <x v="0"/>
    <s v="Safe"/>
    <s v="Oct-2025"/>
  </r>
  <r>
    <n v="10158"/>
    <n v="18"/>
    <x v="1"/>
    <x v="0"/>
    <x v="144"/>
    <d v="2025-10-19T00:00:00"/>
    <x v="0"/>
    <x v="0"/>
    <s v="Inactive"/>
    <n v="1200"/>
    <x v="0"/>
    <s v="High Risk"/>
    <s v="Apr-2025"/>
  </r>
  <r>
    <n v="10159"/>
    <n v="20"/>
    <x v="1"/>
    <x v="2"/>
    <x v="145"/>
    <d v="2025-12-27T00:00:00"/>
    <x v="4"/>
    <x v="0"/>
    <s v="Active"/>
    <n v="3000"/>
    <x v="0"/>
    <s v="Safe"/>
    <s v="Oct-2024"/>
  </r>
  <r>
    <n v="10160"/>
    <n v="22"/>
    <x v="0"/>
    <x v="2"/>
    <x v="146"/>
    <d v="2026-01-03T00:00:00"/>
    <x v="5"/>
    <x v="1"/>
    <s v="Active"/>
    <n v="4500"/>
    <x v="0"/>
    <s v="Safe"/>
    <s v="Sep-2023"/>
  </r>
  <r>
    <n v="10161"/>
    <n v="32"/>
    <x v="1"/>
    <x v="2"/>
    <x v="147"/>
    <d v="2025-12-31T00:00:00"/>
    <x v="4"/>
    <x v="0"/>
    <s v="Active"/>
    <n v="3000"/>
    <x v="2"/>
    <s v="Safe"/>
    <s v="Feb-2024"/>
  </r>
  <r>
    <n v="10162"/>
    <n v="31"/>
    <x v="0"/>
    <x v="0"/>
    <x v="127"/>
    <d v="2025-09-22T00:00:00"/>
    <x v="0"/>
    <x v="0"/>
    <s v="Inactive"/>
    <n v="1200"/>
    <x v="2"/>
    <s v="High Risk"/>
    <s v="Mar-2025"/>
  </r>
  <r>
    <n v="10163"/>
    <n v="20"/>
    <x v="0"/>
    <x v="0"/>
    <x v="89"/>
    <d v="2025-11-03T00:00:00"/>
    <x v="0"/>
    <x v="0"/>
    <s v="Inactive"/>
    <n v="1200"/>
    <x v="0"/>
    <s v="High Risk"/>
    <s v="May-2024"/>
  </r>
  <r>
    <n v="10164"/>
    <n v="18"/>
    <x v="0"/>
    <x v="0"/>
    <x v="148"/>
    <d v="2026-01-05T00:00:00"/>
    <x v="0"/>
    <x v="0"/>
    <s v="Active"/>
    <n v="1200"/>
    <x v="0"/>
    <s v="Safe"/>
    <s v="Dec-2024"/>
  </r>
  <r>
    <n v="10165"/>
    <n v="22"/>
    <x v="0"/>
    <x v="0"/>
    <x v="149"/>
    <d v="2025-12-21T00:00:00"/>
    <x v="0"/>
    <x v="0"/>
    <s v="Active"/>
    <n v="1200"/>
    <x v="0"/>
    <s v="Safe"/>
    <s v="Nov-2024"/>
  </r>
  <r>
    <n v="10166"/>
    <n v="43"/>
    <x v="0"/>
    <x v="1"/>
    <x v="150"/>
    <d v="2025-12-17T00:00:00"/>
    <x v="1"/>
    <x v="1"/>
    <s v="Active"/>
    <n v="15600"/>
    <x v="1"/>
    <s v="Safe"/>
    <s v="Sep-2025"/>
  </r>
  <r>
    <n v="10167"/>
    <n v="40"/>
    <x v="1"/>
    <x v="0"/>
    <x v="151"/>
    <d v="2026-01-10T00:00:00"/>
    <x v="0"/>
    <x v="0"/>
    <s v="Active"/>
    <n v="1200"/>
    <x v="1"/>
    <s v="Safe"/>
    <s v="May-2024"/>
  </r>
  <r>
    <n v="10168"/>
    <n v="31"/>
    <x v="0"/>
    <x v="1"/>
    <x v="152"/>
    <d v="2025-12-20T00:00:00"/>
    <x v="1"/>
    <x v="1"/>
    <s v="Active"/>
    <n v="15600"/>
    <x v="2"/>
    <s v="Safe"/>
    <s v="Jul-2024"/>
  </r>
  <r>
    <n v="10169"/>
    <n v="24"/>
    <x v="0"/>
    <x v="1"/>
    <x v="153"/>
    <d v="2025-11-16T00:00:00"/>
    <x v="3"/>
    <x v="0"/>
    <s v="Inactive"/>
    <n v="9600"/>
    <x v="0"/>
    <s v="High Risk"/>
    <s v="Jan-2024"/>
  </r>
  <r>
    <n v="10170"/>
    <n v="44"/>
    <x v="0"/>
    <x v="0"/>
    <x v="154"/>
    <d v="2026-01-07T00:00:00"/>
    <x v="0"/>
    <x v="0"/>
    <s v="Active"/>
    <n v="1200"/>
    <x v="1"/>
    <s v="Safe"/>
    <s v="Sep-2023"/>
  </r>
  <r>
    <n v="10171"/>
    <n v="26"/>
    <x v="0"/>
    <x v="2"/>
    <x v="155"/>
    <d v="2025-11-18T00:00:00"/>
    <x v="5"/>
    <x v="1"/>
    <s v="Inactive"/>
    <n v="4500"/>
    <x v="2"/>
    <s v="High Risk"/>
    <s v="Apr-2024"/>
  </r>
  <r>
    <n v="10172"/>
    <n v="32"/>
    <x v="1"/>
    <x v="0"/>
    <x v="156"/>
    <d v="2025-12-26T00:00:00"/>
    <x v="0"/>
    <x v="0"/>
    <s v="Active"/>
    <n v="1200"/>
    <x v="2"/>
    <s v="Safe"/>
    <s v="Jan-2024"/>
  </r>
  <r>
    <n v="10173"/>
    <n v="32"/>
    <x v="0"/>
    <x v="0"/>
    <x v="154"/>
    <d v="2025-12-17T00:00:00"/>
    <x v="2"/>
    <x v="1"/>
    <s v="Active"/>
    <n v="1700"/>
    <x v="2"/>
    <s v="Safe"/>
    <s v="Sep-2023"/>
  </r>
  <r>
    <n v="10174"/>
    <n v="43"/>
    <x v="0"/>
    <x v="0"/>
    <x v="157"/>
    <d v="2025-12-27T00:00:00"/>
    <x v="0"/>
    <x v="0"/>
    <s v="Active"/>
    <n v="1200"/>
    <x v="1"/>
    <s v="Safe"/>
    <s v="Nov-2024"/>
  </r>
  <r>
    <n v="10175"/>
    <n v="27"/>
    <x v="0"/>
    <x v="2"/>
    <x v="158"/>
    <d v="2026-01-05T00:00:00"/>
    <x v="4"/>
    <x v="0"/>
    <s v="Active"/>
    <n v="3000"/>
    <x v="2"/>
    <s v="Safe"/>
    <s v="May-2025"/>
  </r>
  <r>
    <n v="10176"/>
    <n v="45"/>
    <x v="0"/>
    <x v="0"/>
    <x v="102"/>
    <d v="2025-12-29T00:00:00"/>
    <x v="0"/>
    <x v="0"/>
    <s v="Active"/>
    <n v="1200"/>
    <x v="1"/>
    <s v="Safe"/>
    <s v="Sep-2023"/>
  </r>
  <r>
    <n v="10177"/>
    <n v="30"/>
    <x v="0"/>
    <x v="2"/>
    <x v="159"/>
    <d v="2025-11-20T00:00:00"/>
    <x v="4"/>
    <x v="0"/>
    <s v="Inactive"/>
    <n v="3000"/>
    <x v="2"/>
    <s v="High Risk"/>
    <s v="Mar-2025"/>
  </r>
  <r>
    <n v="10178"/>
    <n v="36"/>
    <x v="0"/>
    <x v="2"/>
    <x v="6"/>
    <d v="2026-01-02T00:00:00"/>
    <x v="4"/>
    <x v="0"/>
    <s v="Active"/>
    <n v="3000"/>
    <x v="1"/>
    <s v="Safe"/>
    <s v="Dec-2024"/>
  </r>
  <r>
    <n v="10179"/>
    <n v="24"/>
    <x v="1"/>
    <x v="0"/>
    <x v="160"/>
    <d v="2025-12-26T00:00:00"/>
    <x v="0"/>
    <x v="0"/>
    <s v="Active"/>
    <n v="1200"/>
    <x v="0"/>
    <s v="Safe"/>
    <s v="Aug-2025"/>
  </r>
  <r>
    <n v="10180"/>
    <n v="34"/>
    <x v="1"/>
    <x v="2"/>
    <x v="161"/>
    <d v="2025-11-19T00:00:00"/>
    <x v="4"/>
    <x v="0"/>
    <s v="Inactive"/>
    <n v="3000"/>
    <x v="2"/>
    <s v="High Risk"/>
    <s v="Sep-2023"/>
  </r>
  <r>
    <n v="10181"/>
    <n v="37"/>
    <x v="0"/>
    <x v="1"/>
    <x v="162"/>
    <d v="2026-01-05T00:00:00"/>
    <x v="3"/>
    <x v="0"/>
    <s v="Active"/>
    <n v="9600"/>
    <x v="1"/>
    <s v="Safe"/>
    <s v="Nov-2025"/>
  </r>
  <r>
    <n v="10182"/>
    <n v="21"/>
    <x v="0"/>
    <x v="0"/>
    <x v="138"/>
    <d v="2025-10-18T00:00:00"/>
    <x v="0"/>
    <x v="0"/>
    <s v="Inactive"/>
    <n v="1200"/>
    <x v="0"/>
    <s v="High Risk"/>
    <s v="Dec-2024"/>
  </r>
  <r>
    <n v="10183"/>
    <n v="22"/>
    <x v="0"/>
    <x v="0"/>
    <x v="163"/>
    <d v="2026-01-10T00:00:00"/>
    <x v="2"/>
    <x v="1"/>
    <s v="Active"/>
    <n v="1700"/>
    <x v="0"/>
    <s v="Safe"/>
    <s v="Apr-2025"/>
  </r>
  <r>
    <n v="10184"/>
    <n v="40"/>
    <x v="0"/>
    <x v="2"/>
    <x v="164"/>
    <d v="2025-12-30T00:00:00"/>
    <x v="5"/>
    <x v="1"/>
    <s v="Active"/>
    <n v="4500"/>
    <x v="1"/>
    <s v="Safe"/>
    <s v="Nov-2025"/>
  </r>
  <r>
    <n v="10185"/>
    <n v="24"/>
    <x v="0"/>
    <x v="0"/>
    <x v="165"/>
    <d v="2025-10-17T00:00:00"/>
    <x v="2"/>
    <x v="1"/>
    <s v="Inactive"/>
    <n v="1700"/>
    <x v="0"/>
    <s v="High Risk"/>
    <s v="Aug-2025"/>
  </r>
  <r>
    <n v="10186"/>
    <n v="30"/>
    <x v="0"/>
    <x v="2"/>
    <x v="166"/>
    <d v="2026-01-07T00:00:00"/>
    <x v="4"/>
    <x v="0"/>
    <s v="Active"/>
    <n v="3000"/>
    <x v="2"/>
    <s v="Safe"/>
    <s v="Oct-2025"/>
  </r>
  <r>
    <n v="10187"/>
    <n v="32"/>
    <x v="0"/>
    <x v="0"/>
    <x v="167"/>
    <d v="2026-01-07T00:00:00"/>
    <x v="0"/>
    <x v="0"/>
    <s v="Active"/>
    <n v="1200"/>
    <x v="2"/>
    <s v="Safe"/>
    <s v="Aug-2024"/>
  </r>
  <r>
    <n v="10188"/>
    <n v="28"/>
    <x v="0"/>
    <x v="0"/>
    <x v="168"/>
    <d v="2025-10-04T00:00:00"/>
    <x v="0"/>
    <x v="0"/>
    <s v="Inactive"/>
    <n v="1200"/>
    <x v="2"/>
    <s v="High Risk"/>
    <s v="Jul-2024"/>
  </r>
  <r>
    <n v="10189"/>
    <n v="21"/>
    <x v="0"/>
    <x v="0"/>
    <x v="169"/>
    <d v="2025-11-30T00:00:00"/>
    <x v="0"/>
    <x v="0"/>
    <s v="Inactive"/>
    <n v="1200"/>
    <x v="0"/>
    <s v="High Risk"/>
    <s v="Apr-2024"/>
  </r>
  <r>
    <n v="10190"/>
    <n v="30"/>
    <x v="0"/>
    <x v="0"/>
    <x v="170"/>
    <d v="2025-12-18T00:00:00"/>
    <x v="2"/>
    <x v="1"/>
    <s v="Active"/>
    <n v="1700"/>
    <x v="2"/>
    <s v="Safe"/>
    <s v="Apr-2025"/>
  </r>
  <r>
    <n v="10191"/>
    <n v="24"/>
    <x v="0"/>
    <x v="2"/>
    <x v="171"/>
    <d v="2025-12-27T00:00:00"/>
    <x v="5"/>
    <x v="1"/>
    <s v="Active"/>
    <n v="4500"/>
    <x v="0"/>
    <s v="Safe"/>
    <s v="Jun-2025"/>
  </r>
  <r>
    <n v="10192"/>
    <n v="44"/>
    <x v="0"/>
    <x v="0"/>
    <x v="172"/>
    <d v="2025-12-27T00:00:00"/>
    <x v="0"/>
    <x v="0"/>
    <s v="Active"/>
    <n v="1200"/>
    <x v="1"/>
    <s v="Safe"/>
    <s v="Nov-2024"/>
  </r>
  <r>
    <n v="10193"/>
    <n v="36"/>
    <x v="0"/>
    <x v="1"/>
    <x v="173"/>
    <d v="2025-09-21T00:00:00"/>
    <x v="3"/>
    <x v="0"/>
    <s v="Inactive"/>
    <n v="9600"/>
    <x v="1"/>
    <s v="High Risk"/>
    <s v="Jun-2025"/>
  </r>
  <r>
    <n v="10194"/>
    <n v="39"/>
    <x v="1"/>
    <x v="1"/>
    <x v="174"/>
    <d v="2025-12-25T00:00:00"/>
    <x v="3"/>
    <x v="0"/>
    <s v="Active"/>
    <n v="9600"/>
    <x v="1"/>
    <s v="Safe"/>
    <s v="Nov-2024"/>
  </r>
  <r>
    <n v="10195"/>
    <n v="45"/>
    <x v="0"/>
    <x v="2"/>
    <x v="175"/>
    <d v="2025-10-10T00:00:00"/>
    <x v="4"/>
    <x v="0"/>
    <s v="Inactive"/>
    <n v="3000"/>
    <x v="1"/>
    <s v="High Risk"/>
    <s v="Sep-2024"/>
  </r>
  <r>
    <n v="10196"/>
    <n v="19"/>
    <x v="1"/>
    <x v="1"/>
    <x v="176"/>
    <d v="2026-01-02T00:00:00"/>
    <x v="3"/>
    <x v="0"/>
    <s v="Active"/>
    <n v="9600"/>
    <x v="0"/>
    <s v="Safe"/>
    <s v="Apr-2025"/>
  </r>
  <r>
    <n v="10197"/>
    <n v="27"/>
    <x v="0"/>
    <x v="0"/>
    <x v="177"/>
    <d v="2025-12-23T00:00:00"/>
    <x v="0"/>
    <x v="0"/>
    <s v="Active"/>
    <n v="1200"/>
    <x v="2"/>
    <s v="Safe"/>
    <s v="Oct-2025"/>
  </r>
  <r>
    <n v="10198"/>
    <n v="30"/>
    <x v="1"/>
    <x v="0"/>
    <x v="178"/>
    <d v="2025-12-18T00:00:00"/>
    <x v="0"/>
    <x v="0"/>
    <s v="Active"/>
    <n v="1200"/>
    <x v="2"/>
    <s v="Safe"/>
    <s v="Sep-2025"/>
  </r>
  <r>
    <n v="10199"/>
    <n v="42"/>
    <x v="0"/>
    <x v="2"/>
    <x v="0"/>
    <d v="2025-12-20T00:00:00"/>
    <x v="4"/>
    <x v="0"/>
    <s v="Active"/>
    <n v="3000"/>
    <x v="1"/>
    <s v="Safe"/>
    <s v="Dec-2025"/>
  </r>
  <r>
    <n v="10200"/>
    <n v="38"/>
    <x v="1"/>
    <x v="0"/>
    <x v="179"/>
    <d v="2025-10-03T00:00:00"/>
    <x v="2"/>
    <x v="1"/>
    <s v="Inactive"/>
    <n v="1700"/>
    <x v="1"/>
    <s v="High Risk"/>
    <s v="Oct-2025"/>
  </r>
  <r>
    <n v="10201"/>
    <n v="23"/>
    <x v="1"/>
    <x v="2"/>
    <x v="180"/>
    <d v="2025-11-02T00:00:00"/>
    <x v="4"/>
    <x v="0"/>
    <s v="Inactive"/>
    <n v="3000"/>
    <x v="0"/>
    <s v="High Risk"/>
    <s v="Nov-2023"/>
  </r>
  <r>
    <n v="10202"/>
    <n v="45"/>
    <x v="0"/>
    <x v="0"/>
    <x v="181"/>
    <d v="2025-12-17T00:00:00"/>
    <x v="0"/>
    <x v="0"/>
    <s v="Active"/>
    <n v="1200"/>
    <x v="1"/>
    <s v="Safe"/>
    <s v="Jun-2024"/>
  </r>
  <r>
    <n v="10203"/>
    <n v="45"/>
    <x v="0"/>
    <x v="2"/>
    <x v="182"/>
    <d v="2025-10-26T00:00:00"/>
    <x v="4"/>
    <x v="0"/>
    <s v="Inactive"/>
    <n v="3000"/>
    <x v="1"/>
    <s v="High Risk"/>
    <s v="Jun-2025"/>
  </r>
  <r>
    <n v="10204"/>
    <n v="29"/>
    <x v="0"/>
    <x v="1"/>
    <x v="105"/>
    <d v="2025-11-17T00:00:00"/>
    <x v="1"/>
    <x v="1"/>
    <s v="Inactive"/>
    <n v="15600"/>
    <x v="2"/>
    <s v="High Risk"/>
    <s v="Jun-2025"/>
  </r>
  <r>
    <n v="10205"/>
    <n v="29"/>
    <x v="0"/>
    <x v="1"/>
    <x v="169"/>
    <d v="2026-01-08T00:00:00"/>
    <x v="3"/>
    <x v="0"/>
    <s v="Active"/>
    <n v="9600"/>
    <x v="2"/>
    <s v="Safe"/>
    <s v="Apr-2024"/>
  </r>
  <r>
    <n v="10206"/>
    <n v="37"/>
    <x v="0"/>
    <x v="2"/>
    <x v="183"/>
    <d v="2025-09-24T00:00:00"/>
    <x v="4"/>
    <x v="0"/>
    <s v="Inactive"/>
    <n v="3000"/>
    <x v="1"/>
    <s v="High Risk"/>
    <s v="Sep-2023"/>
  </r>
  <r>
    <n v="10207"/>
    <n v="28"/>
    <x v="0"/>
    <x v="2"/>
    <x v="90"/>
    <d v="2025-09-21T00:00:00"/>
    <x v="5"/>
    <x v="1"/>
    <s v="Inactive"/>
    <n v="4500"/>
    <x v="2"/>
    <s v="High Risk"/>
    <s v="Dec-2023"/>
  </r>
  <r>
    <n v="10208"/>
    <n v="43"/>
    <x v="0"/>
    <x v="2"/>
    <x v="20"/>
    <d v="2025-12-05T00:00:00"/>
    <x v="4"/>
    <x v="0"/>
    <s v="Inactive"/>
    <n v="3000"/>
    <x v="1"/>
    <s v="High Risk"/>
    <s v="May-2024"/>
  </r>
  <r>
    <n v="10209"/>
    <n v="40"/>
    <x v="0"/>
    <x v="2"/>
    <x v="184"/>
    <d v="2025-12-17T00:00:00"/>
    <x v="5"/>
    <x v="1"/>
    <s v="Active"/>
    <n v="4500"/>
    <x v="1"/>
    <s v="Safe"/>
    <s v="Jan-2024"/>
  </r>
  <r>
    <n v="10210"/>
    <n v="45"/>
    <x v="1"/>
    <x v="0"/>
    <x v="185"/>
    <d v="2026-01-05T00:00:00"/>
    <x v="2"/>
    <x v="1"/>
    <s v="Active"/>
    <n v="1700"/>
    <x v="1"/>
    <s v="Safe"/>
    <s v="Jan-2025"/>
  </r>
  <r>
    <n v="10211"/>
    <n v="42"/>
    <x v="0"/>
    <x v="0"/>
    <x v="186"/>
    <d v="2025-12-23T00:00:00"/>
    <x v="2"/>
    <x v="1"/>
    <s v="Active"/>
    <n v="1700"/>
    <x v="1"/>
    <s v="Safe"/>
    <s v="Sep-2025"/>
  </r>
  <r>
    <n v="10212"/>
    <n v="24"/>
    <x v="1"/>
    <x v="2"/>
    <x v="187"/>
    <d v="2025-12-17T00:00:00"/>
    <x v="5"/>
    <x v="1"/>
    <s v="Active"/>
    <n v="4500"/>
    <x v="0"/>
    <s v="Safe"/>
    <s v="Jan-2025"/>
  </r>
  <r>
    <n v="10213"/>
    <n v="18"/>
    <x v="0"/>
    <x v="1"/>
    <x v="188"/>
    <d v="2026-01-06T00:00:00"/>
    <x v="3"/>
    <x v="0"/>
    <s v="Active"/>
    <n v="9600"/>
    <x v="0"/>
    <s v="Safe"/>
    <s v="May-2025"/>
  </r>
  <r>
    <n v="10214"/>
    <n v="18"/>
    <x v="0"/>
    <x v="0"/>
    <x v="189"/>
    <d v="2025-10-18T00:00:00"/>
    <x v="2"/>
    <x v="1"/>
    <s v="Inactive"/>
    <n v="1700"/>
    <x v="0"/>
    <s v="High Risk"/>
    <s v="Sep-2023"/>
  </r>
  <r>
    <n v="10215"/>
    <n v="42"/>
    <x v="0"/>
    <x v="2"/>
    <x v="190"/>
    <d v="2025-12-23T00:00:00"/>
    <x v="5"/>
    <x v="1"/>
    <s v="Active"/>
    <n v="4500"/>
    <x v="1"/>
    <s v="Safe"/>
    <s v="Mar-2025"/>
  </r>
  <r>
    <n v="10216"/>
    <n v="44"/>
    <x v="0"/>
    <x v="2"/>
    <x v="191"/>
    <d v="2025-09-29T00:00:00"/>
    <x v="5"/>
    <x v="1"/>
    <s v="Inactive"/>
    <n v="4500"/>
    <x v="1"/>
    <s v="High Risk"/>
    <s v="Oct-2023"/>
  </r>
  <r>
    <n v="10217"/>
    <n v="42"/>
    <x v="1"/>
    <x v="2"/>
    <x v="192"/>
    <d v="2025-12-25T00:00:00"/>
    <x v="5"/>
    <x v="1"/>
    <s v="Active"/>
    <n v="4500"/>
    <x v="1"/>
    <s v="Safe"/>
    <s v="Jun-2025"/>
  </r>
  <r>
    <n v="10218"/>
    <n v="37"/>
    <x v="0"/>
    <x v="2"/>
    <x v="193"/>
    <d v="2025-12-23T00:00:00"/>
    <x v="5"/>
    <x v="1"/>
    <s v="Active"/>
    <n v="4500"/>
    <x v="1"/>
    <s v="Safe"/>
    <s v="Sep-2024"/>
  </r>
  <r>
    <n v="10219"/>
    <n v="30"/>
    <x v="1"/>
    <x v="0"/>
    <x v="194"/>
    <d v="2025-12-26T00:00:00"/>
    <x v="0"/>
    <x v="0"/>
    <s v="Active"/>
    <n v="1200"/>
    <x v="2"/>
    <s v="Safe"/>
    <s v="May-2025"/>
  </r>
  <r>
    <n v="10220"/>
    <n v="26"/>
    <x v="0"/>
    <x v="2"/>
    <x v="195"/>
    <d v="2025-11-20T00:00:00"/>
    <x v="5"/>
    <x v="1"/>
    <s v="Inactive"/>
    <n v="4500"/>
    <x v="2"/>
    <s v="High Risk"/>
    <s v="Jan-2025"/>
  </r>
  <r>
    <n v="10221"/>
    <n v="20"/>
    <x v="0"/>
    <x v="1"/>
    <x v="132"/>
    <d v="2025-12-21T00:00:00"/>
    <x v="3"/>
    <x v="0"/>
    <s v="Active"/>
    <n v="9600"/>
    <x v="0"/>
    <s v="Safe"/>
    <s v="Sep-2024"/>
  </r>
  <r>
    <n v="10222"/>
    <n v="24"/>
    <x v="0"/>
    <x v="2"/>
    <x v="196"/>
    <d v="2025-10-05T00:00:00"/>
    <x v="4"/>
    <x v="0"/>
    <s v="Inactive"/>
    <n v="3000"/>
    <x v="0"/>
    <s v="High Risk"/>
    <s v="Aug-2024"/>
  </r>
  <r>
    <n v="10223"/>
    <n v="23"/>
    <x v="0"/>
    <x v="0"/>
    <x v="197"/>
    <d v="2025-10-05T00:00:00"/>
    <x v="2"/>
    <x v="1"/>
    <s v="Inactive"/>
    <n v="1700"/>
    <x v="0"/>
    <s v="High Risk"/>
    <s v="Sep-2024"/>
  </r>
  <r>
    <n v="10224"/>
    <n v="25"/>
    <x v="0"/>
    <x v="2"/>
    <x v="198"/>
    <d v="2026-01-05T00:00:00"/>
    <x v="4"/>
    <x v="0"/>
    <s v="Active"/>
    <n v="3000"/>
    <x v="2"/>
    <s v="Safe"/>
    <s v="Oct-2025"/>
  </r>
  <r>
    <n v="10225"/>
    <n v="44"/>
    <x v="0"/>
    <x v="1"/>
    <x v="199"/>
    <d v="2025-12-20T00:00:00"/>
    <x v="1"/>
    <x v="1"/>
    <s v="Active"/>
    <n v="15600"/>
    <x v="1"/>
    <s v="Safe"/>
    <s v="Aug-2024"/>
  </r>
  <r>
    <n v="10226"/>
    <n v="26"/>
    <x v="0"/>
    <x v="0"/>
    <x v="200"/>
    <d v="2026-01-03T00:00:00"/>
    <x v="2"/>
    <x v="1"/>
    <s v="Active"/>
    <n v="1700"/>
    <x v="2"/>
    <s v="Safe"/>
    <s v="Apr-2024"/>
  </r>
  <r>
    <n v="10227"/>
    <n v="22"/>
    <x v="0"/>
    <x v="1"/>
    <x v="26"/>
    <d v="2025-12-31T00:00:00"/>
    <x v="1"/>
    <x v="1"/>
    <s v="Active"/>
    <n v="15600"/>
    <x v="0"/>
    <s v="Safe"/>
    <s v="Mar-2025"/>
  </r>
  <r>
    <n v="10228"/>
    <n v="18"/>
    <x v="0"/>
    <x v="1"/>
    <x v="201"/>
    <d v="2025-12-26T00:00:00"/>
    <x v="1"/>
    <x v="1"/>
    <s v="Active"/>
    <n v="15600"/>
    <x v="0"/>
    <s v="Safe"/>
    <s v="Oct-2023"/>
  </r>
  <r>
    <n v="10229"/>
    <n v="36"/>
    <x v="0"/>
    <x v="2"/>
    <x v="202"/>
    <d v="2025-10-21T00:00:00"/>
    <x v="4"/>
    <x v="0"/>
    <s v="Inactive"/>
    <n v="3000"/>
    <x v="1"/>
    <s v="High Risk"/>
    <s v="Apr-2025"/>
  </r>
  <r>
    <n v="10230"/>
    <n v="27"/>
    <x v="0"/>
    <x v="1"/>
    <x v="35"/>
    <d v="2025-10-02T00:00:00"/>
    <x v="3"/>
    <x v="0"/>
    <s v="Inactive"/>
    <n v="9600"/>
    <x v="2"/>
    <s v="High Risk"/>
    <s v="Nov-2025"/>
  </r>
  <r>
    <n v="10231"/>
    <n v="29"/>
    <x v="0"/>
    <x v="1"/>
    <x v="138"/>
    <d v="2025-12-27T00:00:00"/>
    <x v="1"/>
    <x v="1"/>
    <s v="Active"/>
    <n v="15600"/>
    <x v="2"/>
    <s v="Safe"/>
    <s v="Dec-2024"/>
  </r>
  <r>
    <n v="10232"/>
    <n v="41"/>
    <x v="0"/>
    <x v="1"/>
    <x v="203"/>
    <d v="2025-11-27T00:00:00"/>
    <x v="3"/>
    <x v="0"/>
    <s v="Inactive"/>
    <n v="9600"/>
    <x v="1"/>
    <s v="High Risk"/>
    <s v="Jan-2025"/>
  </r>
  <r>
    <n v="10233"/>
    <n v="32"/>
    <x v="0"/>
    <x v="2"/>
    <x v="204"/>
    <d v="2025-12-04T00:00:00"/>
    <x v="5"/>
    <x v="1"/>
    <s v="Inactive"/>
    <n v="4500"/>
    <x v="2"/>
    <s v="High Risk"/>
    <s v="Aug-2024"/>
  </r>
  <r>
    <n v="10234"/>
    <n v="44"/>
    <x v="0"/>
    <x v="0"/>
    <x v="38"/>
    <d v="2025-12-18T00:00:00"/>
    <x v="0"/>
    <x v="0"/>
    <s v="Active"/>
    <n v="1200"/>
    <x v="1"/>
    <s v="Safe"/>
    <s v="Sep-2024"/>
  </r>
  <r>
    <n v="10235"/>
    <n v="39"/>
    <x v="0"/>
    <x v="0"/>
    <x v="111"/>
    <d v="2025-11-19T00:00:00"/>
    <x v="2"/>
    <x v="1"/>
    <s v="Inactive"/>
    <n v="1700"/>
    <x v="1"/>
    <s v="High Risk"/>
    <s v="Feb-2024"/>
  </r>
  <r>
    <n v="10236"/>
    <n v="41"/>
    <x v="0"/>
    <x v="2"/>
    <x v="163"/>
    <d v="2025-12-28T00:00:00"/>
    <x v="5"/>
    <x v="1"/>
    <s v="Active"/>
    <n v="4500"/>
    <x v="1"/>
    <s v="Safe"/>
    <s v="Apr-2025"/>
  </r>
  <r>
    <n v="10237"/>
    <n v="26"/>
    <x v="1"/>
    <x v="0"/>
    <x v="205"/>
    <d v="2025-12-25T00:00:00"/>
    <x v="2"/>
    <x v="1"/>
    <s v="Active"/>
    <n v="1700"/>
    <x v="2"/>
    <s v="Safe"/>
    <s v="Dec-2024"/>
  </r>
  <r>
    <n v="10238"/>
    <n v="37"/>
    <x v="0"/>
    <x v="0"/>
    <x v="206"/>
    <d v="2025-12-29T00:00:00"/>
    <x v="2"/>
    <x v="1"/>
    <s v="Active"/>
    <n v="1700"/>
    <x v="1"/>
    <s v="Safe"/>
    <s v="Aug-2024"/>
  </r>
  <r>
    <n v="10239"/>
    <n v="34"/>
    <x v="0"/>
    <x v="1"/>
    <x v="207"/>
    <d v="2025-12-24T00:00:00"/>
    <x v="3"/>
    <x v="0"/>
    <s v="Active"/>
    <n v="9600"/>
    <x v="2"/>
    <s v="Safe"/>
    <s v="Jan-2025"/>
  </r>
  <r>
    <n v="10240"/>
    <n v="34"/>
    <x v="0"/>
    <x v="1"/>
    <x v="196"/>
    <d v="2026-01-04T00:00:00"/>
    <x v="3"/>
    <x v="0"/>
    <s v="Active"/>
    <n v="9600"/>
    <x v="2"/>
    <s v="Safe"/>
    <s v="Aug-2024"/>
  </r>
  <r>
    <n v="10241"/>
    <n v="43"/>
    <x v="0"/>
    <x v="2"/>
    <x v="208"/>
    <d v="2025-11-05T00:00:00"/>
    <x v="5"/>
    <x v="1"/>
    <s v="Inactive"/>
    <n v="4500"/>
    <x v="1"/>
    <s v="High Risk"/>
    <s v="Nov-2023"/>
  </r>
  <r>
    <n v="10242"/>
    <n v="37"/>
    <x v="0"/>
    <x v="1"/>
    <x v="209"/>
    <d v="2025-12-31T00:00:00"/>
    <x v="3"/>
    <x v="0"/>
    <s v="Active"/>
    <n v="9600"/>
    <x v="1"/>
    <s v="Safe"/>
    <s v="Nov-2025"/>
  </r>
  <r>
    <n v="10243"/>
    <n v="29"/>
    <x v="0"/>
    <x v="1"/>
    <x v="210"/>
    <d v="2025-12-21T00:00:00"/>
    <x v="3"/>
    <x v="0"/>
    <s v="Active"/>
    <n v="9600"/>
    <x v="2"/>
    <s v="Safe"/>
    <s v="Apr-2024"/>
  </r>
  <r>
    <n v="10244"/>
    <n v="24"/>
    <x v="1"/>
    <x v="0"/>
    <x v="211"/>
    <d v="2025-11-28T00:00:00"/>
    <x v="0"/>
    <x v="0"/>
    <s v="Inactive"/>
    <n v="1200"/>
    <x v="0"/>
    <s v="High Risk"/>
    <s v="Jul-2025"/>
  </r>
  <r>
    <n v="10245"/>
    <n v="19"/>
    <x v="0"/>
    <x v="0"/>
    <x v="31"/>
    <d v="2025-12-25T00:00:00"/>
    <x v="2"/>
    <x v="1"/>
    <s v="Active"/>
    <n v="1700"/>
    <x v="0"/>
    <s v="Safe"/>
    <s v="Oct-2024"/>
  </r>
  <r>
    <n v="10246"/>
    <n v="20"/>
    <x v="0"/>
    <x v="2"/>
    <x v="212"/>
    <d v="2025-10-10T00:00:00"/>
    <x v="4"/>
    <x v="0"/>
    <s v="Inactive"/>
    <n v="3000"/>
    <x v="0"/>
    <s v="High Risk"/>
    <s v="Dec-2025"/>
  </r>
  <r>
    <n v="10247"/>
    <n v="34"/>
    <x v="0"/>
    <x v="2"/>
    <x v="213"/>
    <d v="2025-11-28T00:00:00"/>
    <x v="4"/>
    <x v="0"/>
    <s v="Inactive"/>
    <n v="3000"/>
    <x v="2"/>
    <s v="High Risk"/>
    <s v="Jul-2025"/>
  </r>
  <r>
    <n v="10248"/>
    <n v="22"/>
    <x v="0"/>
    <x v="0"/>
    <x v="25"/>
    <d v="2025-12-17T00:00:00"/>
    <x v="0"/>
    <x v="0"/>
    <s v="Active"/>
    <n v="1200"/>
    <x v="0"/>
    <s v="Safe"/>
    <s v="Dec-2025"/>
  </r>
  <r>
    <n v="10249"/>
    <n v="34"/>
    <x v="0"/>
    <x v="2"/>
    <x v="214"/>
    <d v="2026-01-07T00:00:00"/>
    <x v="4"/>
    <x v="0"/>
    <s v="Active"/>
    <n v="3000"/>
    <x v="2"/>
    <s v="Safe"/>
    <s v="Nov-2024"/>
  </r>
  <r>
    <n v="10250"/>
    <n v="41"/>
    <x v="0"/>
    <x v="0"/>
    <x v="215"/>
    <d v="2025-12-01T00:00:00"/>
    <x v="2"/>
    <x v="1"/>
    <s v="Inactive"/>
    <n v="1700"/>
    <x v="1"/>
    <s v="High Risk"/>
    <s v="Mar-2025"/>
  </r>
  <r>
    <n v="10251"/>
    <n v="34"/>
    <x v="0"/>
    <x v="2"/>
    <x v="216"/>
    <d v="2025-10-31T00:00:00"/>
    <x v="5"/>
    <x v="1"/>
    <s v="Inactive"/>
    <n v="4500"/>
    <x v="2"/>
    <s v="High Risk"/>
    <s v="Feb-2024"/>
  </r>
  <r>
    <n v="10252"/>
    <n v="44"/>
    <x v="1"/>
    <x v="1"/>
    <x v="217"/>
    <d v="2025-12-31T00:00:00"/>
    <x v="3"/>
    <x v="0"/>
    <s v="Active"/>
    <n v="9600"/>
    <x v="1"/>
    <s v="Safe"/>
    <s v="Aug-2024"/>
  </r>
  <r>
    <n v="10253"/>
    <n v="34"/>
    <x v="0"/>
    <x v="2"/>
    <x v="218"/>
    <d v="2026-01-02T00:00:00"/>
    <x v="4"/>
    <x v="0"/>
    <s v="Active"/>
    <n v="3000"/>
    <x v="2"/>
    <s v="Safe"/>
    <s v="Aug-2025"/>
  </r>
  <r>
    <n v="10254"/>
    <n v="19"/>
    <x v="0"/>
    <x v="1"/>
    <x v="219"/>
    <d v="2025-12-24T00:00:00"/>
    <x v="1"/>
    <x v="1"/>
    <s v="Active"/>
    <n v="15600"/>
    <x v="0"/>
    <s v="Safe"/>
    <s v="Aug-2024"/>
  </r>
  <r>
    <n v="10255"/>
    <n v="19"/>
    <x v="0"/>
    <x v="1"/>
    <x v="220"/>
    <d v="2025-12-25T00:00:00"/>
    <x v="3"/>
    <x v="0"/>
    <s v="Active"/>
    <n v="9600"/>
    <x v="0"/>
    <s v="Safe"/>
    <s v="Aug-2023"/>
  </r>
  <r>
    <n v="10256"/>
    <n v="45"/>
    <x v="0"/>
    <x v="1"/>
    <x v="221"/>
    <d v="2026-01-05T00:00:00"/>
    <x v="3"/>
    <x v="0"/>
    <s v="Active"/>
    <n v="9600"/>
    <x v="1"/>
    <s v="Safe"/>
    <s v="Apr-2024"/>
  </r>
  <r>
    <n v="10257"/>
    <n v="39"/>
    <x v="0"/>
    <x v="1"/>
    <x v="222"/>
    <d v="2025-12-18T00:00:00"/>
    <x v="3"/>
    <x v="0"/>
    <s v="Active"/>
    <n v="9600"/>
    <x v="1"/>
    <s v="Safe"/>
    <s v="Apr-2024"/>
  </r>
  <r>
    <n v="10258"/>
    <n v="40"/>
    <x v="0"/>
    <x v="1"/>
    <x v="223"/>
    <d v="2025-12-21T00:00:00"/>
    <x v="3"/>
    <x v="0"/>
    <s v="Active"/>
    <n v="9600"/>
    <x v="1"/>
    <s v="Safe"/>
    <s v="Aug-2025"/>
  </r>
  <r>
    <n v="10259"/>
    <n v="22"/>
    <x v="1"/>
    <x v="2"/>
    <x v="224"/>
    <d v="2025-12-24T00:00:00"/>
    <x v="4"/>
    <x v="0"/>
    <s v="Active"/>
    <n v="3000"/>
    <x v="0"/>
    <s v="Safe"/>
    <s v="Aug-2024"/>
  </r>
  <r>
    <n v="10260"/>
    <n v="18"/>
    <x v="1"/>
    <x v="0"/>
    <x v="114"/>
    <d v="2025-12-21T00:00:00"/>
    <x v="2"/>
    <x v="1"/>
    <s v="Active"/>
    <n v="1700"/>
    <x v="0"/>
    <s v="Safe"/>
    <s v="Nov-2024"/>
  </r>
  <r>
    <n v="10261"/>
    <n v="18"/>
    <x v="0"/>
    <x v="2"/>
    <x v="225"/>
    <d v="2026-01-04T00:00:00"/>
    <x v="4"/>
    <x v="0"/>
    <s v="Active"/>
    <n v="3000"/>
    <x v="0"/>
    <s v="Safe"/>
    <s v="Nov-2023"/>
  </r>
  <r>
    <n v="10262"/>
    <n v="36"/>
    <x v="1"/>
    <x v="2"/>
    <x v="169"/>
    <d v="2025-10-12T00:00:00"/>
    <x v="5"/>
    <x v="1"/>
    <s v="Inactive"/>
    <n v="4500"/>
    <x v="1"/>
    <s v="High Risk"/>
    <s v="Apr-2024"/>
  </r>
  <r>
    <n v="10263"/>
    <n v="19"/>
    <x v="0"/>
    <x v="0"/>
    <x v="226"/>
    <d v="2025-12-18T00:00:00"/>
    <x v="2"/>
    <x v="1"/>
    <s v="Active"/>
    <n v="1700"/>
    <x v="0"/>
    <s v="Safe"/>
    <s v="Apr-2025"/>
  </r>
  <r>
    <n v="10264"/>
    <n v="38"/>
    <x v="0"/>
    <x v="0"/>
    <x v="227"/>
    <d v="2026-01-10T00:00:00"/>
    <x v="2"/>
    <x v="1"/>
    <s v="Active"/>
    <n v="1700"/>
    <x v="1"/>
    <s v="Safe"/>
    <s v="Jun-2024"/>
  </r>
  <r>
    <n v="10265"/>
    <n v="29"/>
    <x v="0"/>
    <x v="1"/>
    <x v="120"/>
    <d v="2025-12-26T00:00:00"/>
    <x v="1"/>
    <x v="1"/>
    <s v="Active"/>
    <n v="15600"/>
    <x v="2"/>
    <s v="Safe"/>
    <s v="Feb-2025"/>
  </r>
  <r>
    <n v="10266"/>
    <n v="43"/>
    <x v="1"/>
    <x v="1"/>
    <x v="228"/>
    <d v="2026-01-08T00:00:00"/>
    <x v="1"/>
    <x v="1"/>
    <s v="Active"/>
    <n v="15600"/>
    <x v="1"/>
    <s v="Safe"/>
    <s v="Aug-2025"/>
  </r>
  <r>
    <n v="10267"/>
    <n v="23"/>
    <x v="0"/>
    <x v="1"/>
    <x v="229"/>
    <d v="2025-12-29T00:00:00"/>
    <x v="1"/>
    <x v="1"/>
    <s v="Active"/>
    <n v="15600"/>
    <x v="0"/>
    <s v="Safe"/>
    <s v="Mar-2025"/>
  </r>
  <r>
    <n v="10268"/>
    <n v="40"/>
    <x v="0"/>
    <x v="0"/>
    <x v="230"/>
    <d v="2025-12-24T00:00:00"/>
    <x v="0"/>
    <x v="0"/>
    <s v="Active"/>
    <n v="1200"/>
    <x v="1"/>
    <s v="Safe"/>
    <s v="Dec-2025"/>
  </r>
  <r>
    <n v="10269"/>
    <n v="21"/>
    <x v="0"/>
    <x v="0"/>
    <x v="67"/>
    <d v="2025-10-30T00:00:00"/>
    <x v="2"/>
    <x v="1"/>
    <s v="Inactive"/>
    <n v="1700"/>
    <x v="0"/>
    <s v="High Risk"/>
    <s v="Sep-2023"/>
  </r>
  <r>
    <n v="10270"/>
    <n v="40"/>
    <x v="0"/>
    <x v="0"/>
    <x v="231"/>
    <d v="2025-12-29T00:00:00"/>
    <x v="0"/>
    <x v="0"/>
    <s v="Active"/>
    <n v="1200"/>
    <x v="1"/>
    <s v="Safe"/>
    <s v="Aug-2025"/>
  </r>
  <r>
    <n v="10271"/>
    <n v="28"/>
    <x v="0"/>
    <x v="0"/>
    <x v="138"/>
    <d v="2025-09-27T00:00:00"/>
    <x v="2"/>
    <x v="1"/>
    <s v="Inactive"/>
    <n v="1700"/>
    <x v="2"/>
    <s v="High Risk"/>
    <s v="Dec-2024"/>
  </r>
  <r>
    <n v="10272"/>
    <n v="41"/>
    <x v="0"/>
    <x v="0"/>
    <x v="149"/>
    <d v="2025-12-21T00:00:00"/>
    <x v="0"/>
    <x v="0"/>
    <s v="Active"/>
    <n v="1200"/>
    <x v="1"/>
    <s v="Safe"/>
    <s v="Nov-2024"/>
  </r>
  <r>
    <n v="10273"/>
    <n v="44"/>
    <x v="0"/>
    <x v="0"/>
    <x v="232"/>
    <d v="2025-12-28T00:00:00"/>
    <x v="0"/>
    <x v="0"/>
    <s v="Active"/>
    <n v="1200"/>
    <x v="1"/>
    <s v="Safe"/>
    <s v="Feb-2025"/>
  </r>
  <r>
    <n v="10274"/>
    <n v="34"/>
    <x v="0"/>
    <x v="1"/>
    <x v="203"/>
    <d v="2025-12-29T00:00:00"/>
    <x v="1"/>
    <x v="1"/>
    <s v="Active"/>
    <n v="15600"/>
    <x v="2"/>
    <s v="Safe"/>
    <s v="Jan-2025"/>
  </r>
  <r>
    <n v="10275"/>
    <n v="23"/>
    <x v="0"/>
    <x v="2"/>
    <x v="233"/>
    <d v="2025-12-18T00:00:00"/>
    <x v="4"/>
    <x v="0"/>
    <s v="Active"/>
    <n v="3000"/>
    <x v="0"/>
    <s v="Safe"/>
    <s v="Nov-2023"/>
  </r>
  <r>
    <n v="10276"/>
    <n v="41"/>
    <x v="0"/>
    <x v="0"/>
    <x v="234"/>
    <d v="2025-11-29T00:00:00"/>
    <x v="0"/>
    <x v="0"/>
    <s v="Inactive"/>
    <n v="1200"/>
    <x v="1"/>
    <s v="High Risk"/>
    <s v="Jul-2024"/>
  </r>
  <r>
    <n v="10277"/>
    <n v="22"/>
    <x v="0"/>
    <x v="0"/>
    <x v="235"/>
    <d v="2025-11-08T00:00:00"/>
    <x v="0"/>
    <x v="0"/>
    <s v="Inactive"/>
    <n v="1200"/>
    <x v="0"/>
    <s v="High Risk"/>
    <s v="May-2024"/>
  </r>
  <r>
    <n v="10278"/>
    <n v="37"/>
    <x v="0"/>
    <x v="2"/>
    <x v="236"/>
    <d v="2025-12-19T00:00:00"/>
    <x v="4"/>
    <x v="0"/>
    <s v="Active"/>
    <n v="3000"/>
    <x v="1"/>
    <s v="Safe"/>
    <s v="Oct-2024"/>
  </r>
  <r>
    <n v="10279"/>
    <n v="19"/>
    <x v="0"/>
    <x v="0"/>
    <x v="237"/>
    <d v="2026-01-02T00:00:00"/>
    <x v="0"/>
    <x v="0"/>
    <s v="Active"/>
    <n v="1200"/>
    <x v="0"/>
    <s v="Safe"/>
    <s v="Aug-2025"/>
  </r>
  <r>
    <n v="10280"/>
    <n v="23"/>
    <x v="0"/>
    <x v="1"/>
    <x v="45"/>
    <d v="2026-01-05T00:00:00"/>
    <x v="3"/>
    <x v="0"/>
    <s v="Active"/>
    <n v="9600"/>
    <x v="0"/>
    <s v="Safe"/>
    <s v="Oct-2025"/>
  </r>
  <r>
    <n v="10281"/>
    <n v="39"/>
    <x v="0"/>
    <x v="0"/>
    <x v="166"/>
    <d v="2025-09-18T00:00:00"/>
    <x v="0"/>
    <x v="0"/>
    <s v="Inactive"/>
    <n v="1200"/>
    <x v="1"/>
    <s v="High Risk"/>
    <s v="Oct-2025"/>
  </r>
  <r>
    <n v="10282"/>
    <n v="28"/>
    <x v="1"/>
    <x v="0"/>
    <x v="238"/>
    <d v="2025-12-20T00:00:00"/>
    <x v="2"/>
    <x v="1"/>
    <s v="Active"/>
    <n v="1700"/>
    <x v="2"/>
    <s v="Safe"/>
    <s v="Mar-2024"/>
  </r>
  <r>
    <n v="10283"/>
    <n v="33"/>
    <x v="0"/>
    <x v="0"/>
    <x v="93"/>
    <d v="2025-12-28T00:00:00"/>
    <x v="0"/>
    <x v="0"/>
    <s v="Active"/>
    <n v="1200"/>
    <x v="2"/>
    <s v="Safe"/>
    <s v="Dec-2024"/>
  </r>
  <r>
    <n v="10284"/>
    <n v="33"/>
    <x v="0"/>
    <x v="0"/>
    <x v="136"/>
    <d v="2025-10-01T00:00:00"/>
    <x v="0"/>
    <x v="0"/>
    <s v="Inactive"/>
    <n v="1200"/>
    <x v="2"/>
    <s v="High Risk"/>
    <s v="Jun-2024"/>
  </r>
  <r>
    <n v="10285"/>
    <n v="18"/>
    <x v="0"/>
    <x v="2"/>
    <x v="239"/>
    <d v="2025-12-31T00:00:00"/>
    <x v="4"/>
    <x v="0"/>
    <s v="Active"/>
    <n v="3000"/>
    <x v="0"/>
    <s v="Safe"/>
    <s v="Oct-2023"/>
  </r>
  <r>
    <n v="10286"/>
    <n v="26"/>
    <x v="0"/>
    <x v="2"/>
    <x v="240"/>
    <d v="2025-12-29T00:00:00"/>
    <x v="5"/>
    <x v="1"/>
    <s v="Active"/>
    <n v="4500"/>
    <x v="2"/>
    <s v="Safe"/>
    <s v="Sep-2025"/>
  </r>
  <r>
    <n v="10287"/>
    <n v="45"/>
    <x v="0"/>
    <x v="2"/>
    <x v="36"/>
    <d v="2026-01-06T00:00:00"/>
    <x v="4"/>
    <x v="0"/>
    <s v="Active"/>
    <n v="3000"/>
    <x v="1"/>
    <s v="Safe"/>
    <s v="Aug-2023"/>
  </r>
  <r>
    <n v="10288"/>
    <n v="44"/>
    <x v="0"/>
    <x v="0"/>
    <x v="241"/>
    <d v="2026-01-04T00:00:00"/>
    <x v="0"/>
    <x v="0"/>
    <s v="Active"/>
    <n v="1200"/>
    <x v="1"/>
    <s v="Safe"/>
    <s v="Jul-2024"/>
  </r>
  <r>
    <n v="10289"/>
    <n v="23"/>
    <x v="0"/>
    <x v="2"/>
    <x v="242"/>
    <d v="2025-12-22T00:00:00"/>
    <x v="5"/>
    <x v="1"/>
    <s v="Active"/>
    <n v="4500"/>
    <x v="0"/>
    <s v="Safe"/>
    <s v="Apr-2025"/>
  </r>
  <r>
    <n v="10290"/>
    <n v="33"/>
    <x v="0"/>
    <x v="2"/>
    <x v="243"/>
    <d v="2025-12-26T00:00:00"/>
    <x v="4"/>
    <x v="0"/>
    <s v="Active"/>
    <n v="3000"/>
    <x v="2"/>
    <s v="Safe"/>
    <s v="Sep-2024"/>
  </r>
  <r>
    <n v="10291"/>
    <n v="20"/>
    <x v="1"/>
    <x v="1"/>
    <x v="244"/>
    <d v="2025-12-25T00:00:00"/>
    <x v="3"/>
    <x v="0"/>
    <s v="Active"/>
    <n v="9600"/>
    <x v="0"/>
    <s v="Safe"/>
    <s v="Oct-2024"/>
  </r>
  <r>
    <n v="10292"/>
    <n v="37"/>
    <x v="1"/>
    <x v="0"/>
    <x v="56"/>
    <d v="2025-11-13T00:00:00"/>
    <x v="0"/>
    <x v="0"/>
    <s v="Inactive"/>
    <n v="1200"/>
    <x v="1"/>
    <s v="High Risk"/>
    <s v="Dec-2024"/>
  </r>
  <r>
    <n v="10293"/>
    <n v="45"/>
    <x v="0"/>
    <x v="0"/>
    <x v="245"/>
    <d v="2026-01-10T00:00:00"/>
    <x v="0"/>
    <x v="0"/>
    <s v="Active"/>
    <n v="1200"/>
    <x v="1"/>
    <s v="Safe"/>
    <s v="Nov-2023"/>
  </r>
  <r>
    <n v="10294"/>
    <n v="44"/>
    <x v="0"/>
    <x v="2"/>
    <x v="246"/>
    <d v="2025-12-18T00:00:00"/>
    <x v="5"/>
    <x v="1"/>
    <s v="Active"/>
    <n v="4500"/>
    <x v="1"/>
    <s v="Safe"/>
    <s v="Sep-2023"/>
  </r>
  <r>
    <n v="10295"/>
    <n v="21"/>
    <x v="1"/>
    <x v="2"/>
    <x v="73"/>
    <d v="2025-09-20T00:00:00"/>
    <x v="4"/>
    <x v="0"/>
    <s v="Inactive"/>
    <n v="3000"/>
    <x v="0"/>
    <s v="High Risk"/>
    <s v="Oct-2024"/>
  </r>
  <r>
    <n v="10296"/>
    <n v="36"/>
    <x v="0"/>
    <x v="2"/>
    <x v="113"/>
    <d v="2026-01-02T00:00:00"/>
    <x v="4"/>
    <x v="0"/>
    <s v="Active"/>
    <n v="3000"/>
    <x v="1"/>
    <s v="Safe"/>
    <s v="Feb-2025"/>
  </r>
  <r>
    <n v="10297"/>
    <n v="43"/>
    <x v="0"/>
    <x v="0"/>
    <x v="247"/>
    <d v="2025-10-31T00:00:00"/>
    <x v="2"/>
    <x v="1"/>
    <s v="Inactive"/>
    <n v="1700"/>
    <x v="1"/>
    <s v="High Risk"/>
    <s v="Jan-2025"/>
  </r>
  <r>
    <n v="10298"/>
    <n v="20"/>
    <x v="1"/>
    <x v="2"/>
    <x v="185"/>
    <d v="2025-12-26T00:00:00"/>
    <x v="5"/>
    <x v="1"/>
    <s v="Active"/>
    <n v="4500"/>
    <x v="0"/>
    <s v="Safe"/>
    <s v="Jan-2025"/>
  </r>
  <r>
    <n v="10299"/>
    <n v="36"/>
    <x v="0"/>
    <x v="1"/>
    <x v="220"/>
    <d v="2026-01-08T00:00:00"/>
    <x v="3"/>
    <x v="0"/>
    <s v="Active"/>
    <n v="9600"/>
    <x v="1"/>
    <s v="Safe"/>
    <s v="Aug-2023"/>
  </r>
  <r>
    <n v="10300"/>
    <n v="37"/>
    <x v="0"/>
    <x v="2"/>
    <x v="248"/>
    <d v="2025-12-24T00:00:00"/>
    <x v="5"/>
    <x v="1"/>
    <s v="Active"/>
    <n v="4500"/>
    <x v="1"/>
    <s v="Safe"/>
    <s v="Nov-2023"/>
  </r>
  <r>
    <n v="10301"/>
    <n v="24"/>
    <x v="1"/>
    <x v="1"/>
    <x v="203"/>
    <d v="2025-12-30T00:00:00"/>
    <x v="1"/>
    <x v="1"/>
    <s v="Active"/>
    <n v="15600"/>
    <x v="0"/>
    <s v="Safe"/>
    <s v="Jan-2025"/>
  </r>
  <r>
    <n v="10302"/>
    <n v="37"/>
    <x v="0"/>
    <x v="2"/>
    <x v="1"/>
    <d v="2025-12-20T00:00:00"/>
    <x v="4"/>
    <x v="0"/>
    <s v="Active"/>
    <n v="3000"/>
    <x v="1"/>
    <s v="Safe"/>
    <s v="Jul-2025"/>
  </r>
  <r>
    <n v="10303"/>
    <n v="26"/>
    <x v="0"/>
    <x v="1"/>
    <x v="249"/>
    <d v="2025-12-30T00:00:00"/>
    <x v="1"/>
    <x v="1"/>
    <s v="Active"/>
    <n v="15600"/>
    <x v="2"/>
    <s v="Safe"/>
    <s v="Jul-2024"/>
  </r>
  <r>
    <n v="10304"/>
    <n v="18"/>
    <x v="0"/>
    <x v="1"/>
    <x v="250"/>
    <d v="2026-01-08T00:00:00"/>
    <x v="3"/>
    <x v="0"/>
    <s v="Active"/>
    <n v="9600"/>
    <x v="0"/>
    <s v="Safe"/>
    <s v="Mar-2025"/>
  </r>
  <r>
    <n v="10305"/>
    <n v="25"/>
    <x v="1"/>
    <x v="0"/>
    <x v="251"/>
    <d v="2025-09-16T00:00:00"/>
    <x v="2"/>
    <x v="1"/>
    <s v="Inactive"/>
    <n v="1700"/>
    <x v="2"/>
    <s v="High Risk"/>
    <s v="Jun-2025"/>
  </r>
  <r>
    <n v="10306"/>
    <n v="24"/>
    <x v="1"/>
    <x v="1"/>
    <x v="252"/>
    <d v="2025-12-24T00:00:00"/>
    <x v="3"/>
    <x v="0"/>
    <s v="Active"/>
    <n v="9600"/>
    <x v="0"/>
    <s v="Safe"/>
    <s v="Sep-2023"/>
  </r>
  <r>
    <n v="10307"/>
    <n v="35"/>
    <x v="1"/>
    <x v="0"/>
    <x v="253"/>
    <d v="2026-01-03T00:00:00"/>
    <x v="0"/>
    <x v="0"/>
    <s v="Active"/>
    <n v="1200"/>
    <x v="1"/>
    <s v="Safe"/>
    <s v="Mar-2025"/>
  </r>
  <r>
    <n v="10308"/>
    <n v="25"/>
    <x v="0"/>
    <x v="1"/>
    <x v="50"/>
    <d v="2025-12-04T00:00:00"/>
    <x v="1"/>
    <x v="1"/>
    <s v="Inactive"/>
    <n v="15600"/>
    <x v="2"/>
    <s v="High Risk"/>
    <s v="Jun-2025"/>
  </r>
  <r>
    <n v="10309"/>
    <n v="18"/>
    <x v="1"/>
    <x v="2"/>
    <x v="88"/>
    <d v="2025-12-17T00:00:00"/>
    <x v="4"/>
    <x v="0"/>
    <s v="Active"/>
    <n v="3000"/>
    <x v="0"/>
    <s v="Safe"/>
    <s v="Apr-2025"/>
  </r>
  <r>
    <n v="10310"/>
    <n v="28"/>
    <x v="1"/>
    <x v="0"/>
    <x v="254"/>
    <d v="2026-01-03T00:00:00"/>
    <x v="2"/>
    <x v="1"/>
    <s v="Active"/>
    <n v="1700"/>
    <x v="2"/>
    <s v="Safe"/>
    <s v="Oct-2025"/>
  </r>
  <r>
    <n v="10311"/>
    <n v="45"/>
    <x v="0"/>
    <x v="2"/>
    <x v="255"/>
    <d v="2025-12-30T00:00:00"/>
    <x v="4"/>
    <x v="0"/>
    <s v="Active"/>
    <n v="3000"/>
    <x v="1"/>
    <s v="Safe"/>
    <s v="Oct-2023"/>
  </r>
  <r>
    <n v="10312"/>
    <n v="42"/>
    <x v="1"/>
    <x v="1"/>
    <x v="256"/>
    <d v="2025-10-27T00:00:00"/>
    <x v="3"/>
    <x v="0"/>
    <s v="Inactive"/>
    <n v="9600"/>
    <x v="1"/>
    <s v="High Risk"/>
    <s v="Jul-2025"/>
  </r>
  <r>
    <n v="10313"/>
    <n v="42"/>
    <x v="1"/>
    <x v="0"/>
    <x v="257"/>
    <d v="2026-01-02T00:00:00"/>
    <x v="0"/>
    <x v="0"/>
    <s v="Active"/>
    <n v="1200"/>
    <x v="1"/>
    <s v="Safe"/>
    <s v="Apr-2024"/>
  </r>
  <r>
    <n v="10314"/>
    <n v="35"/>
    <x v="0"/>
    <x v="2"/>
    <x v="108"/>
    <d v="2025-12-29T00:00:00"/>
    <x v="4"/>
    <x v="0"/>
    <s v="Active"/>
    <n v="3000"/>
    <x v="1"/>
    <s v="Safe"/>
    <s v="Aug-2023"/>
  </r>
  <r>
    <n v="10315"/>
    <n v="40"/>
    <x v="0"/>
    <x v="2"/>
    <x v="258"/>
    <d v="2025-12-24T00:00:00"/>
    <x v="5"/>
    <x v="1"/>
    <s v="Active"/>
    <n v="4500"/>
    <x v="1"/>
    <s v="Safe"/>
    <s v="Dec-2023"/>
  </r>
  <r>
    <n v="10316"/>
    <n v="27"/>
    <x v="0"/>
    <x v="1"/>
    <x v="259"/>
    <d v="2026-01-06T00:00:00"/>
    <x v="3"/>
    <x v="0"/>
    <s v="Active"/>
    <n v="9600"/>
    <x v="2"/>
    <s v="Safe"/>
    <s v="Oct-2023"/>
  </r>
  <r>
    <n v="10317"/>
    <n v="20"/>
    <x v="0"/>
    <x v="0"/>
    <x v="260"/>
    <d v="2026-01-02T00:00:00"/>
    <x v="0"/>
    <x v="0"/>
    <s v="Active"/>
    <n v="1200"/>
    <x v="0"/>
    <s v="Safe"/>
    <s v="Sep-2023"/>
  </r>
  <r>
    <n v="10318"/>
    <n v="24"/>
    <x v="0"/>
    <x v="0"/>
    <x v="64"/>
    <d v="2026-01-03T00:00:00"/>
    <x v="2"/>
    <x v="1"/>
    <s v="Active"/>
    <n v="1700"/>
    <x v="0"/>
    <s v="Safe"/>
    <s v="Sep-2024"/>
  </r>
  <r>
    <n v="10319"/>
    <n v="45"/>
    <x v="0"/>
    <x v="0"/>
    <x v="261"/>
    <d v="2025-09-25T00:00:00"/>
    <x v="0"/>
    <x v="0"/>
    <s v="Inactive"/>
    <n v="1200"/>
    <x v="1"/>
    <s v="High Risk"/>
    <s v="Jul-2024"/>
  </r>
  <r>
    <n v="10320"/>
    <n v="33"/>
    <x v="1"/>
    <x v="2"/>
    <x v="262"/>
    <d v="2025-12-29T00:00:00"/>
    <x v="5"/>
    <x v="1"/>
    <s v="Active"/>
    <n v="4500"/>
    <x v="2"/>
    <s v="Safe"/>
    <s v="Jul-2024"/>
  </r>
  <r>
    <n v="10321"/>
    <n v="43"/>
    <x v="1"/>
    <x v="2"/>
    <x v="254"/>
    <d v="2026-01-04T00:00:00"/>
    <x v="4"/>
    <x v="0"/>
    <s v="Active"/>
    <n v="3000"/>
    <x v="1"/>
    <s v="Safe"/>
    <s v="Oct-2025"/>
  </r>
  <r>
    <n v="10322"/>
    <n v="33"/>
    <x v="1"/>
    <x v="1"/>
    <x v="263"/>
    <d v="2026-01-01T00:00:00"/>
    <x v="1"/>
    <x v="1"/>
    <s v="Active"/>
    <n v="15600"/>
    <x v="2"/>
    <s v="Safe"/>
    <s v="Feb-2024"/>
  </r>
  <r>
    <n v="10323"/>
    <n v="42"/>
    <x v="0"/>
    <x v="0"/>
    <x v="264"/>
    <d v="2025-12-29T00:00:00"/>
    <x v="0"/>
    <x v="0"/>
    <s v="Active"/>
    <n v="1200"/>
    <x v="1"/>
    <s v="Safe"/>
    <s v="Jul-2024"/>
  </r>
  <r>
    <n v="10324"/>
    <n v="37"/>
    <x v="0"/>
    <x v="2"/>
    <x v="244"/>
    <d v="2025-12-28T00:00:00"/>
    <x v="5"/>
    <x v="1"/>
    <s v="Active"/>
    <n v="4500"/>
    <x v="1"/>
    <s v="Safe"/>
    <s v="Oct-2024"/>
  </r>
  <r>
    <n v="10325"/>
    <n v="45"/>
    <x v="0"/>
    <x v="0"/>
    <x v="265"/>
    <d v="2025-10-27T00:00:00"/>
    <x v="2"/>
    <x v="1"/>
    <s v="Inactive"/>
    <n v="1700"/>
    <x v="1"/>
    <s v="High Risk"/>
    <s v="Oct-2023"/>
  </r>
  <r>
    <n v="10326"/>
    <n v="34"/>
    <x v="0"/>
    <x v="0"/>
    <x v="266"/>
    <d v="2026-01-01T00:00:00"/>
    <x v="0"/>
    <x v="0"/>
    <s v="Active"/>
    <n v="1200"/>
    <x v="2"/>
    <s v="Safe"/>
    <s v="Aug-2025"/>
  </r>
  <r>
    <n v="10327"/>
    <n v="19"/>
    <x v="1"/>
    <x v="2"/>
    <x v="267"/>
    <d v="2026-01-10T00:00:00"/>
    <x v="4"/>
    <x v="0"/>
    <s v="Active"/>
    <n v="3000"/>
    <x v="0"/>
    <s v="Safe"/>
    <s v="Dec-2023"/>
  </r>
  <r>
    <n v="10328"/>
    <n v="18"/>
    <x v="1"/>
    <x v="2"/>
    <x v="268"/>
    <d v="2025-12-22T00:00:00"/>
    <x v="4"/>
    <x v="0"/>
    <s v="Active"/>
    <n v="3000"/>
    <x v="0"/>
    <s v="Safe"/>
    <s v="Jul-2024"/>
  </r>
  <r>
    <n v="10329"/>
    <n v="33"/>
    <x v="0"/>
    <x v="2"/>
    <x v="74"/>
    <d v="2026-01-09T00:00:00"/>
    <x v="5"/>
    <x v="1"/>
    <s v="Active"/>
    <n v="4500"/>
    <x v="2"/>
    <s v="Safe"/>
    <s v="Oct-2025"/>
  </r>
  <r>
    <n v="10330"/>
    <n v="29"/>
    <x v="1"/>
    <x v="1"/>
    <x v="269"/>
    <d v="2026-01-08T00:00:00"/>
    <x v="1"/>
    <x v="1"/>
    <s v="Active"/>
    <n v="15600"/>
    <x v="2"/>
    <s v="Safe"/>
    <s v="Feb-2025"/>
  </r>
  <r>
    <n v="10331"/>
    <n v="22"/>
    <x v="1"/>
    <x v="2"/>
    <x v="201"/>
    <d v="2026-01-02T00:00:00"/>
    <x v="4"/>
    <x v="0"/>
    <s v="Active"/>
    <n v="3000"/>
    <x v="0"/>
    <s v="Safe"/>
    <s v="Oct-2023"/>
  </r>
  <r>
    <n v="10332"/>
    <n v="22"/>
    <x v="0"/>
    <x v="1"/>
    <x v="257"/>
    <d v="2025-12-25T00:00:00"/>
    <x v="3"/>
    <x v="0"/>
    <s v="Active"/>
    <n v="9600"/>
    <x v="0"/>
    <s v="Safe"/>
    <s v="Apr-2024"/>
  </r>
  <r>
    <n v="10333"/>
    <n v="44"/>
    <x v="1"/>
    <x v="1"/>
    <x v="270"/>
    <d v="2026-01-08T00:00:00"/>
    <x v="1"/>
    <x v="1"/>
    <s v="Active"/>
    <n v="15600"/>
    <x v="1"/>
    <s v="Safe"/>
    <s v="Jul-2024"/>
  </r>
  <r>
    <n v="10334"/>
    <n v="40"/>
    <x v="0"/>
    <x v="2"/>
    <x v="183"/>
    <d v="2025-12-25T00:00:00"/>
    <x v="4"/>
    <x v="0"/>
    <s v="Active"/>
    <n v="3000"/>
    <x v="1"/>
    <s v="Safe"/>
    <s v="Sep-2023"/>
  </r>
  <r>
    <n v="10335"/>
    <n v="26"/>
    <x v="0"/>
    <x v="1"/>
    <x v="271"/>
    <d v="2026-01-04T00:00:00"/>
    <x v="3"/>
    <x v="0"/>
    <s v="Active"/>
    <n v="9600"/>
    <x v="2"/>
    <s v="Safe"/>
    <s v="Aug-2024"/>
  </r>
  <r>
    <n v="10336"/>
    <n v="26"/>
    <x v="0"/>
    <x v="2"/>
    <x v="272"/>
    <d v="2026-01-09T00:00:00"/>
    <x v="4"/>
    <x v="0"/>
    <s v="Active"/>
    <n v="3000"/>
    <x v="2"/>
    <s v="Safe"/>
    <s v="Aug-2025"/>
  </r>
  <r>
    <n v="10337"/>
    <n v="20"/>
    <x v="0"/>
    <x v="0"/>
    <x v="273"/>
    <d v="2025-12-10T00:00:00"/>
    <x v="0"/>
    <x v="0"/>
    <s v="Inactive"/>
    <n v="1200"/>
    <x v="0"/>
    <s v="High Risk"/>
    <s v="Oct-2023"/>
  </r>
  <r>
    <n v="10338"/>
    <n v="36"/>
    <x v="0"/>
    <x v="2"/>
    <x v="274"/>
    <d v="2025-12-25T00:00:00"/>
    <x v="4"/>
    <x v="0"/>
    <s v="Active"/>
    <n v="3000"/>
    <x v="1"/>
    <s v="Safe"/>
    <s v="Jan-2025"/>
  </r>
  <r>
    <n v="10339"/>
    <n v="33"/>
    <x v="0"/>
    <x v="0"/>
    <x v="29"/>
    <d v="2025-12-21T00:00:00"/>
    <x v="2"/>
    <x v="1"/>
    <s v="Active"/>
    <n v="1700"/>
    <x v="2"/>
    <s v="Safe"/>
    <s v="May-2024"/>
  </r>
  <r>
    <n v="10340"/>
    <n v="33"/>
    <x v="0"/>
    <x v="2"/>
    <x v="275"/>
    <d v="2025-10-01T00:00:00"/>
    <x v="5"/>
    <x v="1"/>
    <s v="Inactive"/>
    <n v="4500"/>
    <x v="2"/>
    <s v="High Risk"/>
    <s v="Sep-2024"/>
  </r>
  <r>
    <n v="10341"/>
    <n v="20"/>
    <x v="0"/>
    <x v="2"/>
    <x v="276"/>
    <d v="2026-01-05T00:00:00"/>
    <x v="4"/>
    <x v="0"/>
    <s v="Active"/>
    <n v="3000"/>
    <x v="0"/>
    <s v="Safe"/>
    <s v="Jun-2024"/>
  </r>
  <r>
    <n v="10342"/>
    <n v="37"/>
    <x v="0"/>
    <x v="0"/>
    <x v="163"/>
    <d v="2025-09-23T00:00:00"/>
    <x v="0"/>
    <x v="0"/>
    <s v="Inactive"/>
    <n v="1200"/>
    <x v="1"/>
    <s v="High Risk"/>
    <s v="Apr-2025"/>
  </r>
  <r>
    <n v="10343"/>
    <n v="41"/>
    <x v="0"/>
    <x v="0"/>
    <x v="277"/>
    <d v="2025-12-31T00:00:00"/>
    <x v="0"/>
    <x v="0"/>
    <s v="Active"/>
    <n v="1200"/>
    <x v="1"/>
    <s v="Safe"/>
    <s v="Oct-2025"/>
  </r>
  <r>
    <n v="10344"/>
    <n v="39"/>
    <x v="0"/>
    <x v="1"/>
    <x v="49"/>
    <d v="2025-12-25T00:00:00"/>
    <x v="3"/>
    <x v="0"/>
    <s v="Active"/>
    <n v="9600"/>
    <x v="1"/>
    <s v="Safe"/>
    <s v="Aug-2024"/>
  </r>
  <r>
    <n v="10345"/>
    <n v="41"/>
    <x v="0"/>
    <x v="2"/>
    <x v="278"/>
    <d v="2025-12-27T00:00:00"/>
    <x v="4"/>
    <x v="0"/>
    <s v="Active"/>
    <n v="3000"/>
    <x v="1"/>
    <s v="Safe"/>
    <s v="May-2025"/>
  </r>
  <r>
    <n v="10346"/>
    <n v="18"/>
    <x v="0"/>
    <x v="0"/>
    <x v="279"/>
    <d v="2025-12-25T00:00:00"/>
    <x v="0"/>
    <x v="0"/>
    <s v="Active"/>
    <n v="1200"/>
    <x v="0"/>
    <s v="Safe"/>
    <s v="Aug-2023"/>
  </r>
  <r>
    <n v="10347"/>
    <n v="41"/>
    <x v="0"/>
    <x v="2"/>
    <x v="280"/>
    <d v="2025-12-17T00:00:00"/>
    <x v="5"/>
    <x v="1"/>
    <s v="Active"/>
    <n v="4500"/>
    <x v="1"/>
    <s v="Safe"/>
    <s v="Mar-2025"/>
  </r>
  <r>
    <n v="10348"/>
    <n v="37"/>
    <x v="0"/>
    <x v="2"/>
    <x v="281"/>
    <d v="2025-10-08T00:00:00"/>
    <x v="5"/>
    <x v="1"/>
    <s v="Inactive"/>
    <n v="4500"/>
    <x v="1"/>
    <s v="High Risk"/>
    <s v="Apr-2024"/>
  </r>
  <r>
    <n v="10349"/>
    <n v="28"/>
    <x v="0"/>
    <x v="2"/>
    <x v="282"/>
    <d v="2025-12-23T00:00:00"/>
    <x v="4"/>
    <x v="0"/>
    <s v="Active"/>
    <n v="3000"/>
    <x v="2"/>
    <s v="Safe"/>
    <s v="Jul-2024"/>
  </r>
  <r>
    <n v="10350"/>
    <n v="34"/>
    <x v="1"/>
    <x v="1"/>
    <x v="283"/>
    <d v="2025-12-23T00:00:00"/>
    <x v="3"/>
    <x v="0"/>
    <s v="Active"/>
    <n v="9600"/>
    <x v="2"/>
    <s v="Safe"/>
    <s v="Aug-2025"/>
  </r>
  <r>
    <n v="10351"/>
    <n v="25"/>
    <x v="0"/>
    <x v="2"/>
    <x v="284"/>
    <d v="2026-01-09T00:00:00"/>
    <x v="5"/>
    <x v="1"/>
    <s v="Active"/>
    <n v="4500"/>
    <x v="2"/>
    <s v="Safe"/>
    <s v="Mar-2024"/>
  </r>
  <r>
    <n v="10352"/>
    <n v="21"/>
    <x v="0"/>
    <x v="0"/>
    <x v="133"/>
    <d v="2026-01-05T00:00:00"/>
    <x v="0"/>
    <x v="0"/>
    <s v="Active"/>
    <n v="1200"/>
    <x v="0"/>
    <s v="Safe"/>
    <s v="May-2025"/>
  </r>
  <r>
    <n v="10353"/>
    <n v="23"/>
    <x v="1"/>
    <x v="1"/>
    <x v="285"/>
    <d v="2026-01-06T00:00:00"/>
    <x v="3"/>
    <x v="0"/>
    <s v="Active"/>
    <n v="9600"/>
    <x v="0"/>
    <s v="Safe"/>
    <s v="Feb-2024"/>
  </r>
  <r>
    <n v="10354"/>
    <n v="25"/>
    <x v="1"/>
    <x v="1"/>
    <x v="263"/>
    <d v="2025-12-23T00:00:00"/>
    <x v="3"/>
    <x v="0"/>
    <s v="Active"/>
    <n v="9600"/>
    <x v="2"/>
    <s v="Safe"/>
    <s v="Feb-2024"/>
  </r>
  <r>
    <n v="10355"/>
    <n v="37"/>
    <x v="1"/>
    <x v="0"/>
    <x v="286"/>
    <d v="2025-10-04T00:00:00"/>
    <x v="2"/>
    <x v="1"/>
    <s v="Inactive"/>
    <n v="1700"/>
    <x v="1"/>
    <s v="High Risk"/>
    <s v="Oct-2023"/>
  </r>
  <r>
    <n v="10356"/>
    <n v="20"/>
    <x v="1"/>
    <x v="0"/>
    <x v="287"/>
    <d v="2025-10-08T00:00:00"/>
    <x v="0"/>
    <x v="0"/>
    <s v="Inactive"/>
    <n v="1200"/>
    <x v="0"/>
    <s v="High Risk"/>
    <s v="Dec-2023"/>
  </r>
  <r>
    <n v="10357"/>
    <n v="33"/>
    <x v="0"/>
    <x v="0"/>
    <x v="288"/>
    <d v="2025-12-22T00:00:00"/>
    <x v="2"/>
    <x v="1"/>
    <s v="Active"/>
    <n v="1700"/>
    <x v="2"/>
    <s v="Safe"/>
    <s v="Apr-2024"/>
  </r>
  <r>
    <n v="10358"/>
    <n v="42"/>
    <x v="0"/>
    <x v="2"/>
    <x v="289"/>
    <d v="2025-12-27T00:00:00"/>
    <x v="4"/>
    <x v="0"/>
    <s v="Active"/>
    <n v="3000"/>
    <x v="1"/>
    <s v="Safe"/>
    <s v="May-2025"/>
  </r>
  <r>
    <n v="10359"/>
    <n v="20"/>
    <x v="0"/>
    <x v="2"/>
    <x v="290"/>
    <d v="2026-01-10T00:00:00"/>
    <x v="5"/>
    <x v="1"/>
    <s v="Active"/>
    <n v="4500"/>
    <x v="0"/>
    <s v="Safe"/>
    <s v="Apr-2025"/>
  </r>
  <r>
    <n v="10360"/>
    <n v="42"/>
    <x v="0"/>
    <x v="2"/>
    <x v="291"/>
    <d v="2025-12-23T00:00:00"/>
    <x v="4"/>
    <x v="0"/>
    <s v="Active"/>
    <n v="3000"/>
    <x v="1"/>
    <s v="Safe"/>
    <s v="Jun-2025"/>
  </r>
  <r>
    <n v="10361"/>
    <n v="35"/>
    <x v="0"/>
    <x v="1"/>
    <x v="292"/>
    <d v="2026-01-09T00:00:00"/>
    <x v="1"/>
    <x v="1"/>
    <s v="Active"/>
    <n v="15600"/>
    <x v="1"/>
    <s v="Safe"/>
    <s v="Sep-2024"/>
  </r>
  <r>
    <n v="10362"/>
    <n v="31"/>
    <x v="0"/>
    <x v="1"/>
    <x v="293"/>
    <d v="2025-12-31T00:00:00"/>
    <x v="3"/>
    <x v="0"/>
    <s v="Active"/>
    <n v="9600"/>
    <x v="2"/>
    <s v="Safe"/>
    <s v="Oct-2023"/>
  </r>
  <r>
    <n v="10363"/>
    <n v="35"/>
    <x v="0"/>
    <x v="0"/>
    <x v="161"/>
    <d v="2025-12-17T00:00:00"/>
    <x v="0"/>
    <x v="0"/>
    <s v="Active"/>
    <n v="1200"/>
    <x v="1"/>
    <s v="Safe"/>
    <s v="Sep-2023"/>
  </r>
  <r>
    <n v="10364"/>
    <n v="19"/>
    <x v="1"/>
    <x v="0"/>
    <x v="294"/>
    <d v="2025-12-31T00:00:00"/>
    <x v="2"/>
    <x v="1"/>
    <s v="Active"/>
    <n v="1700"/>
    <x v="0"/>
    <s v="Safe"/>
    <s v="Nov-2025"/>
  </r>
  <r>
    <n v="10365"/>
    <n v="39"/>
    <x v="1"/>
    <x v="0"/>
    <x v="260"/>
    <d v="2025-12-19T00:00:00"/>
    <x v="0"/>
    <x v="0"/>
    <s v="Active"/>
    <n v="1200"/>
    <x v="1"/>
    <s v="Safe"/>
    <s v="Sep-2023"/>
  </r>
  <r>
    <n v="10366"/>
    <n v="20"/>
    <x v="0"/>
    <x v="0"/>
    <x v="231"/>
    <d v="2025-12-30T00:00:00"/>
    <x v="2"/>
    <x v="1"/>
    <s v="Active"/>
    <n v="1700"/>
    <x v="0"/>
    <s v="Safe"/>
    <s v="Aug-2025"/>
  </r>
  <r>
    <n v="10367"/>
    <n v="33"/>
    <x v="1"/>
    <x v="2"/>
    <x v="295"/>
    <d v="2025-10-11T00:00:00"/>
    <x v="5"/>
    <x v="1"/>
    <s v="Inactive"/>
    <n v="4500"/>
    <x v="2"/>
    <s v="High Risk"/>
    <s v="Jun-2024"/>
  </r>
  <r>
    <n v="10368"/>
    <n v="26"/>
    <x v="0"/>
    <x v="1"/>
    <x v="71"/>
    <d v="2025-12-30T00:00:00"/>
    <x v="3"/>
    <x v="0"/>
    <s v="Active"/>
    <n v="9600"/>
    <x v="2"/>
    <s v="Safe"/>
    <s v="Dec-2024"/>
  </r>
  <r>
    <n v="10369"/>
    <n v="21"/>
    <x v="1"/>
    <x v="0"/>
    <x v="296"/>
    <d v="2025-12-17T00:00:00"/>
    <x v="2"/>
    <x v="1"/>
    <s v="Active"/>
    <n v="1700"/>
    <x v="0"/>
    <s v="Safe"/>
    <s v="Dec-2024"/>
  </r>
  <r>
    <n v="10370"/>
    <n v="18"/>
    <x v="0"/>
    <x v="2"/>
    <x v="297"/>
    <d v="2025-12-27T00:00:00"/>
    <x v="4"/>
    <x v="0"/>
    <s v="Active"/>
    <n v="3000"/>
    <x v="0"/>
    <s v="Safe"/>
    <s v="Jul-2025"/>
  </r>
  <r>
    <n v="10371"/>
    <n v="21"/>
    <x v="1"/>
    <x v="1"/>
    <x v="298"/>
    <d v="2025-12-31T00:00:00"/>
    <x v="3"/>
    <x v="0"/>
    <s v="Active"/>
    <n v="9600"/>
    <x v="0"/>
    <s v="Safe"/>
    <s v="Sep-2025"/>
  </r>
  <r>
    <n v="10372"/>
    <n v="18"/>
    <x v="0"/>
    <x v="0"/>
    <x v="299"/>
    <d v="2025-12-29T00:00:00"/>
    <x v="0"/>
    <x v="0"/>
    <s v="Active"/>
    <n v="1200"/>
    <x v="0"/>
    <s v="Safe"/>
    <s v="Mar-2025"/>
  </r>
  <r>
    <n v="10373"/>
    <n v="31"/>
    <x v="0"/>
    <x v="0"/>
    <x v="300"/>
    <d v="2025-10-03T00:00:00"/>
    <x v="2"/>
    <x v="1"/>
    <s v="Inactive"/>
    <n v="1700"/>
    <x v="2"/>
    <s v="High Risk"/>
    <s v="Oct-2024"/>
  </r>
  <r>
    <n v="10374"/>
    <n v="38"/>
    <x v="0"/>
    <x v="2"/>
    <x v="301"/>
    <d v="2026-01-02T00:00:00"/>
    <x v="4"/>
    <x v="0"/>
    <s v="Active"/>
    <n v="3000"/>
    <x v="1"/>
    <s v="Safe"/>
    <s v="Mar-2025"/>
  </r>
  <r>
    <n v="10375"/>
    <n v="33"/>
    <x v="0"/>
    <x v="0"/>
    <x v="302"/>
    <d v="2025-12-31T00:00:00"/>
    <x v="0"/>
    <x v="0"/>
    <s v="Active"/>
    <n v="1200"/>
    <x v="2"/>
    <s v="Safe"/>
    <s v="Sep-2025"/>
  </r>
  <r>
    <n v="10376"/>
    <n v="37"/>
    <x v="0"/>
    <x v="1"/>
    <x v="134"/>
    <d v="2025-10-10T00:00:00"/>
    <x v="1"/>
    <x v="1"/>
    <s v="Inactive"/>
    <n v="15600"/>
    <x v="1"/>
    <s v="High Risk"/>
    <s v="Jul-2024"/>
  </r>
  <r>
    <n v="10377"/>
    <n v="41"/>
    <x v="0"/>
    <x v="0"/>
    <x v="303"/>
    <d v="2025-12-04T00:00:00"/>
    <x v="0"/>
    <x v="0"/>
    <s v="Inactive"/>
    <n v="1200"/>
    <x v="1"/>
    <s v="High Risk"/>
    <s v="Oct-2023"/>
  </r>
  <r>
    <n v="10378"/>
    <n v="25"/>
    <x v="0"/>
    <x v="0"/>
    <x v="304"/>
    <d v="2026-01-08T00:00:00"/>
    <x v="2"/>
    <x v="1"/>
    <s v="Active"/>
    <n v="1700"/>
    <x v="2"/>
    <s v="Safe"/>
    <s v="Jan-2025"/>
  </r>
  <r>
    <n v="10379"/>
    <n v="24"/>
    <x v="0"/>
    <x v="2"/>
    <x v="305"/>
    <d v="2026-01-07T00:00:00"/>
    <x v="4"/>
    <x v="0"/>
    <s v="Active"/>
    <n v="3000"/>
    <x v="0"/>
    <s v="Safe"/>
    <s v="Oct-2025"/>
  </r>
  <r>
    <n v="10380"/>
    <n v="20"/>
    <x v="0"/>
    <x v="1"/>
    <x v="154"/>
    <d v="2025-12-24T00:00:00"/>
    <x v="1"/>
    <x v="1"/>
    <s v="Active"/>
    <n v="15600"/>
    <x v="0"/>
    <s v="Safe"/>
    <s v="Sep-2023"/>
  </r>
  <r>
    <n v="10381"/>
    <n v="34"/>
    <x v="1"/>
    <x v="0"/>
    <x v="306"/>
    <d v="2025-09-27T00:00:00"/>
    <x v="0"/>
    <x v="0"/>
    <s v="Inactive"/>
    <n v="1200"/>
    <x v="2"/>
    <s v="High Risk"/>
    <s v="Oct-2024"/>
  </r>
  <r>
    <n v="10382"/>
    <n v="18"/>
    <x v="0"/>
    <x v="0"/>
    <x v="307"/>
    <d v="2026-01-01T00:00:00"/>
    <x v="0"/>
    <x v="0"/>
    <s v="Active"/>
    <n v="1200"/>
    <x v="0"/>
    <s v="Safe"/>
    <s v="Dec-2024"/>
  </r>
  <r>
    <n v="10383"/>
    <n v="33"/>
    <x v="0"/>
    <x v="0"/>
    <x v="240"/>
    <d v="2025-12-26T00:00:00"/>
    <x v="2"/>
    <x v="1"/>
    <s v="Active"/>
    <n v="1700"/>
    <x v="2"/>
    <s v="Safe"/>
    <s v="Sep-2025"/>
  </r>
  <r>
    <n v="10384"/>
    <n v="29"/>
    <x v="0"/>
    <x v="0"/>
    <x v="308"/>
    <d v="2025-10-31T00:00:00"/>
    <x v="2"/>
    <x v="1"/>
    <s v="Inactive"/>
    <n v="1700"/>
    <x v="2"/>
    <s v="High Risk"/>
    <s v="Jun-2025"/>
  </r>
  <r>
    <n v="10385"/>
    <n v="44"/>
    <x v="1"/>
    <x v="0"/>
    <x v="201"/>
    <d v="2025-12-25T00:00:00"/>
    <x v="0"/>
    <x v="0"/>
    <s v="Active"/>
    <n v="1200"/>
    <x v="1"/>
    <s v="Safe"/>
    <s v="Oct-2023"/>
  </r>
  <r>
    <n v="10386"/>
    <n v="36"/>
    <x v="0"/>
    <x v="2"/>
    <x v="309"/>
    <d v="2026-01-06T00:00:00"/>
    <x v="4"/>
    <x v="0"/>
    <s v="Active"/>
    <n v="3000"/>
    <x v="1"/>
    <s v="Safe"/>
    <s v="Jan-2025"/>
  </r>
  <r>
    <n v="10387"/>
    <n v="39"/>
    <x v="1"/>
    <x v="0"/>
    <x v="310"/>
    <d v="2025-12-20T00:00:00"/>
    <x v="2"/>
    <x v="1"/>
    <s v="Active"/>
    <n v="1700"/>
    <x v="1"/>
    <s v="Safe"/>
    <s v="Aug-2024"/>
  </r>
  <r>
    <n v="10388"/>
    <n v="40"/>
    <x v="1"/>
    <x v="0"/>
    <x v="203"/>
    <d v="2025-12-20T00:00:00"/>
    <x v="2"/>
    <x v="1"/>
    <s v="Active"/>
    <n v="1700"/>
    <x v="1"/>
    <s v="Safe"/>
    <s v="Jan-2025"/>
  </r>
  <r>
    <n v="10389"/>
    <n v="39"/>
    <x v="0"/>
    <x v="1"/>
    <x v="301"/>
    <d v="2025-12-30T00:00:00"/>
    <x v="3"/>
    <x v="0"/>
    <s v="Active"/>
    <n v="9600"/>
    <x v="1"/>
    <s v="Safe"/>
    <s v="Mar-2025"/>
  </r>
  <r>
    <n v="10390"/>
    <n v="31"/>
    <x v="0"/>
    <x v="0"/>
    <x v="311"/>
    <d v="2025-10-04T00:00:00"/>
    <x v="0"/>
    <x v="0"/>
    <s v="Inactive"/>
    <n v="1200"/>
    <x v="2"/>
    <s v="High Risk"/>
    <s v="Aug-2023"/>
  </r>
  <r>
    <n v="10391"/>
    <n v="23"/>
    <x v="1"/>
    <x v="0"/>
    <x v="16"/>
    <d v="2025-12-20T00:00:00"/>
    <x v="0"/>
    <x v="0"/>
    <s v="Active"/>
    <n v="1200"/>
    <x v="0"/>
    <s v="Safe"/>
    <s v="Feb-2024"/>
  </r>
  <r>
    <n v="10392"/>
    <n v="23"/>
    <x v="1"/>
    <x v="0"/>
    <x v="312"/>
    <d v="2025-12-31T00:00:00"/>
    <x v="0"/>
    <x v="0"/>
    <s v="Active"/>
    <n v="1200"/>
    <x v="0"/>
    <s v="Safe"/>
    <s v="Aug-2023"/>
  </r>
  <r>
    <n v="10393"/>
    <n v="30"/>
    <x v="0"/>
    <x v="1"/>
    <x v="54"/>
    <d v="2025-11-27T00:00:00"/>
    <x v="1"/>
    <x v="1"/>
    <s v="Inactive"/>
    <n v="15600"/>
    <x v="2"/>
    <s v="High Risk"/>
    <s v="Feb-2024"/>
  </r>
  <r>
    <n v="10394"/>
    <n v="36"/>
    <x v="0"/>
    <x v="0"/>
    <x v="159"/>
    <d v="2025-12-20T00:00:00"/>
    <x v="0"/>
    <x v="0"/>
    <s v="Active"/>
    <n v="1200"/>
    <x v="1"/>
    <s v="Safe"/>
    <s v="Mar-2025"/>
  </r>
  <r>
    <n v="10395"/>
    <n v="39"/>
    <x v="1"/>
    <x v="1"/>
    <x v="313"/>
    <d v="2025-12-28T00:00:00"/>
    <x v="3"/>
    <x v="0"/>
    <s v="Active"/>
    <n v="9600"/>
    <x v="1"/>
    <s v="Safe"/>
    <s v="Nov-2024"/>
  </r>
  <r>
    <n v="10396"/>
    <n v="25"/>
    <x v="0"/>
    <x v="1"/>
    <x v="314"/>
    <d v="2025-12-23T00:00:00"/>
    <x v="1"/>
    <x v="1"/>
    <s v="Active"/>
    <n v="15600"/>
    <x v="2"/>
    <s v="Safe"/>
    <s v="Sep-2023"/>
  </r>
  <r>
    <n v="10397"/>
    <n v="44"/>
    <x v="1"/>
    <x v="0"/>
    <x v="315"/>
    <d v="2025-12-29T00:00:00"/>
    <x v="0"/>
    <x v="0"/>
    <s v="Active"/>
    <n v="1200"/>
    <x v="1"/>
    <s v="Safe"/>
    <s v="Sep-2023"/>
  </r>
  <r>
    <n v="10398"/>
    <n v="44"/>
    <x v="0"/>
    <x v="1"/>
    <x v="221"/>
    <d v="2025-12-17T00:00:00"/>
    <x v="3"/>
    <x v="0"/>
    <s v="Active"/>
    <n v="9600"/>
    <x v="1"/>
    <s v="Safe"/>
    <s v="Apr-2024"/>
  </r>
  <r>
    <n v="10399"/>
    <n v="19"/>
    <x v="0"/>
    <x v="0"/>
    <x v="14"/>
    <d v="2026-01-07T00:00:00"/>
    <x v="2"/>
    <x v="1"/>
    <s v="Active"/>
    <n v="1700"/>
    <x v="0"/>
    <s v="Safe"/>
    <s v="Jan-2024"/>
  </r>
  <r>
    <n v="10400"/>
    <n v="38"/>
    <x v="1"/>
    <x v="0"/>
    <x v="209"/>
    <d v="2026-01-08T00:00:00"/>
    <x v="0"/>
    <x v="0"/>
    <s v="Active"/>
    <n v="1200"/>
    <x v="1"/>
    <s v="Safe"/>
    <s v="Nov-2025"/>
  </r>
  <r>
    <n v="10401"/>
    <n v="18"/>
    <x v="0"/>
    <x v="1"/>
    <x v="316"/>
    <d v="2026-01-04T00:00:00"/>
    <x v="1"/>
    <x v="1"/>
    <s v="Active"/>
    <n v="15600"/>
    <x v="0"/>
    <s v="Safe"/>
    <s v="Aug-2023"/>
  </r>
  <r>
    <n v="10402"/>
    <n v="45"/>
    <x v="0"/>
    <x v="2"/>
    <x v="317"/>
    <d v="2025-10-23T00:00:00"/>
    <x v="4"/>
    <x v="0"/>
    <s v="Inactive"/>
    <n v="3000"/>
    <x v="1"/>
    <s v="High Risk"/>
    <s v="Jan-2024"/>
  </r>
  <r>
    <n v="10403"/>
    <n v="32"/>
    <x v="0"/>
    <x v="2"/>
    <x v="318"/>
    <d v="2026-01-02T00:00:00"/>
    <x v="4"/>
    <x v="0"/>
    <s v="Active"/>
    <n v="3000"/>
    <x v="2"/>
    <s v="Safe"/>
    <s v="Aug-2024"/>
  </r>
  <r>
    <n v="10404"/>
    <n v="18"/>
    <x v="0"/>
    <x v="0"/>
    <x v="319"/>
    <d v="2025-11-11T00:00:00"/>
    <x v="2"/>
    <x v="1"/>
    <s v="Inactive"/>
    <n v="1700"/>
    <x v="0"/>
    <s v="High Risk"/>
    <s v="May-2025"/>
  </r>
  <r>
    <n v="10405"/>
    <n v="22"/>
    <x v="0"/>
    <x v="2"/>
    <x v="254"/>
    <d v="2025-12-31T00:00:00"/>
    <x v="4"/>
    <x v="0"/>
    <s v="Active"/>
    <n v="3000"/>
    <x v="0"/>
    <s v="Safe"/>
    <s v="Oct-2025"/>
  </r>
  <r>
    <n v="10406"/>
    <n v="45"/>
    <x v="0"/>
    <x v="1"/>
    <x v="320"/>
    <d v="2026-01-01T00:00:00"/>
    <x v="3"/>
    <x v="0"/>
    <s v="Active"/>
    <n v="9600"/>
    <x v="1"/>
    <s v="Safe"/>
    <s v="Jun-2025"/>
  </r>
  <r>
    <n v="10407"/>
    <n v="33"/>
    <x v="0"/>
    <x v="0"/>
    <x v="321"/>
    <d v="2026-01-10T00:00:00"/>
    <x v="0"/>
    <x v="0"/>
    <s v="Active"/>
    <n v="1200"/>
    <x v="2"/>
    <s v="Safe"/>
    <s v="Jan-2025"/>
  </r>
  <r>
    <n v="10408"/>
    <n v="36"/>
    <x v="1"/>
    <x v="0"/>
    <x v="41"/>
    <d v="2025-12-29T00:00:00"/>
    <x v="0"/>
    <x v="0"/>
    <s v="Active"/>
    <n v="1200"/>
    <x v="1"/>
    <s v="Safe"/>
    <s v="Sep-2023"/>
  </r>
  <r>
    <n v="10409"/>
    <n v="21"/>
    <x v="0"/>
    <x v="0"/>
    <x v="322"/>
    <d v="2026-01-07T00:00:00"/>
    <x v="0"/>
    <x v="0"/>
    <s v="Active"/>
    <n v="1200"/>
    <x v="0"/>
    <s v="Safe"/>
    <s v="Sep-2024"/>
  </r>
  <r>
    <n v="10410"/>
    <n v="20"/>
    <x v="0"/>
    <x v="0"/>
    <x v="152"/>
    <d v="2025-12-26T00:00:00"/>
    <x v="0"/>
    <x v="0"/>
    <s v="Active"/>
    <n v="1200"/>
    <x v="0"/>
    <s v="Safe"/>
    <s v="Jul-2024"/>
  </r>
  <r>
    <n v="10411"/>
    <n v="34"/>
    <x v="0"/>
    <x v="1"/>
    <x v="257"/>
    <d v="2026-01-06T00:00:00"/>
    <x v="3"/>
    <x v="0"/>
    <s v="Active"/>
    <n v="9600"/>
    <x v="2"/>
    <s v="Safe"/>
    <s v="Apr-2024"/>
  </r>
  <r>
    <n v="10412"/>
    <n v="34"/>
    <x v="1"/>
    <x v="0"/>
    <x v="323"/>
    <d v="2026-01-09T00:00:00"/>
    <x v="0"/>
    <x v="0"/>
    <s v="Active"/>
    <n v="1200"/>
    <x v="2"/>
    <s v="Safe"/>
    <s v="Apr-2024"/>
  </r>
  <r>
    <n v="10413"/>
    <n v="29"/>
    <x v="1"/>
    <x v="1"/>
    <x v="324"/>
    <d v="2026-01-04T00:00:00"/>
    <x v="1"/>
    <x v="1"/>
    <s v="Active"/>
    <n v="15600"/>
    <x v="2"/>
    <s v="Safe"/>
    <s v="Jul-2025"/>
  </r>
  <r>
    <n v="10414"/>
    <n v="45"/>
    <x v="0"/>
    <x v="0"/>
    <x v="94"/>
    <d v="2025-12-30T00:00:00"/>
    <x v="0"/>
    <x v="0"/>
    <s v="Active"/>
    <n v="1200"/>
    <x v="1"/>
    <s v="Safe"/>
    <s v="Jul-2024"/>
  </r>
  <r>
    <n v="10415"/>
    <n v="31"/>
    <x v="0"/>
    <x v="2"/>
    <x v="325"/>
    <d v="2025-12-27T00:00:00"/>
    <x v="4"/>
    <x v="0"/>
    <s v="Active"/>
    <n v="3000"/>
    <x v="2"/>
    <s v="Safe"/>
    <s v="Dec-2023"/>
  </r>
  <r>
    <n v="10416"/>
    <n v="38"/>
    <x v="0"/>
    <x v="0"/>
    <x v="326"/>
    <d v="2025-10-19T00:00:00"/>
    <x v="0"/>
    <x v="0"/>
    <s v="Inactive"/>
    <n v="1200"/>
    <x v="1"/>
    <s v="High Risk"/>
    <s v="Nov-2023"/>
  </r>
  <r>
    <n v="10417"/>
    <n v="23"/>
    <x v="1"/>
    <x v="0"/>
    <x v="327"/>
    <d v="2026-01-04T00:00:00"/>
    <x v="0"/>
    <x v="0"/>
    <s v="Active"/>
    <n v="1200"/>
    <x v="0"/>
    <s v="Safe"/>
    <s v="Jan-2024"/>
  </r>
  <r>
    <n v="10418"/>
    <n v="20"/>
    <x v="1"/>
    <x v="0"/>
    <x v="328"/>
    <d v="2025-12-26T00:00:00"/>
    <x v="0"/>
    <x v="0"/>
    <s v="Active"/>
    <n v="1200"/>
    <x v="0"/>
    <s v="Safe"/>
    <s v="Jan-2024"/>
  </r>
  <r>
    <n v="10419"/>
    <n v="45"/>
    <x v="0"/>
    <x v="0"/>
    <x v="329"/>
    <d v="2025-10-14T00:00:00"/>
    <x v="0"/>
    <x v="0"/>
    <s v="Inactive"/>
    <n v="1200"/>
    <x v="1"/>
    <s v="High Risk"/>
    <s v="Sep-2025"/>
  </r>
  <r>
    <n v="10420"/>
    <n v="26"/>
    <x v="1"/>
    <x v="2"/>
    <x v="330"/>
    <d v="2026-01-01T00:00:00"/>
    <x v="5"/>
    <x v="1"/>
    <s v="Active"/>
    <n v="4500"/>
    <x v="2"/>
    <s v="Safe"/>
    <s v="Feb-2024"/>
  </r>
  <r>
    <n v="10421"/>
    <n v="22"/>
    <x v="1"/>
    <x v="1"/>
    <x v="21"/>
    <d v="2026-01-03T00:00:00"/>
    <x v="1"/>
    <x v="1"/>
    <s v="Active"/>
    <n v="15600"/>
    <x v="0"/>
    <s v="Safe"/>
    <s v="Sep-2024"/>
  </r>
  <r>
    <n v="10422"/>
    <n v="41"/>
    <x v="0"/>
    <x v="2"/>
    <x v="327"/>
    <d v="2025-12-25T00:00:00"/>
    <x v="4"/>
    <x v="0"/>
    <s v="Active"/>
    <n v="3000"/>
    <x v="1"/>
    <s v="Safe"/>
    <s v="Jan-2024"/>
  </r>
  <r>
    <n v="10423"/>
    <n v="34"/>
    <x v="0"/>
    <x v="0"/>
    <x v="331"/>
    <d v="2025-09-24T00:00:00"/>
    <x v="2"/>
    <x v="1"/>
    <s v="Inactive"/>
    <n v="1700"/>
    <x v="2"/>
    <s v="High Risk"/>
    <s v="Feb-2025"/>
  </r>
  <r>
    <n v="10424"/>
    <n v="31"/>
    <x v="0"/>
    <x v="0"/>
    <x v="332"/>
    <d v="2025-12-25T00:00:00"/>
    <x v="2"/>
    <x v="1"/>
    <s v="Active"/>
    <n v="1700"/>
    <x v="2"/>
    <s v="Safe"/>
    <s v="May-2024"/>
  </r>
  <r>
    <n v="10425"/>
    <n v="38"/>
    <x v="0"/>
    <x v="0"/>
    <x v="322"/>
    <d v="2025-12-08T00:00:00"/>
    <x v="2"/>
    <x v="1"/>
    <s v="Inactive"/>
    <n v="1700"/>
    <x v="1"/>
    <s v="High Risk"/>
    <s v="Sep-2024"/>
  </r>
  <r>
    <n v="10426"/>
    <n v="20"/>
    <x v="1"/>
    <x v="2"/>
    <x v="333"/>
    <d v="2025-10-25T00:00:00"/>
    <x v="4"/>
    <x v="0"/>
    <s v="Inactive"/>
    <n v="3000"/>
    <x v="0"/>
    <s v="High Risk"/>
    <s v="Oct-2025"/>
  </r>
  <r>
    <n v="10427"/>
    <n v="45"/>
    <x v="0"/>
    <x v="1"/>
    <x v="334"/>
    <d v="2025-12-27T00:00:00"/>
    <x v="3"/>
    <x v="0"/>
    <s v="Active"/>
    <n v="9600"/>
    <x v="1"/>
    <s v="Safe"/>
    <s v="Mar-2025"/>
  </r>
  <r>
    <n v="10428"/>
    <n v="18"/>
    <x v="0"/>
    <x v="1"/>
    <x v="335"/>
    <d v="2026-01-05T00:00:00"/>
    <x v="3"/>
    <x v="0"/>
    <s v="Active"/>
    <n v="9600"/>
    <x v="0"/>
    <s v="Safe"/>
    <s v="Apr-2025"/>
  </r>
  <r>
    <n v="10429"/>
    <n v="37"/>
    <x v="0"/>
    <x v="0"/>
    <x v="169"/>
    <d v="2025-11-17T00:00:00"/>
    <x v="0"/>
    <x v="0"/>
    <s v="Inactive"/>
    <n v="1200"/>
    <x v="1"/>
    <s v="High Risk"/>
    <s v="Apr-2024"/>
  </r>
  <r>
    <n v="10430"/>
    <n v="38"/>
    <x v="0"/>
    <x v="2"/>
    <x v="182"/>
    <d v="2025-12-09T00:00:00"/>
    <x v="5"/>
    <x v="1"/>
    <s v="Inactive"/>
    <n v="4500"/>
    <x v="1"/>
    <s v="High Risk"/>
    <s v="Jun-2025"/>
  </r>
  <r>
    <n v="10431"/>
    <n v="40"/>
    <x v="0"/>
    <x v="2"/>
    <x v="336"/>
    <d v="2025-12-28T00:00:00"/>
    <x v="4"/>
    <x v="0"/>
    <s v="Active"/>
    <n v="3000"/>
    <x v="1"/>
    <s v="Safe"/>
    <s v="Nov-2025"/>
  </r>
  <r>
    <n v="10432"/>
    <n v="18"/>
    <x v="0"/>
    <x v="2"/>
    <x v="125"/>
    <d v="2025-12-17T00:00:00"/>
    <x v="4"/>
    <x v="0"/>
    <s v="Active"/>
    <n v="3000"/>
    <x v="0"/>
    <s v="Safe"/>
    <s v="May-2024"/>
  </r>
  <r>
    <n v="10433"/>
    <n v="20"/>
    <x v="0"/>
    <x v="2"/>
    <x v="25"/>
    <d v="2025-11-05T00:00:00"/>
    <x v="4"/>
    <x v="0"/>
    <s v="Inactive"/>
    <n v="3000"/>
    <x v="0"/>
    <s v="High Risk"/>
    <s v="Dec-2025"/>
  </r>
  <r>
    <n v="10434"/>
    <n v="35"/>
    <x v="0"/>
    <x v="2"/>
    <x v="337"/>
    <d v="2025-12-31T00:00:00"/>
    <x v="5"/>
    <x v="1"/>
    <s v="Active"/>
    <n v="4500"/>
    <x v="1"/>
    <s v="Safe"/>
    <s v="May-2025"/>
  </r>
  <r>
    <n v="10435"/>
    <n v="42"/>
    <x v="0"/>
    <x v="2"/>
    <x v="338"/>
    <d v="2025-12-23T00:00:00"/>
    <x v="5"/>
    <x v="1"/>
    <s v="Active"/>
    <n v="4500"/>
    <x v="1"/>
    <s v="Safe"/>
    <s v="Oct-2024"/>
  </r>
  <r>
    <n v="10436"/>
    <n v="27"/>
    <x v="0"/>
    <x v="0"/>
    <x v="169"/>
    <d v="2026-01-05T00:00:00"/>
    <x v="2"/>
    <x v="1"/>
    <s v="Active"/>
    <n v="1700"/>
    <x v="2"/>
    <s v="Safe"/>
    <s v="Apr-2024"/>
  </r>
  <r>
    <n v="10437"/>
    <n v="39"/>
    <x v="0"/>
    <x v="1"/>
    <x v="269"/>
    <d v="2025-12-26T00:00:00"/>
    <x v="3"/>
    <x v="0"/>
    <s v="Active"/>
    <n v="9600"/>
    <x v="1"/>
    <s v="Safe"/>
    <s v="Feb-2025"/>
  </r>
  <r>
    <n v="10438"/>
    <n v="43"/>
    <x v="0"/>
    <x v="0"/>
    <x v="339"/>
    <d v="2026-01-08T00:00:00"/>
    <x v="0"/>
    <x v="0"/>
    <s v="Active"/>
    <n v="1200"/>
    <x v="1"/>
    <s v="Safe"/>
    <s v="Jan-2024"/>
  </r>
  <r>
    <n v="10439"/>
    <n v="20"/>
    <x v="0"/>
    <x v="2"/>
    <x v="340"/>
    <d v="2025-12-30T00:00:00"/>
    <x v="4"/>
    <x v="0"/>
    <s v="Active"/>
    <n v="3000"/>
    <x v="0"/>
    <s v="Safe"/>
    <s v="Feb-2025"/>
  </r>
  <r>
    <n v="10440"/>
    <n v="25"/>
    <x v="0"/>
    <x v="0"/>
    <x v="292"/>
    <d v="2025-10-06T00:00:00"/>
    <x v="0"/>
    <x v="0"/>
    <s v="Inactive"/>
    <n v="1200"/>
    <x v="2"/>
    <s v="High Risk"/>
    <s v="Sep-2024"/>
  </r>
  <r>
    <n v="10441"/>
    <n v="31"/>
    <x v="0"/>
    <x v="2"/>
    <x v="341"/>
    <d v="2026-01-07T00:00:00"/>
    <x v="4"/>
    <x v="0"/>
    <s v="Active"/>
    <n v="3000"/>
    <x v="2"/>
    <s v="Safe"/>
    <s v="Jul-2025"/>
  </r>
  <r>
    <n v="10442"/>
    <n v="41"/>
    <x v="0"/>
    <x v="1"/>
    <x v="342"/>
    <d v="2025-12-30T00:00:00"/>
    <x v="3"/>
    <x v="0"/>
    <s v="Active"/>
    <n v="9600"/>
    <x v="1"/>
    <s v="Safe"/>
    <s v="Aug-2024"/>
  </r>
  <r>
    <n v="10443"/>
    <n v="35"/>
    <x v="1"/>
    <x v="1"/>
    <x v="288"/>
    <d v="2025-12-24T00:00:00"/>
    <x v="1"/>
    <x v="1"/>
    <s v="Active"/>
    <n v="15600"/>
    <x v="1"/>
    <s v="Safe"/>
    <s v="Apr-2024"/>
  </r>
  <r>
    <n v="10444"/>
    <n v="32"/>
    <x v="0"/>
    <x v="1"/>
    <x v="219"/>
    <d v="2025-12-28T00:00:00"/>
    <x v="3"/>
    <x v="0"/>
    <s v="Active"/>
    <n v="9600"/>
    <x v="2"/>
    <s v="Safe"/>
    <s v="Aug-2024"/>
  </r>
  <r>
    <n v="10445"/>
    <n v="39"/>
    <x v="0"/>
    <x v="2"/>
    <x v="327"/>
    <d v="2025-11-22T00:00:00"/>
    <x v="4"/>
    <x v="0"/>
    <s v="Inactive"/>
    <n v="3000"/>
    <x v="1"/>
    <s v="High Risk"/>
    <s v="Jan-2024"/>
  </r>
  <r>
    <n v="10446"/>
    <n v="40"/>
    <x v="1"/>
    <x v="2"/>
    <x v="343"/>
    <d v="2025-12-27T00:00:00"/>
    <x v="5"/>
    <x v="1"/>
    <s v="Active"/>
    <n v="4500"/>
    <x v="1"/>
    <s v="Safe"/>
    <s v="Oct-2023"/>
  </r>
  <r>
    <n v="10447"/>
    <n v="19"/>
    <x v="0"/>
    <x v="2"/>
    <x v="344"/>
    <d v="2025-12-31T00:00:00"/>
    <x v="4"/>
    <x v="0"/>
    <s v="Active"/>
    <n v="3000"/>
    <x v="0"/>
    <s v="Safe"/>
    <s v="Nov-2024"/>
  </r>
  <r>
    <n v="10448"/>
    <n v="44"/>
    <x v="0"/>
    <x v="1"/>
    <x v="345"/>
    <d v="2026-01-04T00:00:00"/>
    <x v="3"/>
    <x v="0"/>
    <s v="Active"/>
    <n v="9600"/>
    <x v="1"/>
    <s v="Safe"/>
    <s v="Sep-2025"/>
  </r>
  <r>
    <n v="10449"/>
    <n v="27"/>
    <x v="1"/>
    <x v="0"/>
    <x v="346"/>
    <d v="2026-01-01T00:00:00"/>
    <x v="0"/>
    <x v="0"/>
    <s v="Active"/>
    <n v="1200"/>
    <x v="2"/>
    <s v="Safe"/>
    <s v="Apr-2025"/>
  </r>
  <r>
    <n v="10450"/>
    <n v="19"/>
    <x v="1"/>
    <x v="1"/>
    <x v="347"/>
    <d v="2026-01-09T00:00:00"/>
    <x v="3"/>
    <x v="0"/>
    <s v="Active"/>
    <n v="9600"/>
    <x v="0"/>
    <s v="Safe"/>
    <s v="Oct-2025"/>
  </r>
  <r>
    <n v="10451"/>
    <n v="43"/>
    <x v="0"/>
    <x v="1"/>
    <x v="102"/>
    <d v="2026-01-09T00:00:00"/>
    <x v="3"/>
    <x v="0"/>
    <s v="Active"/>
    <n v="9600"/>
    <x v="1"/>
    <s v="Safe"/>
    <s v="Sep-2023"/>
  </r>
  <r>
    <n v="10452"/>
    <n v="34"/>
    <x v="0"/>
    <x v="2"/>
    <x v="348"/>
    <d v="2025-12-20T00:00:00"/>
    <x v="4"/>
    <x v="0"/>
    <s v="Active"/>
    <n v="3000"/>
    <x v="2"/>
    <s v="Safe"/>
    <s v="Dec-2023"/>
  </r>
  <r>
    <n v="10453"/>
    <n v="25"/>
    <x v="0"/>
    <x v="0"/>
    <x v="179"/>
    <d v="2026-01-01T00:00:00"/>
    <x v="2"/>
    <x v="1"/>
    <s v="Active"/>
    <n v="1700"/>
    <x v="2"/>
    <s v="Safe"/>
    <s v="Oct-2025"/>
  </r>
  <r>
    <n v="10454"/>
    <n v="18"/>
    <x v="0"/>
    <x v="0"/>
    <x v="248"/>
    <d v="2025-12-18T00:00:00"/>
    <x v="2"/>
    <x v="1"/>
    <s v="Active"/>
    <n v="1700"/>
    <x v="0"/>
    <s v="Safe"/>
    <s v="Nov-2023"/>
  </r>
  <r>
    <n v="10455"/>
    <n v="26"/>
    <x v="0"/>
    <x v="1"/>
    <x v="154"/>
    <d v="2025-12-25T00:00:00"/>
    <x v="1"/>
    <x v="1"/>
    <s v="Active"/>
    <n v="15600"/>
    <x v="2"/>
    <s v="Safe"/>
    <s v="Sep-2023"/>
  </r>
  <r>
    <n v="10456"/>
    <n v="28"/>
    <x v="0"/>
    <x v="0"/>
    <x v="349"/>
    <d v="2025-12-18T00:00:00"/>
    <x v="0"/>
    <x v="0"/>
    <s v="Active"/>
    <n v="1200"/>
    <x v="2"/>
    <s v="Safe"/>
    <s v="Apr-2025"/>
  </r>
  <r>
    <n v="10457"/>
    <n v="39"/>
    <x v="0"/>
    <x v="1"/>
    <x v="350"/>
    <d v="2025-11-29T00:00:00"/>
    <x v="1"/>
    <x v="1"/>
    <s v="Inactive"/>
    <n v="15600"/>
    <x v="1"/>
    <s v="High Risk"/>
    <s v="Apr-2025"/>
  </r>
  <r>
    <n v="10458"/>
    <n v="33"/>
    <x v="0"/>
    <x v="2"/>
    <x v="186"/>
    <d v="2025-12-24T00:00:00"/>
    <x v="5"/>
    <x v="1"/>
    <s v="Active"/>
    <n v="4500"/>
    <x v="2"/>
    <s v="Safe"/>
    <s v="Sep-2025"/>
  </r>
  <r>
    <n v="10459"/>
    <n v="24"/>
    <x v="1"/>
    <x v="0"/>
    <x v="351"/>
    <d v="2025-12-30T00:00:00"/>
    <x v="2"/>
    <x v="1"/>
    <s v="Active"/>
    <n v="1700"/>
    <x v="0"/>
    <s v="Safe"/>
    <s v="Mar-2024"/>
  </r>
  <r>
    <n v="10460"/>
    <n v="27"/>
    <x v="0"/>
    <x v="1"/>
    <x v="352"/>
    <d v="2026-01-02T00:00:00"/>
    <x v="3"/>
    <x v="0"/>
    <s v="Active"/>
    <n v="9600"/>
    <x v="2"/>
    <s v="Safe"/>
    <s v="Dec-2023"/>
  </r>
  <r>
    <n v="10461"/>
    <n v="40"/>
    <x v="0"/>
    <x v="2"/>
    <x v="198"/>
    <d v="2025-11-01T00:00:00"/>
    <x v="4"/>
    <x v="0"/>
    <s v="Inactive"/>
    <n v="3000"/>
    <x v="1"/>
    <s v="High Risk"/>
    <s v="Oct-2025"/>
  </r>
  <r>
    <n v="10462"/>
    <n v="43"/>
    <x v="0"/>
    <x v="2"/>
    <x v="334"/>
    <d v="2026-01-05T00:00:00"/>
    <x v="4"/>
    <x v="0"/>
    <s v="Active"/>
    <n v="3000"/>
    <x v="1"/>
    <s v="Safe"/>
    <s v="Mar-2025"/>
  </r>
  <r>
    <n v="10463"/>
    <n v="20"/>
    <x v="0"/>
    <x v="2"/>
    <x v="325"/>
    <d v="2026-01-06T00:00:00"/>
    <x v="4"/>
    <x v="0"/>
    <s v="Active"/>
    <n v="3000"/>
    <x v="0"/>
    <s v="Safe"/>
    <s v="Dec-2023"/>
  </r>
  <r>
    <n v="10464"/>
    <n v="35"/>
    <x v="0"/>
    <x v="0"/>
    <x v="353"/>
    <d v="2026-01-03T00:00:00"/>
    <x v="0"/>
    <x v="0"/>
    <s v="Active"/>
    <n v="1200"/>
    <x v="1"/>
    <s v="Safe"/>
    <s v="Oct-2024"/>
  </r>
  <r>
    <n v="10465"/>
    <n v="42"/>
    <x v="0"/>
    <x v="1"/>
    <x v="354"/>
    <d v="2025-12-02T00:00:00"/>
    <x v="3"/>
    <x v="0"/>
    <s v="Inactive"/>
    <n v="9600"/>
    <x v="1"/>
    <s v="High Risk"/>
    <s v="Aug-2025"/>
  </r>
  <r>
    <n v="10466"/>
    <n v="41"/>
    <x v="0"/>
    <x v="0"/>
    <x v="355"/>
    <d v="2026-01-06T00:00:00"/>
    <x v="0"/>
    <x v="0"/>
    <s v="Active"/>
    <n v="1200"/>
    <x v="1"/>
    <s v="Safe"/>
    <s v="May-2024"/>
  </r>
  <r>
    <n v="10467"/>
    <n v="30"/>
    <x v="0"/>
    <x v="1"/>
    <x v="107"/>
    <d v="2025-12-25T00:00:00"/>
    <x v="3"/>
    <x v="0"/>
    <s v="Active"/>
    <n v="9600"/>
    <x v="2"/>
    <s v="Safe"/>
    <s v="Apr-2025"/>
  </r>
  <r>
    <n v="10468"/>
    <n v="45"/>
    <x v="0"/>
    <x v="1"/>
    <x v="356"/>
    <d v="2025-12-30T00:00:00"/>
    <x v="1"/>
    <x v="1"/>
    <s v="Active"/>
    <n v="15600"/>
    <x v="1"/>
    <s v="Safe"/>
    <s v="Sep-2024"/>
  </r>
  <r>
    <n v="10469"/>
    <n v="43"/>
    <x v="0"/>
    <x v="0"/>
    <x v="357"/>
    <d v="2025-11-17T00:00:00"/>
    <x v="0"/>
    <x v="0"/>
    <s v="Inactive"/>
    <n v="1200"/>
    <x v="1"/>
    <s v="High Risk"/>
    <s v="Dec-2024"/>
  </r>
  <r>
    <n v="10470"/>
    <n v="24"/>
    <x v="0"/>
    <x v="2"/>
    <x v="149"/>
    <d v="2025-12-28T00:00:00"/>
    <x v="4"/>
    <x v="0"/>
    <s v="Active"/>
    <n v="3000"/>
    <x v="0"/>
    <s v="Safe"/>
    <s v="Nov-2024"/>
  </r>
  <r>
    <n v="10471"/>
    <n v="42"/>
    <x v="0"/>
    <x v="2"/>
    <x v="358"/>
    <d v="2026-01-05T00:00:00"/>
    <x v="4"/>
    <x v="0"/>
    <s v="Active"/>
    <n v="3000"/>
    <x v="1"/>
    <s v="Safe"/>
    <s v="Nov-2023"/>
  </r>
  <r>
    <n v="10472"/>
    <n v="21"/>
    <x v="1"/>
    <x v="0"/>
    <x v="359"/>
    <d v="2025-10-30T00:00:00"/>
    <x v="0"/>
    <x v="0"/>
    <s v="Inactive"/>
    <n v="1200"/>
    <x v="0"/>
    <s v="High Risk"/>
    <s v="Jul-2023"/>
  </r>
  <r>
    <n v="10473"/>
    <n v="30"/>
    <x v="0"/>
    <x v="1"/>
    <x v="348"/>
    <d v="2026-01-08T00:00:00"/>
    <x v="1"/>
    <x v="1"/>
    <s v="Active"/>
    <n v="15600"/>
    <x v="2"/>
    <s v="Safe"/>
    <s v="Dec-2023"/>
  </r>
  <r>
    <n v="10474"/>
    <n v="37"/>
    <x v="0"/>
    <x v="0"/>
    <x v="360"/>
    <d v="2025-09-14T00:00:00"/>
    <x v="2"/>
    <x v="1"/>
    <s v="Inactive"/>
    <n v="1700"/>
    <x v="1"/>
    <s v="High Risk"/>
    <s v="Apr-2024"/>
  </r>
  <r>
    <n v="10475"/>
    <n v="18"/>
    <x v="0"/>
    <x v="0"/>
    <x v="361"/>
    <d v="2025-12-29T00:00:00"/>
    <x v="0"/>
    <x v="0"/>
    <s v="Active"/>
    <n v="1200"/>
    <x v="0"/>
    <s v="Safe"/>
    <s v="Dec-2024"/>
  </r>
  <r>
    <n v="10476"/>
    <n v="25"/>
    <x v="0"/>
    <x v="2"/>
    <x v="172"/>
    <d v="2025-09-30T00:00:00"/>
    <x v="5"/>
    <x v="1"/>
    <s v="Inactive"/>
    <n v="4500"/>
    <x v="2"/>
    <s v="High Risk"/>
    <s v="Nov-2024"/>
  </r>
  <r>
    <n v="10477"/>
    <n v="31"/>
    <x v="1"/>
    <x v="2"/>
    <x v="143"/>
    <d v="2025-12-27T00:00:00"/>
    <x v="4"/>
    <x v="0"/>
    <s v="Active"/>
    <n v="3000"/>
    <x v="2"/>
    <s v="Safe"/>
    <s v="Oct-2025"/>
  </r>
  <r>
    <n v="10478"/>
    <n v="33"/>
    <x v="0"/>
    <x v="2"/>
    <x v="362"/>
    <d v="2025-12-18T00:00:00"/>
    <x v="4"/>
    <x v="0"/>
    <s v="Active"/>
    <n v="3000"/>
    <x v="2"/>
    <s v="Safe"/>
    <s v="Jun-2024"/>
  </r>
  <r>
    <n v="10479"/>
    <n v="31"/>
    <x v="1"/>
    <x v="1"/>
    <x v="363"/>
    <d v="2026-01-05T00:00:00"/>
    <x v="3"/>
    <x v="0"/>
    <s v="Active"/>
    <n v="9600"/>
    <x v="2"/>
    <s v="Safe"/>
    <s v="Feb-2024"/>
  </r>
  <r>
    <n v="10480"/>
    <n v="29"/>
    <x v="0"/>
    <x v="2"/>
    <x v="364"/>
    <d v="2025-12-21T00:00:00"/>
    <x v="4"/>
    <x v="0"/>
    <s v="Active"/>
    <n v="3000"/>
    <x v="2"/>
    <s v="Safe"/>
    <s v="Nov-2025"/>
  </r>
  <r>
    <n v="10481"/>
    <n v="36"/>
    <x v="0"/>
    <x v="2"/>
    <x v="30"/>
    <d v="2025-12-19T00:00:00"/>
    <x v="4"/>
    <x v="0"/>
    <s v="Active"/>
    <n v="3000"/>
    <x v="1"/>
    <s v="Safe"/>
    <s v="Nov-2023"/>
  </r>
  <r>
    <n v="10482"/>
    <n v="40"/>
    <x v="0"/>
    <x v="0"/>
    <x v="351"/>
    <d v="2025-09-21T00:00:00"/>
    <x v="0"/>
    <x v="0"/>
    <s v="Inactive"/>
    <n v="1200"/>
    <x v="1"/>
    <s v="High Risk"/>
    <s v="Mar-2024"/>
  </r>
  <r>
    <n v="10483"/>
    <n v="32"/>
    <x v="1"/>
    <x v="0"/>
    <x v="243"/>
    <d v="2025-12-17T00:00:00"/>
    <x v="0"/>
    <x v="0"/>
    <s v="Active"/>
    <n v="1200"/>
    <x v="2"/>
    <s v="Safe"/>
    <s v="Sep-2024"/>
  </r>
  <r>
    <n v="10484"/>
    <n v="45"/>
    <x v="0"/>
    <x v="0"/>
    <x v="219"/>
    <d v="2026-01-05T00:00:00"/>
    <x v="0"/>
    <x v="0"/>
    <s v="Active"/>
    <n v="1200"/>
    <x v="1"/>
    <s v="Safe"/>
    <s v="Aug-2024"/>
  </r>
  <r>
    <n v="10485"/>
    <n v="19"/>
    <x v="0"/>
    <x v="0"/>
    <x v="365"/>
    <d v="2026-01-06T00:00:00"/>
    <x v="0"/>
    <x v="0"/>
    <s v="Active"/>
    <n v="1200"/>
    <x v="0"/>
    <s v="Safe"/>
    <s v="Mar-2025"/>
  </r>
  <r>
    <n v="10486"/>
    <n v="19"/>
    <x v="1"/>
    <x v="2"/>
    <x v="272"/>
    <d v="2025-12-20T00:00:00"/>
    <x v="4"/>
    <x v="0"/>
    <s v="Active"/>
    <n v="3000"/>
    <x v="0"/>
    <s v="Safe"/>
    <s v="Aug-2025"/>
  </r>
  <r>
    <n v="10487"/>
    <n v="40"/>
    <x v="0"/>
    <x v="0"/>
    <x v="366"/>
    <d v="2025-12-21T00:00:00"/>
    <x v="2"/>
    <x v="1"/>
    <s v="Active"/>
    <n v="1700"/>
    <x v="1"/>
    <s v="Safe"/>
    <s v="Jun-2025"/>
  </r>
  <r>
    <n v="10488"/>
    <n v="39"/>
    <x v="0"/>
    <x v="0"/>
    <x v="65"/>
    <d v="2026-01-08T00:00:00"/>
    <x v="0"/>
    <x v="0"/>
    <s v="Active"/>
    <n v="1200"/>
    <x v="1"/>
    <s v="Safe"/>
    <s v="Mar-2025"/>
  </r>
  <r>
    <n v="10489"/>
    <n v="36"/>
    <x v="0"/>
    <x v="0"/>
    <x v="367"/>
    <d v="2026-01-03T00:00:00"/>
    <x v="0"/>
    <x v="0"/>
    <s v="Active"/>
    <n v="1200"/>
    <x v="1"/>
    <s v="Safe"/>
    <s v="Nov-2024"/>
  </r>
  <r>
    <n v="10490"/>
    <n v="42"/>
    <x v="1"/>
    <x v="1"/>
    <x v="366"/>
    <d v="2025-12-29T00:00:00"/>
    <x v="3"/>
    <x v="0"/>
    <s v="Active"/>
    <n v="9600"/>
    <x v="1"/>
    <s v="Safe"/>
    <s v="Jun-2025"/>
  </r>
  <r>
    <n v="10491"/>
    <n v="43"/>
    <x v="0"/>
    <x v="1"/>
    <x v="185"/>
    <d v="2025-12-25T00:00:00"/>
    <x v="1"/>
    <x v="1"/>
    <s v="Active"/>
    <n v="15600"/>
    <x v="1"/>
    <s v="Safe"/>
    <s v="Jan-2025"/>
  </r>
  <r>
    <n v="10492"/>
    <n v="39"/>
    <x v="1"/>
    <x v="2"/>
    <x v="365"/>
    <d v="2026-01-08T00:00:00"/>
    <x v="4"/>
    <x v="0"/>
    <s v="Active"/>
    <n v="3000"/>
    <x v="1"/>
    <s v="Safe"/>
    <s v="Mar-2025"/>
  </r>
  <r>
    <n v="10493"/>
    <n v="43"/>
    <x v="1"/>
    <x v="1"/>
    <x v="368"/>
    <d v="2026-01-07T00:00:00"/>
    <x v="1"/>
    <x v="1"/>
    <s v="Active"/>
    <n v="15600"/>
    <x v="1"/>
    <s v="Safe"/>
    <s v="Jan-2024"/>
  </r>
  <r>
    <n v="10494"/>
    <n v="43"/>
    <x v="0"/>
    <x v="1"/>
    <x v="135"/>
    <d v="2026-01-07T00:00:00"/>
    <x v="1"/>
    <x v="1"/>
    <s v="Active"/>
    <n v="15600"/>
    <x v="1"/>
    <s v="Safe"/>
    <s v="Feb-2024"/>
  </r>
  <r>
    <n v="10495"/>
    <n v="39"/>
    <x v="0"/>
    <x v="2"/>
    <x v="369"/>
    <d v="2026-01-06T00:00:00"/>
    <x v="4"/>
    <x v="0"/>
    <s v="Active"/>
    <n v="3000"/>
    <x v="1"/>
    <s v="Safe"/>
    <s v="Nov-2024"/>
  </r>
  <r>
    <n v="10496"/>
    <n v="34"/>
    <x v="0"/>
    <x v="0"/>
    <x v="370"/>
    <d v="2026-01-02T00:00:00"/>
    <x v="0"/>
    <x v="0"/>
    <s v="Active"/>
    <n v="1200"/>
    <x v="2"/>
    <s v="Safe"/>
    <s v="Oct-2023"/>
  </r>
  <r>
    <n v="10497"/>
    <n v="37"/>
    <x v="0"/>
    <x v="1"/>
    <x v="46"/>
    <d v="2026-01-09T00:00:00"/>
    <x v="1"/>
    <x v="1"/>
    <s v="Active"/>
    <n v="15600"/>
    <x v="1"/>
    <s v="Safe"/>
    <s v="Mar-2024"/>
  </r>
  <r>
    <n v="10498"/>
    <n v="27"/>
    <x v="1"/>
    <x v="2"/>
    <x v="123"/>
    <d v="2025-11-13T00:00:00"/>
    <x v="4"/>
    <x v="0"/>
    <s v="Inactive"/>
    <n v="3000"/>
    <x v="2"/>
    <s v="High Risk"/>
    <s v="Oct-2024"/>
  </r>
  <r>
    <n v="10499"/>
    <n v="23"/>
    <x v="1"/>
    <x v="2"/>
    <x v="61"/>
    <d v="2026-01-02T00:00:00"/>
    <x v="4"/>
    <x v="0"/>
    <s v="Active"/>
    <n v="3000"/>
    <x v="0"/>
    <s v="Safe"/>
    <s v="Mar-2025"/>
  </r>
  <r>
    <n v="10500"/>
    <n v="32"/>
    <x v="0"/>
    <x v="1"/>
    <x v="371"/>
    <d v="2025-12-18T00:00:00"/>
    <x v="3"/>
    <x v="0"/>
    <s v="Active"/>
    <n v="9600"/>
    <x v="2"/>
    <s v="Safe"/>
    <s v="Jul-2024"/>
  </r>
  <r>
    <n v="10501"/>
    <n v="39"/>
    <x v="0"/>
    <x v="2"/>
    <x v="144"/>
    <d v="2025-12-19T00:00:00"/>
    <x v="5"/>
    <x v="1"/>
    <s v="Active"/>
    <n v="4500"/>
    <x v="1"/>
    <s v="Safe"/>
    <s v="Apr-2025"/>
  </r>
  <r>
    <n v="10502"/>
    <n v="28"/>
    <x v="0"/>
    <x v="2"/>
    <x v="372"/>
    <d v="2025-10-06T00:00:00"/>
    <x v="4"/>
    <x v="0"/>
    <s v="Inactive"/>
    <n v="3000"/>
    <x v="2"/>
    <s v="High Risk"/>
    <s v="Oct-2023"/>
  </r>
  <r>
    <n v="10503"/>
    <n v="45"/>
    <x v="0"/>
    <x v="1"/>
    <x v="357"/>
    <d v="2025-12-17T00:00:00"/>
    <x v="3"/>
    <x v="0"/>
    <s v="Active"/>
    <n v="9600"/>
    <x v="1"/>
    <s v="Safe"/>
    <s v="Dec-2024"/>
  </r>
  <r>
    <n v="10504"/>
    <n v="22"/>
    <x v="0"/>
    <x v="0"/>
    <x v="373"/>
    <d v="2026-01-10T00:00:00"/>
    <x v="0"/>
    <x v="0"/>
    <s v="Active"/>
    <n v="1200"/>
    <x v="0"/>
    <s v="Safe"/>
    <s v="Feb-2024"/>
  </r>
  <r>
    <n v="10505"/>
    <n v="18"/>
    <x v="0"/>
    <x v="2"/>
    <x v="374"/>
    <d v="2025-12-23T00:00:00"/>
    <x v="4"/>
    <x v="0"/>
    <s v="Active"/>
    <n v="3000"/>
    <x v="0"/>
    <s v="Safe"/>
    <s v="Jun-2024"/>
  </r>
  <r>
    <n v="10506"/>
    <n v="25"/>
    <x v="0"/>
    <x v="2"/>
    <x v="260"/>
    <d v="2025-09-29T00:00:00"/>
    <x v="4"/>
    <x v="0"/>
    <s v="Inactive"/>
    <n v="3000"/>
    <x v="2"/>
    <s v="High Risk"/>
    <s v="Sep-2023"/>
  </r>
  <r>
    <n v="10507"/>
    <n v="38"/>
    <x v="0"/>
    <x v="2"/>
    <x v="375"/>
    <d v="2025-12-21T00:00:00"/>
    <x v="5"/>
    <x v="1"/>
    <s v="Active"/>
    <n v="4500"/>
    <x v="1"/>
    <s v="Safe"/>
    <s v="Nov-2023"/>
  </r>
  <r>
    <n v="10508"/>
    <n v="45"/>
    <x v="0"/>
    <x v="1"/>
    <x v="291"/>
    <d v="2026-01-03T00:00:00"/>
    <x v="3"/>
    <x v="0"/>
    <s v="Active"/>
    <n v="9600"/>
    <x v="1"/>
    <s v="Safe"/>
    <s v="Jun-2025"/>
  </r>
  <r>
    <n v="10509"/>
    <n v="29"/>
    <x v="0"/>
    <x v="0"/>
    <x v="376"/>
    <d v="2026-01-02T00:00:00"/>
    <x v="2"/>
    <x v="1"/>
    <s v="Active"/>
    <n v="1700"/>
    <x v="2"/>
    <s v="Safe"/>
    <s v="Nov-2023"/>
  </r>
  <r>
    <n v="10510"/>
    <n v="29"/>
    <x v="0"/>
    <x v="2"/>
    <x v="377"/>
    <d v="2025-12-02T00:00:00"/>
    <x v="4"/>
    <x v="0"/>
    <s v="Inactive"/>
    <n v="3000"/>
    <x v="2"/>
    <s v="High Risk"/>
    <s v="Jun-2025"/>
  </r>
  <r>
    <n v="10511"/>
    <n v="22"/>
    <x v="1"/>
    <x v="0"/>
    <x v="274"/>
    <d v="2025-12-21T00:00:00"/>
    <x v="0"/>
    <x v="0"/>
    <s v="Active"/>
    <n v="1200"/>
    <x v="0"/>
    <s v="Safe"/>
    <s v="Jan-2025"/>
  </r>
  <r>
    <n v="10512"/>
    <n v="24"/>
    <x v="0"/>
    <x v="2"/>
    <x v="378"/>
    <d v="2026-01-09T00:00:00"/>
    <x v="5"/>
    <x v="1"/>
    <s v="Active"/>
    <n v="4500"/>
    <x v="0"/>
    <s v="Safe"/>
    <s v="Sep-2024"/>
  </r>
  <r>
    <n v="10513"/>
    <n v="21"/>
    <x v="1"/>
    <x v="2"/>
    <x v="379"/>
    <d v="2026-01-06T00:00:00"/>
    <x v="4"/>
    <x v="0"/>
    <s v="Active"/>
    <n v="3000"/>
    <x v="0"/>
    <s v="Safe"/>
    <s v="Oct-2025"/>
  </r>
  <r>
    <n v="10514"/>
    <n v="23"/>
    <x v="1"/>
    <x v="1"/>
    <x v="380"/>
    <d v="2026-01-07T00:00:00"/>
    <x v="1"/>
    <x v="1"/>
    <s v="Active"/>
    <n v="15600"/>
    <x v="0"/>
    <s v="Safe"/>
    <s v="Oct-2023"/>
  </r>
  <r>
    <n v="10515"/>
    <n v="30"/>
    <x v="0"/>
    <x v="0"/>
    <x v="381"/>
    <d v="2025-12-05T00:00:00"/>
    <x v="2"/>
    <x v="1"/>
    <s v="Inactive"/>
    <n v="1700"/>
    <x v="2"/>
    <s v="High Risk"/>
    <s v="Oct-2025"/>
  </r>
  <r>
    <n v="10516"/>
    <n v="37"/>
    <x v="1"/>
    <x v="2"/>
    <x v="179"/>
    <d v="2025-12-18T00:00:00"/>
    <x v="4"/>
    <x v="0"/>
    <s v="Active"/>
    <n v="3000"/>
    <x v="1"/>
    <s v="Safe"/>
    <s v="Oct-2025"/>
  </r>
  <r>
    <n v="10517"/>
    <n v="32"/>
    <x v="0"/>
    <x v="0"/>
    <x v="358"/>
    <d v="2026-01-06T00:00:00"/>
    <x v="2"/>
    <x v="1"/>
    <s v="Active"/>
    <n v="1700"/>
    <x v="2"/>
    <s v="Safe"/>
    <s v="Nov-2023"/>
  </r>
  <r>
    <n v="10518"/>
    <n v="20"/>
    <x v="0"/>
    <x v="1"/>
    <x v="382"/>
    <d v="2025-10-10T00:00:00"/>
    <x v="3"/>
    <x v="0"/>
    <s v="Inactive"/>
    <n v="9600"/>
    <x v="0"/>
    <s v="High Risk"/>
    <s v="Dec-2023"/>
  </r>
  <r>
    <n v="10519"/>
    <n v="40"/>
    <x v="0"/>
    <x v="1"/>
    <x v="322"/>
    <d v="2026-01-02T00:00:00"/>
    <x v="1"/>
    <x v="1"/>
    <s v="Active"/>
    <n v="15600"/>
    <x v="1"/>
    <s v="Safe"/>
    <s v="Sep-2024"/>
  </r>
  <r>
    <n v="10520"/>
    <n v="25"/>
    <x v="0"/>
    <x v="1"/>
    <x v="383"/>
    <d v="2025-11-06T00:00:00"/>
    <x v="3"/>
    <x v="0"/>
    <s v="Inactive"/>
    <n v="9600"/>
    <x v="2"/>
    <s v="High Risk"/>
    <s v="Jul-2024"/>
  </r>
  <r>
    <n v="10521"/>
    <n v="37"/>
    <x v="0"/>
    <x v="1"/>
    <x v="384"/>
    <d v="2025-11-05T00:00:00"/>
    <x v="3"/>
    <x v="0"/>
    <s v="Inactive"/>
    <n v="9600"/>
    <x v="1"/>
    <s v="High Risk"/>
    <s v="Aug-2024"/>
  </r>
  <r>
    <n v="10522"/>
    <n v="33"/>
    <x v="0"/>
    <x v="1"/>
    <x v="185"/>
    <d v="2026-01-02T00:00:00"/>
    <x v="3"/>
    <x v="0"/>
    <s v="Active"/>
    <n v="9600"/>
    <x v="2"/>
    <s v="Safe"/>
    <s v="Jan-2025"/>
  </r>
  <r>
    <n v="10523"/>
    <n v="30"/>
    <x v="0"/>
    <x v="0"/>
    <x v="385"/>
    <d v="2025-09-28T00:00:00"/>
    <x v="0"/>
    <x v="0"/>
    <s v="Inactive"/>
    <n v="1200"/>
    <x v="2"/>
    <s v="High Risk"/>
    <s v="Aug-2023"/>
  </r>
  <r>
    <n v="10524"/>
    <n v="35"/>
    <x v="0"/>
    <x v="0"/>
    <x v="386"/>
    <d v="2025-12-17T00:00:00"/>
    <x v="0"/>
    <x v="0"/>
    <s v="Active"/>
    <n v="1200"/>
    <x v="1"/>
    <s v="Safe"/>
    <s v="Jan-2024"/>
  </r>
  <r>
    <n v="10525"/>
    <n v="45"/>
    <x v="0"/>
    <x v="2"/>
    <x v="21"/>
    <d v="2025-12-21T00:00:00"/>
    <x v="5"/>
    <x v="1"/>
    <s v="Active"/>
    <n v="4500"/>
    <x v="1"/>
    <s v="Safe"/>
    <s v="Sep-2024"/>
  </r>
  <r>
    <n v="10526"/>
    <n v="27"/>
    <x v="1"/>
    <x v="1"/>
    <x v="387"/>
    <d v="2025-12-27T00:00:00"/>
    <x v="1"/>
    <x v="1"/>
    <s v="Active"/>
    <n v="15600"/>
    <x v="2"/>
    <s v="Safe"/>
    <s v="Apr-2024"/>
  </r>
  <r>
    <n v="10527"/>
    <n v="36"/>
    <x v="0"/>
    <x v="1"/>
    <x v="388"/>
    <d v="2026-01-05T00:00:00"/>
    <x v="3"/>
    <x v="0"/>
    <s v="Active"/>
    <n v="9600"/>
    <x v="1"/>
    <s v="Safe"/>
    <s v="Nov-2023"/>
  </r>
  <r>
    <n v="10528"/>
    <n v="34"/>
    <x v="0"/>
    <x v="0"/>
    <x v="227"/>
    <d v="2025-09-14T00:00:00"/>
    <x v="2"/>
    <x v="1"/>
    <s v="Inactive"/>
    <n v="1700"/>
    <x v="2"/>
    <s v="High Risk"/>
    <s v="Jun-2024"/>
  </r>
  <r>
    <n v="10529"/>
    <n v="41"/>
    <x v="1"/>
    <x v="1"/>
    <x v="69"/>
    <d v="2026-01-03T00:00:00"/>
    <x v="3"/>
    <x v="0"/>
    <s v="Active"/>
    <n v="9600"/>
    <x v="1"/>
    <s v="Safe"/>
    <s v="Oct-2023"/>
  </r>
  <r>
    <n v="10530"/>
    <n v="36"/>
    <x v="0"/>
    <x v="2"/>
    <x v="389"/>
    <d v="2025-11-07T00:00:00"/>
    <x v="5"/>
    <x v="1"/>
    <s v="Inactive"/>
    <n v="4500"/>
    <x v="1"/>
    <s v="High Risk"/>
    <s v="Mar-2025"/>
  </r>
  <r>
    <n v="10531"/>
    <n v="45"/>
    <x v="0"/>
    <x v="2"/>
    <x v="138"/>
    <d v="2025-12-25T00:00:00"/>
    <x v="4"/>
    <x v="0"/>
    <s v="Active"/>
    <n v="3000"/>
    <x v="1"/>
    <s v="Safe"/>
    <s v="Dec-2024"/>
  </r>
  <r>
    <n v="10532"/>
    <n v="43"/>
    <x v="0"/>
    <x v="0"/>
    <x v="390"/>
    <d v="2025-12-18T00:00:00"/>
    <x v="0"/>
    <x v="0"/>
    <s v="Active"/>
    <n v="1200"/>
    <x v="1"/>
    <s v="Safe"/>
    <s v="Mar-2024"/>
  </r>
  <r>
    <n v="10533"/>
    <n v="40"/>
    <x v="0"/>
    <x v="0"/>
    <x v="285"/>
    <d v="2025-11-03T00:00:00"/>
    <x v="2"/>
    <x v="1"/>
    <s v="Inactive"/>
    <n v="1700"/>
    <x v="1"/>
    <s v="High Risk"/>
    <s v="Feb-2024"/>
  </r>
  <r>
    <n v="10534"/>
    <n v="43"/>
    <x v="1"/>
    <x v="2"/>
    <x v="391"/>
    <d v="2026-01-02T00:00:00"/>
    <x v="4"/>
    <x v="0"/>
    <s v="Active"/>
    <n v="3000"/>
    <x v="1"/>
    <s v="Safe"/>
    <s v="Apr-2024"/>
  </r>
  <r>
    <n v="10535"/>
    <n v="22"/>
    <x v="0"/>
    <x v="2"/>
    <x v="392"/>
    <d v="2026-01-07T00:00:00"/>
    <x v="5"/>
    <x v="1"/>
    <s v="Active"/>
    <n v="4500"/>
    <x v="0"/>
    <s v="Safe"/>
    <s v="May-2024"/>
  </r>
  <r>
    <n v="10536"/>
    <n v="43"/>
    <x v="1"/>
    <x v="0"/>
    <x v="393"/>
    <d v="2025-12-21T00:00:00"/>
    <x v="0"/>
    <x v="0"/>
    <s v="Active"/>
    <n v="1200"/>
    <x v="1"/>
    <s v="Safe"/>
    <s v="Nov-2025"/>
  </r>
  <r>
    <n v="10537"/>
    <n v="38"/>
    <x v="0"/>
    <x v="2"/>
    <x v="293"/>
    <d v="2025-10-07T00:00:00"/>
    <x v="5"/>
    <x v="1"/>
    <s v="Inactive"/>
    <n v="4500"/>
    <x v="1"/>
    <s v="High Risk"/>
    <s v="Oct-2023"/>
  </r>
  <r>
    <n v="10538"/>
    <n v="40"/>
    <x v="0"/>
    <x v="1"/>
    <x v="159"/>
    <d v="2025-12-19T00:00:00"/>
    <x v="3"/>
    <x v="0"/>
    <s v="Active"/>
    <n v="9600"/>
    <x v="1"/>
    <s v="Safe"/>
    <s v="Mar-2025"/>
  </r>
  <r>
    <n v="10539"/>
    <n v="26"/>
    <x v="0"/>
    <x v="1"/>
    <x v="394"/>
    <d v="2026-01-06T00:00:00"/>
    <x v="3"/>
    <x v="0"/>
    <s v="Active"/>
    <n v="9600"/>
    <x v="2"/>
    <s v="Safe"/>
    <s v="Feb-2025"/>
  </r>
  <r>
    <n v="10540"/>
    <n v="29"/>
    <x v="0"/>
    <x v="1"/>
    <x v="395"/>
    <d v="2026-01-03T00:00:00"/>
    <x v="1"/>
    <x v="1"/>
    <s v="Active"/>
    <n v="15600"/>
    <x v="2"/>
    <s v="Safe"/>
    <s v="Jun-2024"/>
  </r>
  <r>
    <n v="10541"/>
    <n v="38"/>
    <x v="0"/>
    <x v="0"/>
    <x v="321"/>
    <d v="2025-09-30T00:00:00"/>
    <x v="2"/>
    <x v="1"/>
    <s v="Inactive"/>
    <n v="1700"/>
    <x v="1"/>
    <s v="High Risk"/>
    <s v="Jan-2025"/>
  </r>
  <r>
    <n v="10542"/>
    <n v="18"/>
    <x v="1"/>
    <x v="0"/>
    <x v="396"/>
    <d v="2025-12-21T00:00:00"/>
    <x v="0"/>
    <x v="0"/>
    <s v="Active"/>
    <n v="1200"/>
    <x v="0"/>
    <s v="Safe"/>
    <s v="Nov-2024"/>
  </r>
  <r>
    <n v="10543"/>
    <n v="43"/>
    <x v="1"/>
    <x v="2"/>
    <x v="301"/>
    <d v="2026-01-10T00:00:00"/>
    <x v="5"/>
    <x v="1"/>
    <s v="Active"/>
    <n v="4500"/>
    <x v="1"/>
    <s v="Safe"/>
    <s v="Mar-2025"/>
  </r>
  <r>
    <n v="10544"/>
    <n v="43"/>
    <x v="0"/>
    <x v="0"/>
    <x v="397"/>
    <d v="2026-01-02T00:00:00"/>
    <x v="0"/>
    <x v="0"/>
    <s v="Active"/>
    <n v="1200"/>
    <x v="1"/>
    <s v="Safe"/>
    <s v="Mar-2025"/>
  </r>
  <r>
    <n v="10545"/>
    <n v="18"/>
    <x v="1"/>
    <x v="0"/>
    <x v="289"/>
    <d v="2026-01-03T00:00:00"/>
    <x v="0"/>
    <x v="0"/>
    <s v="Active"/>
    <n v="1200"/>
    <x v="0"/>
    <s v="Safe"/>
    <s v="May-2025"/>
  </r>
  <r>
    <n v="10546"/>
    <n v="32"/>
    <x v="1"/>
    <x v="0"/>
    <x v="398"/>
    <d v="2026-01-02T00:00:00"/>
    <x v="0"/>
    <x v="0"/>
    <s v="Active"/>
    <n v="1200"/>
    <x v="2"/>
    <s v="Safe"/>
    <s v="Sep-2024"/>
  </r>
  <r>
    <n v="10547"/>
    <n v="19"/>
    <x v="0"/>
    <x v="0"/>
    <x v="399"/>
    <d v="2026-01-07T00:00:00"/>
    <x v="0"/>
    <x v="0"/>
    <s v="Active"/>
    <n v="1200"/>
    <x v="0"/>
    <s v="Safe"/>
    <s v="Jun-2025"/>
  </r>
  <r>
    <n v="10548"/>
    <n v="39"/>
    <x v="0"/>
    <x v="0"/>
    <x v="329"/>
    <d v="2025-09-18T00:00:00"/>
    <x v="0"/>
    <x v="0"/>
    <s v="Inactive"/>
    <n v="1200"/>
    <x v="1"/>
    <s v="High Risk"/>
    <s v="Sep-2025"/>
  </r>
  <r>
    <n v="10549"/>
    <n v="33"/>
    <x v="0"/>
    <x v="0"/>
    <x v="16"/>
    <d v="2026-01-06T00:00:00"/>
    <x v="0"/>
    <x v="0"/>
    <s v="Active"/>
    <n v="1200"/>
    <x v="2"/>
    <s v="Safe"/>
    <s v="Feb-2024"/>
  </r>
  <r>
    <n v="10550"/>
    <n v="42"/>
    <x v="0"/>
    <x v="0"/>
    <x v="360"/>
    <d v="2025-12-25T00:00:00"/>
    <x v="0"/>
    <x v="0"/>
    <s v="Active"/>
    <n v="1200"/>
    <x v="1"/>
    <s v="Safe"/>
    <s v="Apr-2024"/>
  </r>
  <r>
    <n v="10551"/>
    <n v="25"/>
    <x v="0"/>
    <x v="0"/>
    <x v="166"/>
    <d v="2025-12-24T00:00:00"/>
    <x v="2"/>
    <x v="1"/>
    <s v="Active"/>
    <n v="1700"/>
    <x v="2"/>
    <s v="Safe"/>
    <s v="Oct-2025"/>
  </r>
  <r>
    <n v="10552"/>
    <n v="30"/>
    <x v="0"/>
    <x v="2"/>
    <x v="400"/>
    <d v="2026-01-08T00:00:00"/>
    <x v="5"/>
    <x v="1"/>
    <s v="Active"/>
    <n v="4500"/>
    <x v="2"/>
    <s v="Safe"/>
    <s v="Jan-2025"/>
  </r>
  <r>
    <n v="10553"/>
    <n v="38"/>
    <x v="1"/>
    <x v="2"/>
    <x v="174"/>
    <d v="2025-12-27T00:00:00"/>
    <x v="4"/>
    <x v="0"/>
    <s v="Active"/>
    <n v="3000"/>
    <x v="1"/>
    <s v="Safe"/>
    <s v="Nov-2024"/>
  </r>
  <r>
    <n v="10554"/>
    <n v="18"/>
    <x v="0"/>
    <x v="2"/>
    <x v="401"/>
    <d v="2026-01-05T00:00:00"/>
    <x v="4"/>
    <x v="0"/>
    <s v="Active"/>
    <n v="3000"/>
    <x v="0"/>
    <s v="Safe"/>
    <s v="Aug-2024"/>
  </r>
  <r>
    <n v="10555"/>
    <n v="33"/>
    <x v="0"/>
    <x v="0"/>
    <x v="402"/>
    <d v="2025-12-26T00:00:00"/>
    <x v="2"/>
    <x v="1"/>
    <s v="Active"/>
    <n v="1700"/>
    <x v="2"/>
    <s v="Safe"/>
    <s v="Aug-2025"/>
  </r>
  <r>
    <n v="10556"/>
    <n v="24"/>
    <x v="1"/>
    <x v="0"/>
    <x v="403"/>
    <d v="2025-12-21T00:00:00"/>
    <x v="0"/>
    <x v="0"/>
    <s v="Active"/>
    <n v="1200"/>
    <x v="0"/>
    <s v="Safe"/>
    <s v="Oct-2024"/>
  </r>
  <r>
    <n v="10557"/>
    <n v="22"/>
    <x v="1"/>
    <x v="2"/>
    <x v="366"/>
    <d v="2025-10-02T00:00:00"/>
    <x v="4"/>
    <x v="0"/>
    <s v="Inactive"/>
    <n v="3000"/>
    <x v="0"/>
    <s v="High Risk"/>
    <s v="Jun-2025"/>
  </r>
  <r>
    <n v="10558"/>
    <n v="39"/>
    <x v="0"/>
    <x v="2"/>
    <x v="353"/>
    <d v="2025-12-31T00:00:00"/>
    <x v="5"/>
    <x v="1"/>
    <s v="Active"/>
    <n v="4500"/>
    <x v="1"/>
    <s v="Safe"/>
    <s v="Oct-2024"/>
  </r>
  <r>
    <n v="10559"/>
    <n v="40"/>
    <x v="1"/>
    <x v="2"/>
    <x v="124"/>
    <d v="2025-12-21T00:00:00"/>
    <x v="4"/>
    <x v="0"/>
    <s v="Active"/>
    <n v="3000"/>
    <x v="1"/>
    <s v="Safe"/>
    <s v="Jan-2025"/>
  </r>
  <r>
    <n v="10560"/>
    <n v="20"/>
    <x v="0"/>
    <x v="0"/>
    <x v="366"/>
    <d v="2025-12-23T00:00:00"/>
    <x v="2"/>
    <x v="1"/>
    <s v="Active"/>
    <n v="1700"/>
    <x v="0"/>
    <s v="Safe"/>
    <s v="Jun-2025"/>
  </r>
  <r>
    <n v="10561"/>
    <n v="29"/>
    <x v="0"/>
    <x v="1"/>
    <x v="404"/>
    <d v="2026-01-02T00:00:00"/>
    <x v="3"/>
    <x v="0"/>
    <s v="Active"/>
    <n v="9600"/>
    <x v="2"/>
    <s v="Safe"/>
    <s v="Jul-2024"/>
  </r>
  <r>
    <n v="10562"/>
    <n v="43"/>
    <x v="0"/>
    <x v="0"/>
    <x v="373"/>
    <d v="2026-01-01T00:00:00"/>
    <x v="2"/>
    <x v="1"/>
    <s v="Active"/>
    <n v="1700"/>
    <x v="1"/>
    <s v="Safe"/>
    <s v="Feb-2024"/>
  </r>
  <r>
    <n v="10563"/>
    <n v="33"/>
    <x v="0"/>
    <x v="2"/>
    <x v="405"/>
    <d v="2025-12-31T00:00:00"/>
    <x v="4"/>
    <x v="0"/>
    <s v="Active"/>
    <n v="3000"/>
    <x v="2"/>
    <s v="Safe"/>
    <s v="Jul-2024"/>
  </r>
  <r>
    <n v="10564"/>
    <n v="36"/>
    <x v="0"/>
    <x v="2"/>
    <x v="286"/>
    <d v="2025-11-16T00:00:00"/>
    <x v="5"/>
    <x v="1"/>
    <s v="Inactive"/>
    <n v="4500"/>
    <x v="1"/>
    <s v="High Risk"/>
    <s v="Oct-2023"/>
  </r>
  <r>
    <n v="10565"/>
    <n v="22"/>
    <x v="0"/>
    <x v="2"/>
    <x v="116"/>
    <d v="2025-09-29T00:00:00"/>
    <x v="4"/>
    <x v="0"/>
    <s v="Inactive"/>
    <n v="3000"/>
    <x v="0"/>
    <s v="High Risk"/>
    <s v="Jun-2024"/>
  </r>
  <r>
    <n v="10566"/>
    <n v="39"/>
    <x v="0"/>
    <x v="0"/>
    <x v="92"/>
    <d v="2025-09-19T00:00:00"/>
    <x v="0"/>
    <x v="0"/>
    <s v="Inactive"/>
    <n v="1200"/>
    <x v="1"/>
    <s v="High Risk"/>
    <s v="Sep-2023"/>
  </r>
  <r>
    <n v="10567"/>
    <n v="42"/>
    <x v="0"/>
    <x v="0"/>
    <x v="274"/>
    <d v="2025-09-29T00:00:00"/>
    <x v="2"/>
    <x v="1"/>
    <s v="Inactive"/>
    <n v="1700"/>
    <x v="1"/>
    <s v="High Risk"/>
    <s v="Jan-2025"/>
  </r>
  <r>
    <n v="10568"/>
    <n v="31"/>
    <x v="0"/>
    <x v="1"/>
    <x v="406"/>
    <d v="2025-12-18T00:00:00"/>
    <x v="3"/>
    <x v="0"/>
    <s v="Active"/>
    <n v="9600"/>
    <x v="2"/>
    <s v="Safe"/>
    <s v="Jul-2024"/>
  </r>
  <r>
    <n v="10569"/>
    <n v="45"/>
    <x v="1"/>
    <x v="0"/>
    <x v="17"/>
    <d v="2025-12-30T00:00:00"/>
    <x v="0"/>
    <x v="0"/>
    <s v="Active"/>
    <n v="1200"/>
    <x v="1"/>
    <s v="Safe"/>
    <s v="Mar-2025"/>
  </r>
  <r>
    <n v="10570"/>
    <n v="22"/>
    <x v="0"/>
    <x v="0"/>
    <x v="407"/>
    <d v="2026-01-04T00:00:00"/>
    <x v="2"/>
    <x v="1"/>
    <s v="Active"/>
    <n v="1700"/>
    <x v="0"/>
    <s v="Safe"/>
    <s v="Apr-2025"/>
  </r>
  <r>
    <n v="10571"/>
    <n v="32"/>
    <x v="0"/>
    <x v="0"/>
    <x v="274"/>
    <d v="2025-12-23T00:00:00"/>
    <x v="0"/>
    <x v="0"/>
    <s v="Active"/>
    <n v="1200"/>
    <x v="2"/>
    <s v="Safe"/>
    <s v="Jan-2025"/>
  </r>
  <r>
    <n v="10572"/>
    <n v="34"/>
    <x v="0"/>
    <x v="1"/>
    <x v="26"/>
    <d v="2026-01-02T00:00:00"/>
    <x v="1"/>
    <x v="1"/>
    <s v="Active"/>
    <n v="15600"/>
    <x v="2"/>
    <s v="Safe"/>
    <s v="Mar-2025"/>
  </r>
  <r>
    <n v="10573"/>
    <n v="31"/>
    <x v="0"/>
    <x v="0"/>
    <x v="192"/>
    <d v="2025-12-20T00:00:00"/>
    <x v="0"/>
    <x v="0"/>
    <s v="Active"/>
    <n v="1200"/>
    <x v="2"/>
    <s v="Safe"/>
    <s v="Jun-2025"/>
  </r>
  <r>
    <n v="10574"/>
    <n v="37"/>
    <x v="0"/>
    <x v="1"/>
    <x v="158"/>
    <d v="2025-12-22T00:00:00"/>
    <x v="3"/>
    <x v="0"/>
    <s v="Active"/>
    <n v="9600"/>
    <x v="1"/>
    <s v="Safe"/>
    <s v="May-2025"/>
  </r>
  <r>
    <n v="10575"/>
    <n v="22"/>
    <x v="1"/>
    <x v="2"/>
    <x v="176"/>
    <d v="2025-12-18T00:00:00"/>
    <x v="4"/>
    <x v="0"/>
    <s v="Active"/>
    <n v="3000"/>
    <x v="0"/>
    <s v="Safe"/>
    <s v="Apr-2025"/>
  </r>
  <r>
    <n v="10576"/>
    <n v="29"/>
    <x v="0"/>
    <x v="1"/>
    <x v="408"/>
    <d v="2026-01-10T00:00:00"/>
    <x v="1"/>
    <x v="1"/>
    <s v="Active"/>
    <n v="15600"/>
    <x v="2"/>
    <s v="Safe"/>
    <s v="May-2025"/>
  </r>
  <r>
    <n v="10577"/>
    <n v="33"/>
    <x v="0"/>
    <x v="1"/>
    <x v="78"/>
    <d v="2025-12-22T00:00:00"/>
    <x v="3"/>
    <x v="0"/>
    <s v="Active"/>
    <n v="9600"/>
    <x v="2"/>
    <s v="Safe"/>
    <s v="Nov-2023"/>
  </r>
  <r>
    <n v="10578"/>
    <n v="43"/>
    <x v="0"/>
    <x v="2"/>
    <x v="265"/>
    <d v="2026-01-01T00:00:00"/>
    <x v="4"/>
    <x v="0"/>
    <s v="Active"/>
    <n v="3000"/>
    <x v="1"/>
    <s v="Safe"/>
    <s v="Oct-2023"/>
  </r>
  <r>
    <n v="10579"/>
    <n v="43"/>
    <x v="0"/>
    <x v="0"/>
    <x v="287"/>
    <d v="2025-10-29T00:00:00"/>
    <x v="0"/>
    <x v="0"/>
    <s v="Inactive"/>
    <n v="1200"/>
    <x v="1"/>
    <s v="High Risk"/>
    <s v="Dec-2023"/>
  </r>
  <r>
    <n v="10580"/>
    <n v="33"/>
    <x v="0"/>
    <x v="0"/>
    <x v="409"/>
    <d v="2026-01-09T00:00:00"/>
    <x v="0"/>
    <x v="0"/>
    <s v="Active"/>
    <n v="1200"/>
    <x v="2"/>
    <s v="Safe"/>
    <s v="Nov-2024"/>
  </r>
  <r>
    <n v="10581"/>
    <n v="38"/>
    <x v="0"/>
    <x v="0"/>
    <x v="410"/>
    <d v="2026-01-05T00:00:00"/>
    <x v="0"/>
    <x v="0"/>
    <s v="Active"/>
    <n v="1200"/>
    <x v="1"/>
    <s v="Safe"/>
    <s v="Nov-2025"/>
  </r>
  <r>
    <n v="10582"/>
    <n v="24"/>
    <x v="0"/>
    <x v="2"/>
    <x v="56"/>
    <d v="2025-12-19T00:00:00"/>
    <x v="5"/>
    <x v="1"/>
    <s v="Active"/>
    <n v="4500"/>
    <x v="0"/>
    <s v="Safe"/>
    <s v="Dec-2024"/>
  </r>
  <r>
    <n v="10583"/>
    <n v="21"/>
    <x v="0"/>
    <x v="0"/>
    <x v="56"/>
    <d v="2025-12-31T00:00:00"/>
    <x v="2"/>
    <x v="1"/>
    <s v="Active"/>
    <n v="1700"/>
    <x v="0"/>
    <s v="Safe"/>
    <s v="Dec-2024"/>
  </r>
  <r>
    <n v="10584"/>
    <n v="18"/>
    <x v="0"/>
    <x v="0"/>
    <x v="411"/>
    <d v="2025-09-24T00:00:00"/>
    <x v="2"/>
    <x v="1"/>
    <s v="Inactive"/>
    <n v="1700"/>
    <x v="0"/>
    <s v="High Risk"/>
    <s v="Jan-2024"/>
  </r>
  <r>
    <n v="10585"/>
    <n v="22"/>
    <x v="0"/>
    <x v="0"/>
    <x v="49"/>
    <d v="2025-12-18T00:00:00"/>
    <x v="2"/>
    <x v="1"/>
    <s v="Active"/>
    <n v="1700"/>
    <x v="0"/>
    <s v="Safe"/>
    <s v="Aug-2024"/>
  </r>
  <r>
    <n v="10586"/>
    <n v="40"/>
    <x v="1"/>
    <x v="1"/>
    <x v="412"/>
    <d v="2026-01-02T00:00:00"/>
    <x v="3"/>
    <x v="0"/>
    <s v="Active"/>
    <n v="9600"/>
    <x v="1"/>
    <s v="Safe"/>
    <s v="Aug-2024"/>
  </r>
  <r>
    <n v="10587"/>
    <n v="43"/>
    <x v="1"/>
    <x v="0"/>
    <x v="342"/>
    <d v="2026-01-01T00:00:00"/>
    <x v="2"/>
    <x v="1"/>
    <s v="Active"/>
    <n v="1700"/>
    <x v="1"/>
    <s v="Safe"/>
    <s v="Aug-2024"/>
  </r>
  <r>
    <n v="10588"/>
    <n v="27"/>
    <x v="1"/>
    <x v="0"/>
    <x v="413"/>
    <d v="2025-12-23T00:00:00"/>
    <x v="2"/>
    <x v="1"/>
    <s v="Active"/>
    <n v="1700"/>
    <x v="2"/>
    <s v="Safe"/>
    <s v="Feb-2024"/>
  </r>
  <r>
    <n v="10589"/>
    <n v="39"/>
    <x v="0"/>
    <x v="0"/>
    <x v="414"/>
    <d v="2025-12-17T00:00:00"/>
    <x v="2"/>
    <x v="1"/>
    <s v="Active"/>
    <n v="1700"/>
    <x v="1"/>
    <s v="Safe"/>
    <s v="Jul-2024"/>
  </r>
  <r>
    <n v="10590"/>
    <n v="22"/>
    <x v="0"/>
    <x v="1"/>
    <x v="415"/>
    <d v="2025-12-22T00:00:00"/>
    <x v="1"/>
    <x v="1"/>
    <s v="Active"/>
    <n v="15600"/>
    <x v="0"/>
    <s v="Safe"/>
    <s v="Jun-2024"/>
  </r>
  <r>
    <n v="10591"/>
    <n v="21"/>
    <x v="0"/>
    <x v="2"/>
    <x v="104"/>
    <d v="2025-12-21T00:00:00"/>
    <x v="5"/>
    <x v="1"/>
    <s v="Active"/>
    <n v="4500"/>
    <x v="0"/>
    <s v="Safe"/>
    <s v="Nov-2025"/>
  </r>
  <r>
    <n v="10592"/>
    <n v="19"/>
    <x v="0"/>
    <x v="0"/>
    <x v="165"/>
    <d v="2025-12-25T00:00:00"/>
    <x v="2"/>
    <x v="1"/>
    <s v="Active"/>
    <n v="1700"/>
    <x v="0"/>
    <s v="Safe"/>
    <s v="Aug-2025"/>
  </r>
  <r>
    <n v="10593"/>
    <n v="37"/>
    <x v="0"/>
    <x v="0"/>
    <x v="102"/>
    <d v="2025-10-03T00:00:00"/>
    <x v="0"/>
    <x v="0"/>
    <s v="Inactive"/>
    <n v="1200"/>
    <x v="1"/>
    <s v="High Risk"/>
    <s v="Sep-2023"/>
  </r>
  <r>
    <n v="10594"/>
    <n v="27"/>
    <x v="0"/>
    <x v="0"/>
    <x v="416"/>
    <d v="2025-12-30T00:00:00"/>
    <x v="0"/>
    <x v="0"/>
    <s v="Active"/>
    <n v="1200"/>
    <x v="2"/>
    <s v="Safe"/>
    <s v="Nov-2023"/>
  </r>
  <r>
    <n v="10595"/>
    <n v="43"/>
    <x v="0"/>
    <x v="0"/>
    <x v="417"/>
    <d v="2026-01-03T00:00:00"/>
    <x v="2"/>
    <x v="1"/>
    <s v="Active"/>
    <n v="1700"/>
    <x v="1"/>
    <s v="Safe"/>
    <s v="Jan-2024"/>
  </r>
  <r>
    <n v="10596"/>
    <n v="36"/>
    <x v="1"/>
    <x v="1"/>
    <x v="312"/>
    <d v="2026-01-05T00:00:00"/>
    <x v="3"/>
    <x v="0"/>
    <s v="Active"/>
    <n v="9600"/>
    <x v="1"/>
    <s v="Safe"/>
    <s v="Aug-2023"/>
  </r>
  <r>
    <n v="10597"/>
    <n v="43"/>
    <x v="0"/>
    <x v="1"/>
    <x v="418"/>
    <d v="2025-10-02T00:00:00"/>
    <x v="1"/>
    <x v="1"/>
    <s v="Inactive"/>
    <n v="15600"/>
    <x v="1"/>
    <s v="High Risk"/>
    <s v="Jul-2025"/>
  </r>
  <r>
    <n v="10598"/>
    <n v="18"/>
    <x v="0"/>
    <x v="2"/>
    <x v="419"/>
    <d v="2025-09-15T00:00:00"/>
    <x v="5"/>
    <x v="1"/>
    <s v="Inactive"/>
    <n v="4500"/>
    <x v="0"/>
    <s v="High Risk"/>
    <s v="Oct-2024"/>
  </r>
  <r>
    <n v="10599"/>
    <n v="41"/>
    <x v="0"/>
    <x v="1"/>
    <x v="392"/>
    <d v="2026-01-01T00:00:00"/>
    <x v="1"/>
    <x v="1"/>
    <s v="Active"/>
    <n v="15600"/>
    <x v="1"/>
    <s v="Safe"/>
    <s v="May-2024"/>
  </r>
  <r>
    <n v="10600"/>
    <n v="22"/>
    <x v="1"/>
    <x v="0"/>
    <x v="420"/>
    <d v="2025-12-27T00:00:00"/>
    <x v="0"/>
    <x v="0"/>
    <s v="Active"/>
    <n v="1200"/>
    <x v="0"/>
    <s v="Safe"/>
    <s v="May-2024"/>
  </r>
  <r>
    <n v="10601"/>
    <n v="30"/>
    <x v="0"/>
    <x v="2"/>
    <x v="98"/>
    <d v="2025-11-22T00:00:00"/>
    <x v="4"/>
    <x v="0"/>
    <s v="Inactive"/>
    <n v="3000"/>
    <x v="2"/>
    <s v="High Risk"/>
    <s v="Apr-2024"/>
  </r>
  <r>
    <n v="10602"/>
    <n v="21"/>
    <x v="0"/>
    <x v="1"/>
    <x v="199"/>
    <d v="2025-12-27T00:00:00"/>
    <x v="1"/>
    <x v="1"/>
    <s v="Active"/>
    <n v="15600"/>
    <x v="0"/>
    <s v="Safe"/>
    <s v="Aug-2024"/>
  </r>
  <r>
    <n v="10603"/>
    <n v="33"/>
    <x v="0"/>
    <x v="0"/>
    <x v="106"/>
    <d v="2026-01-07T00:00:00"/>
    <x v="2"/>
    <x v="1"/>
    <s v="Active"/>
    <n v="1700"/>
    <x v="2"/>
    <s v="Safe"/>
    <s v="Sep-2023"/>
  </r>
  <r>
    <n v="10604"/>
    <n v="41"/>
    <x v="0"/>
    <x v="1"/>
    <x v="421"/>
    <d v="2026-01-10T00:00:00"/>
    <x v="3"/>
    <x v="0"/>
    <s v="Active"/>
    <n v="9600"/>
    <x v="1"/>
    <s v="Safe"/>
    <s v="Sep-2023"/>
  </r>
  <r>
    <n v="10605"/>
    <n v="33"/>
    <x v="0"/>
    <x v="0"/>
    <x v="251"/>
    <d v="2025-12-24T00:00:00"/>
    <x v="2"/>
    <x v="1"/>
    <s v="Active"/>
    <n v="1700"/>
    <x v="2"/>
    <s v="Safe"/>
    <s v="Jun-2025"/>
  </r>
  <r>
    <n v="10606"/>
    <n v="40"/>
    <x v="1"/>
    <x v="0"/>
    <x v="422"/>
    <d v="2026-01-05T00:00:00"/>
    <x v="2"/>
    <x v="1"/>
    <s v="Active"/>
    <n v="1700"/>
    <x v="1"/>
    <s v="Safe"/>
    <s v="Aug-2023"/>
  </r>
  <r>
    <n v="10607"/>
    <n v="19"/>
    <x v="0"/>
    <x v="0"/>
    <x v="423"/>
    <d v="2025-11-07T00:00:00"/>
    <x v="0"/>
    <x v="0"/>
    <s v="Inactive"/>
    <n v="1200"/>
    <x v="0"/>
    <s v="High Risk"/>
    <s v="Apr-2025"/>
  </r>
  <r>
    <n v="10608"/>
    <n v="34"/>
    <x v="0"/>
    <x v="0"/>
    <x v="424"/>
    <d v="2026-01-10T00:00:00"/>
    <x v="0"/>
    <x v="0"/>
    <s v="Active"/>
    <n v="1200"/>
    <x v="2"/>
    <s v="Safe"/>
    <s v="Dec-2023"/>
  </r>
  <r>
    <n v="10609"/>
    <n v="45"/>
    <x v="0"/>
    <x v="2"/>
    <x v="188"/>
    <d v="2026-01-10T00:00:00"/>
    <x v="4"/>
    <x v="0"/>
    <s v="Active"/>
    <n v="3000"/>
    <x v="1"/>
    <s v="Safe"/>
    <s v="May-2025"/>
  </r>
  <r>
    <n v="10610"/>
    <n v="44"/>
    <x v="0"/>
    <x v="1"/>
    <x v="406"/>
    <d v="2025-12-24T00:00:00"/>
    <x v="3"/>
    <x v="0"/>
    <s v="Active"/>
    <n v="9600"/>
    <x v="1"/>
    <s v="Safe"/>
    <s v="Jul-2024"/>
  </r>
  <r>
    <n v="10611"/>
    <n v="37"/>
    <x v="0"/>
    <x v="2"/>
    <x v="425"/>
    <d v="2025-12-17T00:00:00"/>
    <x v="5"/>
    <x v="1"/>
    <s v="Active"/>
    <n v="4500"/>
    <x v="1"/>
    <s v="Safe"/>
    <s v="Aug-2023"/>
  </r>
  <r>
    <n v="10612"/>
    <n v="41"/>
    <x v="0"/>
    <x v="1"/>
    <x v="354"/>
    <d v="2025-12-17T00:00:00"/>
    <x v="1"/>
    <x v="1"/>
    <s v="Active"/>
    <n v="15600"/>
    <x v="1"/>
    <s v="Safe"/>
    <s v="Aug-2025"/>
  </r>
  <r>
    <n v="10613"/>
    <n v="29"/>
    <x v="0"/>
    <x v="1"/>
    <x v="426"/>
    <d v="2025-11-16T00:00:00"/>
    <x v="3"/>
    <x v="0"/>
    <s v="Inactive"/>
    <n v="9600"/>
    <x v="2"/>
    <s v="High Risk"/>
    <s v="Dec-2024"/>
  </r>
  <r>
    <n v="10614"/>
    <n v="35"/>
    <x v="0"/>
    <x v="0"/>
    <x v="80"/>
    <d v="2026-01-09T00:00:00"/>
    <x v="2"/>
    <x v="1"/>
    <s v="Active"/>
    <n v="1700"/>
    <x v="1"/>
    <s v="Safe"/>
    <s v="Aug-2025"/>
  </r>
  <r>
    <n v="10615"/>
    <n v="20"/>
    <x v="0"/>
    <x v="2"/>
    <x v="427"/>
    <d v="2025-11-01T00:00:00"/>
    <x v="4"/>
    <x v="0"/>
    <s v="Inactive"/>
    <n v="3000"/>
    <x v="0"/>
    <s v="High Risk"/>
    <s v="Jan-2025"/>
  </r>
  <r>
    <n v="10616"/>
    <n v="45"/>
    <x v="0"/>
    <x v="0"/>
    <x v="107"/>
    <d v="2026-01-01T00:00:00"/>
    <x v="0"/>
    <x v="0"/>
    <s v="Active"/>
    <n v="1200"/>
    <x v="1"/>
    <s v="Safe"/>
    <s v="Apr-2025"/>
  </r>
  <r>
    <n v="10617"/>
    <n v="18"/>
    <x v="0"/>
    <x v="2"/>
    <x v="428"/>
    <d v="2026-01-05T00:00:00"/>
    <x v="4"/>
    <x v="0"/>
    <s v="Active"/>
    <n v="3000"/>
    <x v="0"/>
    <s v="Safe"/>
    <s v="Dec-2023"/>
  </r>
  <r>
    <n v="10618"/>
    <n v="18"/>
    <x v="1"/>
    <x v="1"/>
    <x v="429"/>
    <d v="2025-09-25T00:00:00"/>
    <x v="1"/>
    <x v="1"/>
    <s v="Inactive"/>
    <n v="15600"/>
    <x v="0"/>
    <s v="High Risk"/>
    <s v="Jun-2024"/>
  </r>
  <r>
    <n v="10619"/>
    <n v="36"/>
    <x v="0"/>
    <x v="0"/>
    <x v="430"/>
    <d v="2025-09-17T00:00:00"/>
    <x v="0"/>
    <x v="0"/>
    <s v="Inactive"/>
    <n v="1200"/>
    <x v="1"/>
    <s v="High Risk"/>
    <s v="Aug-2024"/>
  </r>
  <r>
    <n v="10620"/>
    <n v="28"/>
    <x v="0"/>
    <x v="2"/>
    <x v="121"/>
    <d v="2026-01-06T00:00:00"/>
    <x v="4"/>
    <x v="0"/>
    <s v="Active"/>
    <n v="3000"/>
    <x v="2"/>
    <s v="Safe"/>
    <s v="Jul-2023"/>
  </r>
  <r>
    <n v="10621"/>
    <n v="22"/>
    <x v="1"/>
    <x v="2"/>
    <x v="214"/>
    <d v="2025-12-18T00:00:00"/>
    <x v="4"/>
    <x v="0"/>
    <s v="Active"/>
    <n v="3000"/>
    <x v="0"/>
    <s v="Safe"/>
    <s v="Nov-2024"/>
  </r>
  <r>
    <n v="10622"/>
    <n v="29"/>
    <x v="0"/>
    <x v="2"/>
    <x v="20"/>
    <d v="2025-12-30T00:00:00"/>
    <x v="5"/>
    <x v="1"/>
    <s v="Active"/>
    <n v="4500"/>
    <x v="2"/>
    <s v="Safe"/>
    <s v="May-2024"/>
  </r>
  <r>
    <n v="10623"/>
    <n v="20"/>
    <x v="1"/>
    <x v="0"/>
    <x v="200"/>
    <d v="2025-10-04T00:00:00"/>
    <x v="2"/>
    <x v="1"/>
    <s v="Inactive"/>
    <n v="1700"/>
    <x v="0"/>
    <s v="High Risk"/>
    <s v="Apr-2024"/>
  </r>
  <r>
    <n v="10624"/>
    <n v="18"/>
    <x v="0"/>
    <x v="0"/>
    <x v="349"/>
    <d v="2025-12-24T00:00:00"/>
    <x v="2"/>
    <x v="1"/>
    <s v="Active"/>
    <n v="1700"/>
    <x v="0"/>
    <s v="Safe"/>
    <s v="Apr-2025"/>
  </r>
  <r>
    <n v="10625"/>
    <n v="18"/>
    <x v="1"/>
    <x v="0"/>
    <x v="337"/>
    <d v="2026-01-03T00:00:00"/>
    <x v="2"/>
    <x v="1"/>
    <s v="Active"/>
    <n v="1700"/>
    <x v="0"/>
    <s v="Safe"/>
    <s v="May-2025"/>
  </r>
  <r>
    <n v="10626"/>
    <n v="25"/>
    <x v="0"/>
    <x v="0"/>
    <x v="431"/>
    <d v="2025-12-25T00:00:00"/>
    <x v="2"/>
    <x v="1"/>
    <s v="Active"/>
    <n v="1700"/>
    <x v="2"/>
    <s v="Safe"/>
    <s v="Sep-2025"/>
  </r>
  <r>
    <n v="10627"/>
    <n v="27"/>
    <x v="0"/>
    <x v="0"/>
    <x v="238"/>
    <d v="2025-11-27T00:00:00"/>
    <x v="0"/>
    <x v="0"/>
    <s v="Inactive"/>
    <n v="1200"/>
    <x v="2"/>
    <s v="High Risk"/>
    <s v="Mar-2024"/>
  </r>
  <r>
    <n v="10628"/>
    <n v="28"/>
    <x v="0"/>
    <x v="2"/>
    <x v="432"/>
    <d v="2025-12-31T00:00:00"/>
    <x v="4"/>
    <x v="0"/>
    <s v="Active"/>
    <n v="3000"/>
    <x v="2"/>
    <s v="Safe"/>
    <s v="Nov-2023"/>
  </r>
  <r>
    <n v="10629"/>
    <n v="29"/>
    <x v="1"/>
    <x v="0"/>
    <x v="433"/>
    <d v="2026-01-08T00:00:00"/>
    <x v="2"/>
    <x v="1"/>
    <s v="Active"/>
    <n v="1700"/>
    <x v="2"/>
    <s v="Safe"/>
    <s v="Jul-2025"/>
  </r>
  <r>
    <n v="10630"/>
    <n v="30"/>
    <x v="1"/>
    <x v="1"/>
    <x v="434"/>
    <d v="2025-12-25T00:00:00"/>
    <x v="3"/>
    <x v="0"/>
    <s v="Active"/>
    <n v="9600"/>
    <x v="2"/>
    <s v="Safe"/>
    <s v="May-2024"/>
  </r>
  <r>
    <n v="10631"/>
    <n v="29"/>
    <x v="0"/>
    <x v="2"/>
    <x v="435"/>
    <d v="2025-12-27T00:00:00"/>
    <x v="5"/>
    <x v="1"/>
    <s v="Active"/>
    <n v="4500"/>
    <x v="2"/>
    <s v="Safe"/>
    <s v="Oct-2023"/>
  </r>
  <r>
    <n v="10632"/>
    <n v="31"/>
    <x v="0"/>
    <x v="2"/>
    <x v="160"/>
    <d v="2026-01-04T00:00:00"/>
    <x v="4"/>
    <x v="0"/>
    <s v="Active"/>
    <n v="3000"/>
    <x v="2"/>
    <s v="Safe"/>
    <s v="Aug-2025"/>
  </r>
  <r>
    <n v="10633"/>
    <n v="19"/>
    <x v="1"/>
    <x v="0"/>
    <x v="436"/>
    <d v="2025-10-29T00:00:00"/>
    <x v="0"/>
    <x v="0"/>
    <s v="Inactive"/>
    <n v="1200"/>
    <x v="0"/>
    <s v="High Risk"/>
    <s v="Jul-2025"/>
  </r>
  <r>
    <n v="10634"/>
    <n v="36"/>
    <x v="0"/>
    <x v="2"/>
    <x v="437"/>
    <d v="2025-12-24T00:00:00"/>
    <x v="4"/>
    <x v="0"/>
    <s v="Active"/>
    <n v="3000"/>
    <x v="1"/>
    <s v="Safe"/>
    <s v="Jul-2025"/>
  </r>
  <r>
    <n v="10635"/>
    <n v="35"/>
    <x v="1"/>
    <x v="1"/>
    <x v="384"/>
    <d v="2025-12-17T00:00:00"/>
    <x v="3"/>
    <x v="0"/>
    <s v="Active"/>
    <n v="9600"/>
    <x v="1"/>
    <s v="Safe"/>
    <s v="Aug-2024"/>
  </r>
  <r>
    <n v="10636"/>
    <n v="20"/>
    <x v="1"/>
    <x v="0"/>
    <x v="438"/>
    <d v="2026-01-01T00:00:00"/>
    <x v="2"/>
    <x v="1"/>
    <s v="Active"/>
    <n v="1700"/>
    <x v="0"/>
    <s v="Safe"/>
    <s v="Sep-2023"/>
  </r>
  <r>
    <n v="10637"/>
    <n v="40"/>
    <x v="0"/>
    <x v="0"/>
    <x v="439"/>
    <d v="2026-01-01T00:00:00"/>
    <x v="2"/>
    <x v="1"/>
    <s v="Active"/>
    <n v="1700"/>
    <x v="1"/>
    <s v="Safe"/>
    <s v="Apr-2025"/>
  </r>
  <r>
    <n v="10638"/>
    <n v="34"/>
    <x v="0"/>
    <x v="1"/>
    <x v="435"/>
    <d v="2025-12-19T00:00:00"/>
    <x v="3"/>
    <x v="0"/>
    <s v="Active"/>
    <n v="9600"/>
    <x v="2"/>
    <s v="Safe"/>
    <s v="Oct-2023"/>
  </r>
  <r>
    <n v="10639"/>
    <n v="43"/>
    <x v="0"/>
    <x v="0"/>
    <x v="4"/>
    <d v="2025-12-25T00:00:00"/>
    <x v="0"/>
    <x v="0"/>
    <s v="Active"/>
    <n v="1200"/>
    <x v="1"/>
    <s v="Safe"/>
    <s v="Feb-2024"/>
  </r>
  <r>
    <n v="10640"/>
    <n v="25"/>
    <x v="0"/>
    <x v="0"/>
    <x v="396"/>
    <d v="2025-10-16T00:00:00"/>
    <x v="2"/>
    <x v="1"/>
    <s v="Inactive"/>
    <n v="1700"/>
    <x v="2"/>
    <s v="High Risk"/>
    <s v="Nov-2024"/>
  </r>
  <r>
    <n v="10641"/>
    <n v="43"/>
    <x v="1"/>
    <x v="0"/>
    <x v="416"/>
    <d v="2025-10-13T00:00:00"/>
    <x v="2"/>
    <x v="1"/>
    <s v="Inactive"/>
    <n v="1700"/>
    <x v="1"/>
    <s v="High Risk"/>
    <s v="Nov-2023"/>
  </r>
  <r>
    <n v="10642"/>
    <n v="27"/>
    <x v="0"/>
    <x v="0"/>
    <x v="440"/>
    <d v="2026-01-10T00:00:00"/>
    <x v="0"/>
    <x v="0"/>
    <s v="Active"/>
    <n v="1200"/>
    <x v="2"/>
    <s v="Safe"/>
    <s v="Nov-2024"/>
  </r>
  <r>
    <n v="10643"/>
    <n v="43"/>
    <x v="1"/>
    <x v="2"/>
    <x v="226"/>
    <d v="2025-12-20T00:00:00"/>
    <x v="5"/>
    <x v="1"/>
    <s v="Active"/>
    <n v="4500"/>
    <x v="1"/>
    <s v="Safe"/>
    <s v="Apr-2025"/>
  </r>
  <r>
    <n v="10644"/>
    <n v="19"/>
    <x v="0"/>
    <x v="0"/>
    <x v="219"/>
    <d v="2025-11-06T00:00:00"/>
    <x v="0"/>
    <x v="0"/>
    <s v="Inactive"/>
    <n v="1200"/>
    <x v="0"/>
    <s v="High Risk"/>
    <s v="Aug-2024"/>
  </r>
  <r>
    <n v="10645"/>
    <n v="36"/>
    <x v="1"/>
    <x v="1"/>
    <x v="149"/>
    <d v="2025-12-06T00:00:00"/>
    <x v="3"/>
    <x v="0"/>
    <s v="Inactive"/>
    <n v="9600"/>
    <x v="1"/>
    <s v="High Risk"/>
    <s v="Nov-2024"/>
  </r>
  <r>
    <n v="10646"/>
    <n v="26"/>
    <x v="0"/>
    <x v="1"/>
    <x v="146"/>
    <d v="2025-11-14T00:00:00"/>
    <x v="1"/>
    <x v="1"/>
    <s v="Inactive"/>
    <n v="15600"/>
    <x v="2"/>
    <s v="High Risk"/>
    <s v="Sep-2023"/>
  </r>
  <r>
    <n v="10647"/>
    <n v="24"/>
    <x v="0"/>
    <x v="2"/>
    <x v="441"/>
    <d v="2025-12-30T00:00:00"/>
    <x v="5"/>
    <x v="1"/>
    <s v="Active"/>
    <n v="4500"/>
    <x v="0"/>
    <s v="Safe"/>
    <s v="Feb-2025"/>
  </r>
  <r>
    <n v="10648"/>
    <n v="21"/>
    <x v="0"/>
    <x v="2"/>
    <x v="442"/>
    <d v="2025-12-05T00:00:00"/>
    <x v="4"/>
    <x v="0"/>
    <s v="Inactive"/>
    <n v="3000"/>
    <x v="0"/>
    <s v="High Risk"/>
    <s v="Oct-2023"/>
  </r>
  <r>
    <n v="10649"/>
    <n v="43"/>
    <x v="1"/>
    <x v="1"/>
    <x v="443"/>
    <d v="2025-12-23T00:00:00"/>
    <x v="3"/>
    <x v="0"/>
    <s v="Active"/>
    <n v="9600"/>
    <x v="1"/>
    <s v="Safe"/>
    <s v="Jan-2025"/>
  </r>
  <r>
    <n v="10650"/>
    <n v="38"/>
    <x v="0"/>
    <x v="0"/>
    <x v="444"/>
    <d v="2025-10-05T00:00:00"/>
    <x v="0"/>
    <x v="0"/>
    <s v="Inactive"/>
    <n v="1200"/>
    <x v="1"/>
    <s v="High Risk"/>
    <s v="Sep-2024"/>
  </r>
  <r>
    <n v="10651"/>
    <n v="35"/>
    <x v="1"/>
    <x v="1"/>
    <x v="309"/>
    <d v="2026-01-04T00:00:00"/>
    <x v="1"/>
    <x v="1"/>
    <s v="Active"/>
    <n v="15600"/>
    <x v="1"/>
    <s v="Safe"/>
    <s v="Jan-2025"/>
  </r>
  <r>
    <n v="10652"/>
    <n v="30"/>
    <x v="0"/>
    <x v="1"/>
    <x v="2"/>
    <d v="2025-10-12T00:00:00"/>
    <x v="1"/>
    <x v="1"/>
    <s v="Inactive"/>
    <n v="15600"/>
    <x v="2"/>
    <s v="High Risk"/>
    <s v="May-2025"/>
  </r>
  <r>
    <n v="10653"/>
    <n v="28"/>
    <x v="0"/>
    <x v="2"/>
    <x v="386"/>
    <d v="2026-01-04T00:00:00"/>
    <x v="4"/>
    <x v="0"/>
    <s v="Active"/>
    <n v="3000"/>
    <x v="2"/>
    <s v="Safe"/>
    <s v="Jan-2024"/>
  </r>
  <r>
    <n v="10654"/>
    <n v="41"/>
    <x v="0"/>
    <x v="2"/>
    <x v="445"/>
    <d v="2025-11-02T00:00:00"/>
    <x v="4"/>
    <x v="0"/>
    <s v="Inactive"/>
    <n v="3000"/>
    <x v="1"/>
    <s v="High Risk"/>
    <s v="Sep-2025"/>
  </r>
  <r>
    <n v="10655"/>
    <n v="21"/>
    <x v="0"/>
    <x v="0"/>
    <x v="446"/>
    <d v="2025-12-17T00:00:00"/>
    <x v="2"/>
    <x v="1"/>
    <s v="Active"/>
    <n v="1700"/>
    <x v="0"/>
    <s v="Safe"/>
    <s v="Aug-2025"/>
  </r>
  <r>
    <n v="10656"/>
    <n v="42"/>
    <x v="0"/>
    <x v="0"/>
    <x v="88"/>
    <d v="2025-12-19T00:00:00"/>
    <x v="0"/>
    <x v="0"/>
    <s v="Active"/>
    <n v="1200"/>
    <x v="1"/>
    <s v="Safe"/>
    <s v="Apr-2025"/>
  </r>
  <r>
    <n v="10657"/>
    <n v="38"/>
    <x v="1"/>
    <x v="1"/>
    <x v="408"/>
    <d v="2025-12-24T00:00:00"/>
    <x v="1"/>
    <x v="1"/>
    <s v="Active"/>
    <n v="15600"/>
    <x v="1"/>
    <s v="Safe"/>
    <s v="May-2025"/>
  </r>
  <r>
    <n v="10658"/>
    <n v="42"/>
    <x v="1"/>
    <x v="0"/>
    <x v="57"/>
    <d v="2026-01-04T00:00:00"/>
    <x v="2"/>
    <x v="1"/>
    <s v="Active"/>
    <n v="1700"/>
    <x v="1"/>
    <s v="Safe"/>
    <s v="Mar-2024"/>
  </r>
  <r>
    <n v="10659"/>
    <n v="21"/>
    <x v="1"/>
    <x v="1"/>
    <x v="390"/>
    <d v="2025-12-11T00:00:00"/>
    <x v="1"/>
    <x v="1"/>
    <s v="Inactive"/>
    <n v="15600"/>
    <x v="0"/>
    <s v="High Risk"/>
    <s v="Mar-2024"/>
  </r>
  <r>
    <n v="10660"/>
    <n v="27"/>
    <x v="1"/>
    <x v="0"/>
    <x v="447"/>
    <d v="2026-01-05T00:00:00"/>
    <x v="0"/>
    <x v="0"/>
    <s v="Active"/>
    <n v="1200"/>
    <x v="2"/>
    <s v="Safe"/>
    <s v="May-2024"/>
  </r>
  <r>
    <n v="10661"/>
    <n v="22"/>
    <x v="0"/>
    <x v="0"/>
    <x v="448"/>
    <d v="2025-12-30T00:00:00"/>
    <x v="0"/>
    <x v="0"/>
    <s v="Active"/>
    <n v="1200"/>
    <x v="0"/>
    <s v="Safe"/>
    <s v="Jan-2024"/>
  </r>
  <r>
    <n v="10662"/>
    <n v="26"/>
    <x v="0"/>
    <x v="0"/>
    <x v="160"/>
    <d v="2026-01-08T00:00:00"/>
    <x v="0"/>
    <x v="0"/>
    <s v="Active"/>
    <n v="1200"/>
    <x v="2"/>
    <s v="Safe"/>
    <s v="Aug-2025"/>
  </r>
  <r>
    <n v="10663"/>
    <n v="41"/>
    <x v="0"/>
    <x v="0"/>
    <x v="449"/>
    <d v="2025-12-20T00:00:00"/>
    <x v="0"/>
    <x v="0"/>
    <s v="Active"/>
    <n v="1200"/>
    <x v="1"/>
    <s v="Safe"/>
    <s v="Aug-2023"/>
  </r>
  <r>
    <n v="10664"/>
    <n v="20"/>
    <x v="1"/>
    <x v="2"/>
    <x v="450"/>
    <d v="2026-01-10T00:00:00"/>
    <x v="4"/>
    <x v="0"/>
    <s v="Active"/>
    <n v="3000"/>
    <x v="0"/>
    <s v="Safe"/>
    <s v="Nov-2025"/>
  </r>
  <r>
    <n v="10665"/>
    <n v="34"/>
    <x v="0"/>
    <x v="0"/>
    <x v="451"/>
    <d v="2025-12-02T00:00:00"/>
    <x v="2"/>
    <x v="1"/>
    <s v="Inactive"/>
    <n v="1700"/>
    <x v="2"/>
    <s v="High Risk"/>
    <s v="Dec-2024"/>
  </r>
  <r>
    <n v="10666"/>
    <n v="20"/>
    <x v="0"/>
    <x v="1"/>
    <x v="452"/>
    <d v="2025-12-30T00:00:00"/>
    <x v="1"/>
    <x v="1"/>
    <s v="Active"/>
    <n v="15600"/>
    <x v="0"/>
    <s v="Safe"/>
    <s v="Aug-2024"/>
  </r>
  <r>
    <n v="10667"/>
    <n v="33"/>
    <x v="0"/>
    <x v="2"/>
    <x v="453"/>
    <d v="2026-01-01T00:00:00"/>
    <x v="5"/>
    <x v="1"/>
    <s v="Active"/>
    <n v="4500"/>
    <x v="2"/>
    <s v="Safe"/>
    <s v="Dec-2023"/>
  </r>
  <r>
    <n v="10668"/>
    <n v="21"/>
    <x v="0"/>
    <x v="0"/>
    <x v="454"/>
    <d v="2025-12-27T00:00:00"/>
    <x v="2"/>
    <x v="1"/>
    <s v="Active"/>
    <n v="1700"/>
    <x v="0"/>
    <s v="Safe"/>
    <s v="Jun-2024"/>
  </r>
  <r>
    <n v="10669"/>
    <n v="35"/>
    <x v="1"/>
    <x v="2"/>
    <x v="455"/>
    <d v="2026-01-03T00:00:00"/>
    <x v="4"/>
    <x v="0"/>
    <s v="Active"/>
    <n v="3000"/>
    <x v="1"/>
    <s v="Safe"/>
    <s v="Jun-2024"/>
  </r>
  <r>
    <n v="10670"/>
    <n v="34"/>
    <x v="1"/>
    <x v="1"/>
    <x v="162"/>
    <d v="2025-12-29T00:00:00"/>
    <x v="3"/>
    <x v="0"/>
    <s v="Active"/>
    <n v="9600"/>
    <x v="2"/>
    <s v="Safe"/>
    <s v="Nov-2025"/>
  </r>
  <r>
    <n v="10671"/>
    <n v="24"/>
    <x v="0"/>
    <x v="2"/>
    <x v="456"/>
    <d v="2025-11-24T00:00:00"/>
    <x v="4"/>
    <x v="0"/>
    <s v="Inactive"/>
    <n v="3000"/>
    <x v="0"/>
    <s v="High Risk"/>
    <s v="Jan-2025"/>
  </r>
  <r>
    <n v="10672"/>
    <n v="41"/>
    <x v="1"/>
    <x v="0"/>
    <x v="305"/>
    <d v="2026-01-08T00:00:00"/>
    <x v="2"/>
    <x v="1"/>
    <s v="Active"/>
    <n v="1700"/>
    <x v="1"/>
    <s v="Safe"/>
    <s v="Oct-2025"/>
  </r>
  <r>
    <n v="10673"/>
    <n v="40"/>
    <x v="0"/>
    <x v="1"/>
    <x v="195"/>
    <d v="2026-01-09T00:00:00"/>
    <x v="1"/>
    <x v="1"/>
    <s v="Active"/>
    <n v="15600"/>
    <x v="1"/>
    <s v="Safe"/>
    <s v="Jan-2025"/>
  </r>
  <r>
    <n v="10674"/>
    <n v="22"/>
    <x v="0"/>
    <x v="1"/>
    <x v="171"/>
    <d v="2025-12-30T00:00:00"/>
    <x v="3"/>
    <x v="0"/>
    <s v="Active"/>
    <n v="9600"/>
    <x v="0"/>
    <s v="Safe"/>
    <s v="Jun-2025"/>
  </r>
  <r>
    <n v="10675"/>
    <n v="29"/>
    <x v="0"/>
    <x v="0"/>
    <x v="457"/>
    <d v="2025-09-30T00:00:00"/>
    <x v="2"/>
    <x v="1"/>
    <s v="Inactive"/>
    <n v="1700"/>
    <x v="2"/>
    <s v="High Risk"/>
    <s v="Feb-2025"/>
  </r>
  <r>
    <n v="10676"/>
    <n v="34"/>
    <x v="0"/>
    <x v="0"/>
    <x v="82"/>
    <d v="2026-01-03T00:00:00"/>
    <x v="0"/>
    <x v="0"/>
    <s v="Active"/>
    <n v="1200"/>
    <x v="2"/>
    <s v="Safe"/>
    <s v="May-2024"/>
  </r>
  <r>
    <n v="10677"/>
    <n v="40"/>
    <x v="0"/>
    <x v="2"/>
    <x v="458"/>
    <d v="2025-12-24T00:00:00"/>
    <x v="4"/>
    <x v="0"/>
    <s v="Active"/>
    <n v="3000"/>
    <x v="1"/>
    <s v="Safe"/>
    <s v="Jun-2024"/>
  </r>
  <r>
    <n v="10678"/>
    <n v="30"/>
    <x v="1"/>
    <x v="0"/>
    <x v="399"/>
    <d v="2026-01-05T00:00:00"/>
    <x v="0"/>
    <x v="0"/>
    <s v="Active"/>
    <n v="1200"/>
    <x v="2"/>
    <s v="Safe"/>
    <s v="Jun-2025"/>
  </r>
  <r>
    <n v="10679"/>
    <n v="40"/>
    <x v="0"/>
    <x v="1"/>
    <x v="459"/>
    <d v="2025-12-19T00:00:00"/>
    <x v="3"/>
    <x v="0"/>
    <s v="Active"/>
    <n v="9600"/>
    <x v="1"/>
    <s v="Safe"/>
    <s v="Aug-2024"/>
  </r>
  <r>
    <n v="10680"/>
    <n v="42"/>
    <x v="1"/>
    <x v="0"/>
    <x v="247"/>
    <d v="2025-12-26T00:00:00"/>
    <x v="0"/>
    <x v="0"/>
    <s v="Active"/>
    <n v="1200"/>
    <x v="1"/>
    <s v="Safe"/>
    <s v="Jan-2025"/>
  </r>
  <r>
    <n v="10681"/>
    <n v="20"/>
    <x v="0"/>
    <x v="1"/>
    <x v="460"/>
    <d v="2026-01-10T00:00:00"/>
    <x v="1"/>
    <x v="1"/>
    <s v="Active"/>
    <n v="15600"/>
    <x v="0"/>
    <s v="Safe"/>
    <s v="Nov-2023"/>
  </r>
  <r>
    <n v="10682"/>
    <n v="26"/>
    <x v="0"/>
    <x v="2"/>
    <x v="270"/>
    <d v="2025-12-22T00:00:00"/>
    <x v="4"/>
    <x v="0"/>
    <s v="Active"/>
    <n v="3000"/>
    <x v="2"/>
    <s v="Safe"/>
    <s v="Jul-2024"/>
  </r>
  <r>
    <n v="10683"/>
    <n v="34"/>
    <x v="0"/>
    <x v="0"/>
    <x v="461"/>
    <d v="2025-12-23T00:00:00"/>
    <x v="2"/>
    <x v="1"/>
    <s v="Active"/>
    <n v="1700"/>
    <x v="2"/>
    <s v="Safe"/>
    <s v="Aug-2023"/>
  </r>
  <r>
    <n v="10684"/>
    <n v="34"/>
    <x v="0"/>
    <x v="0"/>
    <x v="106"/>
    <d v="2025-12-22T00:00:00"/>
    <x v="2"/>
    <x v="1"/>
    <s v="Active"/>
    <n v="1700"/>
    <x v="2"/>
    <s v="Safe"/>
    <s v="Sep-2023"/>
  </r>
  <r>
    <n v="10685"/>
    <n v="37"/>
    <x v="0"/>
    <x v="2"/>
    <x v="4"/>
    <d v="2025-11-25T00:00:00"/>
    <x v="4"/>
    <x v="0"/>
    <s v="Inactive"/>
    <n v="3000"/>
    <x v="1"/>
    <s v="High Risk"/>
    <s v="Feb-2024"/>
  </r>
  <r>
    <n v="10686"/>
    <n v="33"/>
    <x v="1"/>
    <x v="1"/>
    <x v="52"/>
    <d v="2025-10-14T00:00:00"/>
    <x v="3"/>
    <x v="0"/>
    <s v="Inactive"/>
    <n v="9600"/>
    <x v="2"/>
    <s v="High Risk"/>
    <s v="May-2024"/>
  </r>
  <r>
    <n v="10687"/>
    <n v="42"/>
    <x v="0"/>
    <x v="1"/>
    <x v="462"/>
    <d v="2025-12-20T00:00:00"/>
    <x v="1"/>
    <x v="1"/>
    <s v="Active"/>
    <n v="15600"/>
    <x v="1"/>
    <s v="Safe"/>
    <s v="Apr-2025"/>
  </r>
  <r>
    <n v="10688"/>
    <n v="39"/>
    <x v="0"/>
    <x v="0"/>
    <x v="463"/>
    <d v="2025-11-19T00:00:00"/>
    <x v="0"/>
    <x v="0"/>
    <s v="Inactive"/>
    <n v="1200"/>
    <x v="1"/>
    <s v="High Risk"/>
    <s v="Dec-2024"/>
  </r>
  <r>
    <n v="10689"/>
    <n v="30"/>
    <x v="0"/>
    <x v="0"/>
    <x v="464"/>
    <d v="2025-12-28T00:00:00"/>
    <x v="0"/>
    <x v="0"/>
    <s v="Active"/>
    <n v="1200"/>
    <x v="2"/>
    <s v="Safe"/>
    <s v="Sep-2024"/>
  </r>
  <r>
    <n v="10690"/>
    <n v="44"/>
    <x v="0"/>
    <x v="0"/>
    <x v="465"/>
    <d v="2026-01-03T00:00:00"/>
    <x v="0"/>
    <x v="0"/>
    <s v="Active"/>
    <n v="1200"/>
    <x v="1"/>
    <s v="Safe"/>
    <s v="Sep-2024"/>
  </r>
  <r>
    <n v="10691"/>
    <n v="36"/>
    <x v="0"/>
    <x v="2"/>
    <x v="443"/>
    <d v="2026-01-05T00:00:00"/>
    <x v="4"/>
    <x v="0"/>
    <s v="Active"/>
    <n v="3000"/>
    <x v="1"/>
    <s v="Safe"/>
    <s v="Jan-2025"/>
  </r>
  <r>
    <n v="10692"/>
    <n v="34"/>
    <x v="0"/>
    <x v="0"/>
    <x v="466"/>
    <d v="2026-01-09T00:00:00"/>
    <x v="2"/>
    <x v="1"/>
    <s v="Active"/>
    <n v="1700"/>
    <x v="2"/>
    <s v="Safe"/>
    <s v="Nov-2024"/>
  </r>
  <r>
    <n v="10693"/>
    <n v="21"/>
    <x v="0"/>
    <x v="0"/>
    <x v="386"/>
    <d v="2025-09-19T00:00:00"/>
    <x v="0"/>
    <x v="0"/>
    <s v="Inactive"/>
    <n v="1200"/>
    <x v="0"/>
    <s v="High Risk"/>
    <s v="Jan-2024"/>
  </r>
  <r>
    <n v="10694"/>
    <n v="29"/>
    <x v="0"/>
    <x v="2"/>
    <x v="428"/>
    <d v="2025-12-29T00:00:00"/>
    <x v="5"/>
    <x v="1"/>
    <s v="Active"/>
    <n v="4500"/>
    <x v="2"/>
    <s v="Safe"/>
    <s v="Dec-2023"/>
  </r>
  <r>
    <n v="10695"/>
    <n v="26"/>
    <x v="0"/>
    <x v="1"/>
    <x v="182"/>
    <d v="2026-01-02T00:00:00"/>
    <x v="3"/>
    <x v="0"/>
    <s v="Active"/>
    <n v="9600"/>
    <x v="2"/>
    <s v="Safe"/>
    <s v="Jun-2025"/>
  </r>
  <r>
    <n v="10696"/>
    <n v="36"/>
    <x v="0"/>
    <x v="0"/>
    <x v="2"/>
    <d v="2025-12-19T00:00:00"/>
    <x v="2"/>
    <x v="1"/>
    <s v="Active"/>
    <n v="1700"/>
    <x v="1"/>
    <s v="Safe"/>
    <s v="May-2025"/>
  </r>
  <r>
    <n v="10697"/>
    <n v="29"/>
    <x v="0"/>
    <x v="0"/>
    <x v="242"/>
    <d v="2025-12-25T00:00:00"/>
    <x v="0"/>
    <x v="0"/>
    <s v="Active"/>
    <n v="1200"/>
    <x v="2"/>
    <s v="Safe"/>
    <s v="Apr-2025"/>
  </r>
  <r>
    <n v="10698"/>
    <n v="26"/>
    <x v="0"/>
    <x v="2"/>
    <x v="87"/>
    <d v="2025-12-22T00:00:00"/>
    <x v="5"/>
    <x v="1"/>
    <s v="Active"/>
    <n v="4500"/>
    <x v="2"/>
    <s v="Safe"/>
    <s v="Dec-2024"/>
  </r>
  <r>
    <n v="10699"/>
    <n v="24"/>
    <x v="1"/>
    <x v="2"/>
    <x v="467"/>
    <d v="2025-12-21T00:00:00"/>
    <x v="4"/>
    <x v="0"/>
    <s v="Active"/>
    <n v="3000"/>
    <x v="0"/>
    <s v="Safe"/>
    <s v="Feb-2025"/>
  </r>
  <r>
    <n v="10700"/>
    <n v="45"/>
    <x v="0"/>
    <x v="0"/>
    <x v="147"/>
    <d v="2025-12-24T00:00:00"/>
    <x v="2"/>
    <x v="1"/>
    <s v="Active"/>
    <n v="1700"/>
    <x v="1"/>
    <s v="Safe"/>
    <s v="Feb-2024"/>
  </r>
  <r>
    <n v="10701"/>
    <n v="31"/>
    <x v="0"/>
    <x v="1"/>
    <x v="264"/>
    <d v="2025-12-25T00:00:00"/>
    <x v="1"/>
    <x v="1"/>
    <s v="Active"/>
    <n v="15600"/>
    <x v="2"/>
    <s v="Safe"/>
    <s v="Jul-2024"/>
  </r>
  <r>
    <n v="10702"/>
    <n v="37"/>
    <x v="0"/>
    <x v="1"/>
    <x v="468"/>
    <d v="2026-01-08T00:00:00"/>
    <x v="3"/>
    <x v="0"/>
    <s v="Active"/>
    <n v="9600"/>
    <x v="1"/>
    <s v="Safe"/>
    <s v="Jan-2024"/>
  </r>
  <r>
    <n v="10703"/>
    <n v="36"/>
    <x v="1"/>
    <x v="0"/>
    <x v="10"/>
    <d v="2025-12-24T00:00:00"/>
    <x v="0"/>
    <x v="0"/>
    <s v="Active"/>
    <n v="1200"/>
    <x v="1"/>
    <s v="Safe"/>
    <s v="Oct-2023"/>
  </r>
  <r>
    <n v="10704"/>
    <n v="43"/>
    <x v="0"/>
    <x v="0"/>
    <x v="259"/>
    <d v="2025-12-22T00:00:00"/>
    <x v="0"/>
    <x v="0"/>
    <s v="Active"/>
    <n v="1200"/>
    <x v="1"/>
    <s v="Safe"/>
    <s v="Oct-2023"/>
  </r>
  <r>
    <n v="10705"/>
    <n v="32"/>
    <x v="0"/>
    <x v="2"/>
    <x v="253"/>
    <d v="2025-10-22T00:00:00"/>
    <x v="5"/>
    <x v="1"/>
    <s v="Inactive"/>
    <n v="4500"/>
    <x v="2"/>
    <s v="High Risk"/>
    <s v="Mar-2025"/>
  </r>
  <r>
    <n v="10706"/>
    <n v="33"/>
    <x v="1"/>
    <x v="1"/>
    <x v="469"/>
    <d v="2025-12-22T00:00:00"/>
    <x v="3"/>
    <x v="0"/>
    <s v="Active"/>
    <n v="9600"/>
    <x v="2"/>
    <s v="Safe"/>
    <s v="Feb-2024"/>
  </r>
  <r>
    <n v="10707"/>
    <n v="38"/>
    <x v="0"/>
    <x v="0"/>
    <x v="160"/>
    <d v="2025-11-08T00:00:00"/>
    <x v="0"/>
    <x v="0"/>
    <s v="Inactive"/>
    <n v="1200"/>
    <x v="1"/>
    <s v="High Risk"/>
    <s v="Aug-2025"/>
  </r>
  <r>
    <n v="10708"/>
    <n v="22"/>
    <x v="0"/>
    <x v="2"/>
    <x v="470"/>
    <d v="2025-11-15T00:00:00"/>
    <x v="5"/>
    <x v="1"/>
    <s v="Inactive"/>
    <n v="4500"/>
    <x v="0"/>
    <s v="High Risk"/>
    <s v="Aug-2025"/>
  </r>
  <r>
    <n v="10709"/>
    <n v="20"/>
    <x v="0"/>
    <x v="2"/>
    <x v="355"/>
    <d v="2025-12-21T00:00:00"/>
    <x v="5"/>
    <x v="1"/>
    <s v="Active"/>
    <n v="4500"/>
    <x v="0"/>
    <s v="Safe"/>
    <s v="May-2024"/>
  </r>
  <r>
    <n v="10710"/>
    <n v="29"/>
    <x v="0"/>
    <x v="0"/>
    <x v="471"/>
    <d v="2025-12-24T00:00:00"/>
    <x v="0"/>
    <x v="0"/>
    <s v="Active"/>
    <n v="1200"/>
    <x v="2"/>
    <s v="Safe"/>
    <s v="Oct-2024"/>
  </r>
  <r>
    <n v="10711"/>
    <n v="42"/>
    <x v="1"/>
    <x v="2"/>
    <x v="107"/>
    <d v="2025-12-29T00:00:00"/>
    <x v="4"/>
    <x v="0"/>
    <s v="Active"/>
    <n v="3000"/>
    <x v="1"/>
    <s v="Safe"/>
    <s v="Apr-2025"/>
  </r>
  <r>
    <n v="10712"/>
    <n v="37"/>
    <x v="1"/>
    <x v="1"/>
    <x v="139"/>
    <d v="2026-01-04T00:00:00"/>
    <x v="3"/>
    <x v="0"/>
    <s v="Active"/>
    <n v="9600"/>
    <x v="1"/>
    <s v="Safe"/>
    <s v="May-2025"/>
  </r>
  <r>
    <n v="10713"/>
    <n v="44"/>
    <x v="0"/>
    <x v="0"/>
    <x v="472"/>
    <d v="2026-01-10T00:00:00"/>
    <x v="0"/>
    <x v="0"/>
    <s v="Active"/>
    <n v="1200"/>
    <x v="1"/>
    <s v="Safe"/>
    <s v="May-2025"/>
  </r>
  <r>
    <n v="10714"/>
    <n v="38"/>
    <x v="0"/>
    <x v="0"/>
    <x v="32"/>
    <d v="2025-12-30T00:00:00"/>
    <x v="0"/>
    <x v="0"/>
    <s v="Active"/>
    <n v="1200"/>
    <x v="1"/>
    <s v="Safe"/>
    <s v="Sep-2025"/>
  </r>
  <r>
    <n v="10715"/>
    <n v="21"/>
    <x v="0"/>
    <x v="0"/>
    <x v="473"/>
    <d v="2026-01-01T00:00:00"/>
    <x v="2"/>
    <x v="1"/>
    <s v="Active"/>
    <n v="1700"/>
    <x v="0"/>
    <s v="Safe"/>
    <s v="Sep-2025"/>
  </r>
  <r>
    <n v="10716"/>
    <n v="38"/>
    <x v="0"/>
    <x v="1"/>
    <x v="474"/>
    <d v="2025-12-06T00:00:00"/>
    <x v="3"/>
    <x v="0"/>
    <s v="Inactive"/>
    <n v="9600"/>
    <x v="1"/>
    <s v="High Risk"/>
    <s v="Sep-2025"/>
  </r>
  <r>
    <n v="10717"/>
    <n v="40"/>
    <x v="1"/>
    <x v="1"/>
    <x v="221"/>
    <d v="2026-01-03T00:00:00"/>
    <x v="3"/>
    <x v="0"/>
    <s v="Active"/>
    <n v="9600"/>
    <x v="1"/>
    <s v="Safe"/>
    <s v="Apr-2024"/>
  </r>
  <r>
    <n v="10718"/>
    <n v="33"/>
    <x v="0"/>
    <x v="0"/>
    <x v="96"/>
    <d v="2026-01-01T00:00:00"/>
    <x v="2"/>
    <x v="1"/>
    <s v="Active"/>
    <n v="1700"/>
    <x v="2"/>
    <s v="Safe"/>
    <s v="Jan-2025"/>
  </r>
  <r>
    <n v="10719"/>
    <n v="42"/>
    <x v="0"/>
    <x v="1"/>
    <x v="166"/>
    <d v="2025-12-24T00:00:00"/>
    <x v="3"/>
    <x v="0"/>
    <s v="Active"/>
    <n v="9600"/>
    <x v="1"/>
    <s v="Safe"/>
    <s v="Oct-2025"/>
  </r>
  <r>
    <n v="10720"/>
    <n v="24"/>
    <x v="1"/>
    <x v="2"/>
    <x v="139"/>
    <d v="2025-10-12T00:00:00"/>
    <x v="5"/>
    <x v="1"/>
    <s v="Inactive"/>
    <n v="4500"/>
    <x v="0"/>
    <s v="High Risk"/>
    <s v="May-2025"/>
  </r>
  <r>
    <n v="10721"/>
    <n v="30"/>
    <x v="0"/>
    <x v="2"/>
    <x v="475"/>
    <d v="2026-01-07T00:00:00"/>
    <x v="4"/>
    <x v="0"/>
    <s v="Active"/>
    <n v="3000"/>
    <x v="2"/>
    <s v="Safe"/>
    <s v="Aug-2025"/>
  </r>
  <r>
    <n v="10722"/>
    <n v="38"/>
    <x v="0"/>
    <x v="0"/>
    <x v="476"/>
    <d v="2025-12-31T00:00:00"/>
    <x v="0"/>
    <x v="0"/>
    <s v="Active"/>
    <n v="1200"/>
    <x v="1"/>
    <s v="Safe"/>
    <s v="Jul-2025"/>
  </r>
  <r>
    <n v="10723"/>
    <n v="27"/>
    <x v="0"/>
    <x v="0"/>
    <x v="73"/>
    <d v="2026-01-09T00:00:00"/>
    <x v="2"/>
    <x v="1"/>
    <s v="Active"/>
    <n v="1700"/>
    <x v="2"/>
    <s v="Safe"/>
    <s v="Oct-2024"/>
  </r>
  <r>
    <n v="10724"/>
    <n v="43"/>
    <x v="1"/>
    <x v="0"/>
    <x v="477"/>
    <d v="2025-12-30T00:00:00"/>
    <x v="0"/>
    <x v="0"/>
    <s v="Active"/>
    <n v="1200"/>
    <x v="1"/>
    <s v="Safe"/>
    <s v="Nov-2025"/>
  </r>
  <r>
    <n v="10725"/>
    <n v="24"/>
    <x v="0"/>
    <x v="2"/>
    <x v="370"/>
    <d v="2026-01-04T00:00:00"/>
    <x v="4"/>
    <x v="0"/>
    <s v="Active"/>
    <n v="3000"/>
    <x v="0"/>
    <s v="Safe"/>
    <s v="Oct-2023"/>
  </r>
  <r>
    <n v="10726"/>
    <n v="31"/>
    <x v="0"/>
    <x v="0"/>
    <x v="225"/>
    <d v="2026-01-02T00:00:00"/>
    <x v="2"/>
    <x v="1"/>
    <s v="Active"/>
    <n v="1700"/>
    <x v="2"/>
    <s v="Safe"/>
    <s v="Nov-2023"/>
  </r>
  <r>
    <n v="10727"/>
    <n v="43"/>
    <x v="0"/>
    <x v="1"/>
    <x v="128"/>
    <d v="2025-10-23T00:00:00"/>
    <x v="3"/>
    <x v="0"/>
    <s v="Inactive"/>
    <n v="9600"/>
    <x v="1"/>
    <s v="High Risk"/>
    <s v="Aug-2023"/>
  </r>
  <r>
    <n v="10728"/>
    <n v="22"/>
    <x v="0"/>
    <x v="0"/>
    <x v="478"/>
    <d v="2025-12-21T00:00:00"/>
    <x v="0"/>
    <x v="0"/>
    <s v="Active"/>
    <n v="1200"/>
    <x v="0"/>
    <s v="Safe"/>
    <s v="May-2025"/>
  </r>
  <r>
    <n v="10729"/>
    <n v="20"/>
    <x v="1"/>
    <x v="0"/>
    <x v="428"/>
    <d v="2025-12-24T00:00:00"/>
    <x v="0"/>
    <x v="0"/>
    <s v="Active"/>
    <n v="1200"/>
    <x v="0"/>
    <s v="Safe"/>
    <s v="Dec-2023"/>
  </r>
  <r>
    <n v="10730"/>
    <n v="40"/>
    <x v="1"/>
    <x v="2"/>
    <x v="479"/>
    <d v="2025-10-17T00:00:00"/>
    <x v="5"/>
    <x v="1"/>
    <s v="Inactive"/>
    <n v="4500"/>
    <x v="1"/>
    <s v="High Risk"/>
    <s v="Dec-2023"/>
  </r>
  <r>
    <n v="10731"/>
    <n v="28"/>
    <x v="0"/>
    <x v="2"/>
    <x v="480"/>
    <d v="2025-09-30T00:00:00"/>
    <x v="4"/>
    <x v="0"/>
    <s v="Inactive"/>
    <n v="3000"/>
    <x v="2"/>
    <s v="High Risk"/>
    <s v="Feb-2024"/>
  </r>
  <r>
    <n v="10732"/>
    <n v="28"/>
    <x v="0"/>
    <x v="0"/>
    <x v="314"/>
    <d v="2026-01-01T00:00:00"/>
    <x v="2"/>
    <x v="1"/>
    <s v="Active"/>
    <n v="1700"/>
    <x v="2"/>
    <s v="Safe"/>
    <s v="Sep-2023"/>
  </r>
  <r>
    <n v="10733"/>
    <n v="35"/>
    <x v="0"/>
    <x v="0"/>
    <x v="481"/>
    <d v="2025-12-19T00:00:00"/>
    <x v="0"/>
    <x v="0"/>
    <s v="Active"/>
    <n v="1200"/>
    <x v="1"/>
    <s v="Safe"/>
    <s v="Sep-2024"/>
  </r>
  <r>
    <n v="10734"/>
    <n v="32"/>
    <x v="0"/>
    <x v="1"/>
    <x v="3"/>
    <d v="2025-12-26T00:00:00"/>
    <x v="1"/>
    <x v="1"/>
    <s v="Active"/>
    <n v="15600"/>
    <x v="2"/>
    <s v="Safe"/>
    <s v="Dec-2024"/>
  </r>
  <r>
    <n v="10735"/>
    <n v="29"/>
    <x v="0"/>
    <x v="0"/>
    <x v="482"/>
    <d v="2026-01-03T00:00:00"/>
    <x v="0"/>
    <x v="0"/>
    <s v="Active"/>
    <n v="1200"/>
    <x v="2"/>
    <s v="Safe"/>
    <s v="May-2025"/>
  </r>
  <r>
    <n v="10736"/>
    <n v="26"/>
    <x v="1"/>
    <x v="0"/>
    <x v="483"/>
    <d v="2025-09-27T00:00:00"/>
    <x v="0"/>
    <x v="0"/>
    <s v="Inactive"/>
    <n v="1200"/>
    <x v="2"/>
    <s v="High Risk"/>
    <s v="Sep-2024"/>
  </r>
  <r>
    <n v="10737"/>
    <n v="27"/>
    <x v="0"/>
    <x v="1"/>
    <x v="177"/>
    <d v="2025-09-23T00:00:00"/>
    <x v="3"/>
    <x v="0"/>
    <s v="Inactive"/>
    <n v="9600"/>
    <x v="2"/>
    <s v="High Risk"/>
    <s v="Oct-2025"/>
  </r>
  <r>
    <n v="10738"/>
    <n v="43"/>
    <x v="0"/>
    <x v="0"/>
    <x v="39"/>
    <d v="2025-12-22T00:00:00"/>
    <x v="0"/>
    <x v="0"/>
    <s v="Active"/>
    <n v="1200"/>
    <x v="1"/>
    <s v="Safe"/>
    <s v="Feb-2025"/>
  </r>
  <r>
    <n v="10739"/>
    <n v="29"/>
    <x v="0"/>
    <x v="2"/>
    <x v="239"/>
    <d v="2025-11-03T00:00:00"/>
    <x v="5"/>
    <x v="1"/>
    <s v="Inactive"/>
    <n v="4500"/>
    <x v="2"/>
    <s v="High Risk"/>
    <s v="Oct-2023"/>
  </r>
  <r>
    <n v="10740"/>
    <n v="34"/>
    <x v="1"/>
    <x v="0"/>
    <x v="484"/>
    <d v="2025-10-16T00:00:00"/>
    <x v="2"/>
    <x v="1"/>
    <s v="Inactive"/>
    <n v="1700"/>
    <x v="2"/>
    <s v="High Risk"/>
    <s v="Jun-2025"/>
  </r>
  <r>
    <n v="10741"/>
    <n v="23"/>
    <x v="1"/>
    <x v="0"/>
    <x v="485"/>
    <d v="2025-11-22T00:00:00"/>
    <x v="0"/>
    <x v="0"/>
    <s v="Inactive"/>
    <n v="1200"/>
    <x v="0"/>
    <s v="High Risk"/>
    <s v="Oct-2024"/>
  </r>
  <r>
    <n v="10742"/>
    <n v="24"/>
    <x v="1"/>
    <x v="0"/>
    <x v="426"/>
    <d v="2026-01-02T00:00:00"/>
    <x v="0"/>
    <x v="0"/>
    <s v="Active"/>
    <n v="1200"/>
    <x v="0"/>
    <s v="Safe"/>
    <s v="Dec-2024"/>
  </r>
  <r>
    <n v="10743"/>
    <n v="31"/>
    <x v="0"/>
    <x v="0"/>
    <x v="62"/>
    <d v="2026-01-07T00:00:00"/>
    <x v="2"/>
    <x v="1"/>
    <s v="Active"/>
    <n v="1700"/>
    <x v="2"/>
    <s v="Safe"/>
    <s v="Oct-2023"/>
  </r>
  <r>
    <n v="10744"/>
    <n v="30"/>
    <x v="0"/>
    <x v="0"/>
    <x v="486"/>
    <d v="2025-12-18T00:00:00"/>
    <x v="0"/>
    <x v="0"/>
    <s v="Active"/>
    <n v="1200"/>
    <x v="2"/>
    <s v="Safe"/>
    <s v="Aug-2023"/>
  </r>
  <r>
    <n v="10745"/>
    <n v="25"/>
    <x v="1"/>
    <x v="0"/>
    <x v="487"/>
    <d v="2026-01-02T00:00:00"/>
    <x v="0"/>
    <x v="0"/>
    <s v="Active"/>
    <n v="1200"/>
    <x v="2"/>
    <s v="Safe"/>
    <s v="May-2025"/>
  </r>
  <r>
    <n v="10746"/>
    <n v="27"/>
    <x v="0"/>
    <x v="1"/>
    <x v="488"/>
    <d v="2025-12-22T00:00:00"/>
    <x v="3"/>
    <x v="0"/>
    <s v="Active"/>
    <n v="9600"/>
    <x v="2"/>
    <s v="Safe"/>
    <s v="Dec-2023"/>
  </r>
  <r>
    <n v="10747"/>
    <n v="26"/>
    <x v="0"/>
    <x v="0"/>
    <x v="489"/>
    <d v="2025-11-03T00:00:00"/>
    <x v="2"/>
    <x v="1"/>
    <s v="Inactive"/>
    <n v="1700"/>
    <x v="2"/>
    <s v="High Risk"/>
    <s v="Jul-2023"/>
  </r>
  <r>
    <n v="10748"/>
    <n v="35"/>
    <x v="1"/>
    <x v="0"/>
    <x v="490"/>
    <d v="2025-10-04T00:00:00"/>
    <x v="2"/>
    <x v="1"/>
    <s v="Inactive"/>
    <n v="1700"/>
    <x v="1"/>
    <s v="High Risk"/>
    <s v="Jul-2024"/>
  </r>
  <r>
    <n v="10749"/>
    <n v="44"/>
    <x v="1"/>
    <x v="1"/>
    <x v="166"/>
    <d v="2026-01-04T00:00:00"/>
    <x v="1"/>
    <x v="1"/>
    <s v="Active"/>
    <n v="15600"/>
    <x v="1"/>
    <s v="Safe"/>
    <s v="Oct-2025"/>
  </r>
  <r>
    <n v="10750"/>
    <n v="43"/>
    <x v="0"/>
    <x v="2"/>
    <x v="491"/>
    <d v="2025-12-19T00:00:00"/>
    <x v="4"/>
    <x v="0"/>
    <s v="Active"/>
    <n v="3000"/>
    <x v="1"/>
    <s v="Safe"/>
    <s v="May-2025"/>
  </r>
  <r>
    <n v="10751"/>
    <n v="19"/>
    <x v="0"/>
    <x v="0"/>
    <x v="403"/>
    <d v="2026-01-07T00:00:00"/>
    <x v="0"/>
    <x v="0"/>
    <s v="Active"/>
    <n v="1200"/>
    <x v="0"/>
    <s v="Safe"/>
    <s v="Oct-2024"/>
  </r>
  <r>
    <n v="10752"/>
    <n v="22"/>
    <x v="0"/>
    <x v="1"/>
    <x v="492"/>
    <d v="2025-12-18T00:00:00"/>
    <x v="3"/>
    <x v="0"/>
    <s v="Active"/>
    <n v="9600"/>
    <x v="0"/>
    <s v="Safe"/>
    <s v="Jul-2025"/>
  </r>
  <r>
    <n v="10753"/>
    <n v="22"/>
    <x v="0"/>
    <x v="0"/>
    <x v="493"/>
    <d v="2026-01-06T00:00:00"/>
    <x v="0"/>
    <x v="0"/>
    <s v="Active"/>
    <n v="1200"/>
    <x v="0"/>
    <s v="Safe"/>
    <s v="Dec-2025"/>
  </r>
  <r>
    <n v="10754"/>
    <n v="23"/>
    <x v="0"/>
    <x v="0"/>
    <x v="494"/>
    <d v="2026-01-01T00:00:00"/>
    <x v="0"/>
    <x v="0"/>
    <s v="Active"/>
    <n v="1200"/>
    <x v="0"/>
    <s v="Safe"/>
    <s v="Nov-2024"/>
  </r>
  <r>
    <n v="10755"/>
    <n v="36"/>
    <x v="1"/>
    <x v="1"/>
    <x v="495"/>
    <d v="2026-01-02T00:00:00"/>
    <x v="3"/>
    <x v="0"/>
    <s v="Active"/>
    <n v="9600"/>
    <x v="1"/>
    <s v="Safe"/>
    <s v="Aug-2023"/>
  </r>
  <r>
    <n v="10756"/>
    <n v="25"/>
    <x v="1"/>
    <x v="2"/>
    <x v="496"/>
    <d v="2025-12-23T00:00:00"/>
    <x v="4"/>
    <x v="0"/>
    <s v="Active"/>
    <n v="3000"/>
    <x v="2"/>
    <s v="Safe"/>
    <s v="Nov-2025"/>
  </r>
  <r>
    <n v="10757"/>
    <n v="33"/>
    <x v="1"/>
    <x v="0"/>
    <x v="497"/>
    <d v="2026-01-09T00:00:00"/>
    <x v="2"/>
    <x v="1"/>
    <s v="Active"/>
    <n v="1700"/>
    <x v="2"/>
    <s v="Safe"/>
    <s v="Feb-2025"/>
  </r>
  <r>
    <n v="10758"/>
    <n v="30"/>
    <x v="0"/>
    <x v="0"/>
    <x v="249"/>
    <d v="2025-10-22T00:00:00"/>
    <x v="0"/>
    <x v="0"/>
    <s v="Inactive"/>
    <n v="1200"/>
    <x v="2"/>
    <s v="High Risk"/>
    <s v="Jul-2024"/>
  </r>
  <r>
    <n v="10759"/>
    <n v="18"/>
    <x v="1"/>
    <x v="2"/>
    <x v="189"/>
    <d v="2025-12-28T00:00:00"/>
    <x v="4"/>
    <x v="0"/>
    <s v="Active"/>
    <n v="3000"/>
    <x v="0"/>
    <s v="Safe"/>
    <s v="Sep-2023"/>
  </r>
  <r>
    <n v="10760"/>
    <n v="39"/>
    <x v="1"/>
    <x v="0"/>
    <x v="30"/>
    <d v="2025-12-20T00:00:00"/>
    <x v="2"/>
    <x v="1"/>
    <s v="Active"/>
    <n v="1700"/>
    <x v="1"/>
    <s v="Safe"/>
    <s v="Nov-2023"/>
  </r>
  <r>
    <n v="10761"/>
    <n v="37"/>
    <x v="0"/>
    <x v="1"/>
    <x v="399"/>
    <d v="2025-12-30T00:00:00"/>
    <x v="1"/>
    <x v="1"/>
    <s v="Active"/>
    <n v="15600"/>
    <x v="1"/>
    <s v="Safe"/>
    <s v="Jun-2025"/>
  </r>
  <r>
    <n v="10762"/>
    <n v="34"/>
    <x v="1"/>
    <x v="0"/>
    <x v="498"/>
    <d v="2025-12-26T00:00:00"/>
    <x v="2"/>
    <x v="1"/>
    <s v="Active"/>
    <n v="1700"/>
    <x v="2"/>
    <s v="Safe"/>
    <s v="Oct-2023"/>
  </r>
  <r>
    <n v="10763"/>
    <n v="24"/>
    <x v="1"/>
    <x v="1"/>
    <x v="499"/>
    <d v="2026-01-03T00:00:00"/>
    <x v="3"/>
    <x v="0"/>
    <s v="Active"/>
    <n v="9600"/>
    <x v="0"/>
    <s v="Safe"/>
    <s v="Sep-2023"/>
  </r>
  <r>
    <n v="10764"/>
    <n v="42"/>
    <x v="0"/>
    <x v="2"/>
    <x v="500"/>
    <d v="2025-11-24T00:00:00"/>
    <x v="4"/>
    <x v="0"/>
    <s v="Inactive"/>
    <n v="3000"/>
    <x v="1"/>
    <s v="High Risk"/>
    <s v="Jan-2025"/>
  </r>
  <r>
    <n v="10765"/>
    <n v="30"/>
    <x v="0"/>
    <x v="1"/>
    <x v="501"/>
    <d v="2025-11-04T00:00:00"/>
    <x v="3"/>
    <x v="0"/>
    <s v="Inactive"/>
    <n v="9600"/>
    <x v="2"/>
    <s v="High Risk"/>
    <s v="Jun-2025"/>
  </r>
  <r>
    <n v="10766"/>
    <n v="21"/>
    <x v="0"/>
    <x v="2"/>
    <x v="502"/>
    <d v="2025-12-17T00:00:00"/>
    <x v="4"/>
    <x v="0"/>
    <s v="Active"/>
    <n v="3000"/>
    <x v="0"/>
    <s v="Safe"/>
    <s v="Dec-2023"/>
  </r>
  <r>
    <n v="10767"/>
    <n v="21"/>
    <x v="0"/>
    <x v="2"/>
    <x v="503"/>
    <d v="2025-12-20T00:00:00"/>
    <x v="5"/>
    <x v="1"/>
    <s v="Active"/>
    <n v="4500"/>
    <x v="0"/>
    <s v="Safe"/>
    <s v="Mar-2024"/>
  </r>
  <r>
    <n v="10768"/>
    <n v="23"/>
    <x v="0"/>
    <x v="0"/>
    <x v="504"/>
    <d v="2025-12-21T00:00:00"/>
    <x v="0"/>
    <x v="0"/>
    <s v="Active"/>
    <n v="1200"/>
    <x v="0"/>
    <s v="Safe"/>
    <s v="Nov-2025"/>
  </r>
  <r>
    <n v="10769"/>
    <n v="45"/>
    <x v="1"/>
    <x v="0"/>
    <x v="343"/>
    <d v="2026-01-07T00:00:00"/>
    <x v="2"/>
    <x v="1"/>
    <s v="Active"/>
    <n v="1700"/>
    <x v="1"/>
    <s v="Safe"/>
    <s v="Oct-2023"/>
  </r>
  <r>
    <n v="10770"/>
    <n v="36"/>
    <x v="0"/>
    <x v="0"/>
    <x v="505"/>
    <d v="2025-12-04T00:00:00"/>
    <x v="0"/>
    <x v="0"/>
    <s v="Inactive"/>
    <n v="1200"/>
    <x v="1"/>
    <s v="High Risk"/>
    <s v="Jun-2025"/>
  </r>
  <r>
    <n v="10771"/>
    <n v="29"/>
    <x v="0"/>
    <x v="1"/>
    <x v="506"/>
    <d v="2025-12-17T00:00:00"/>
    <x v="3"/>
    <x v="0"/>
    <s v="Active"/>
    <n v="9600"/>
    <x v="2"/>
    <s v="Safe"/>
    <s v="May-2024"/>
  </r>
  <r>
    <n v="10772"/>
    <n v="39"/>
    <x v="0"/>
    <x v="1"/>
    <x v="305"/>
    <d v="2025-12-30T00:00:00"/>
    <x v="3"/>
    <x v="0"/>
    <s v="Active"/>
    <n v="9600"/>
    <x v="1"/>
    <s v="Safe"/>
    <s v="Oct-2025"/>
  </r>
  <r>
    <n v="10773"/>
    <n v="24"/>
    <x v="0"/>
    <x v="0"/>
    <x v="2"/>
    <d v="2025-12-17T00:00:00"/>
    <x v="0"/>
    <x v="0"/>
    <s v="Active"/>
    <n v="1200"/>
    <x v="0"/>
    <s v="Safe"/>
    <s v="May-2025"/>
  </r>
  <r>
    <n v="10774"/>
    <n v="44"/>
    <x v="0"/>
    <x v="0"/>
    <x v="107"/>
    <d v="2025-12-27T00:00:00"/>
    <x v="0"/>
    <x v="0"/>
    <s v="Active"/>
    <n v="1200"/>
    <x v="1"/>
    <s v="Safe"/>
    <s v="Apr-2025"/>
  </r>
  <r>
    <n v="10775"/>
    <n v="27"/>
    <x v="0"/>
    <x v="0"/>
    <x v="507"/>
    <d v="2025-12-18T00:00:00"/>
    <x v="2"/>
    <x v="1"/>
    <s v="Active"/>
    <n v="1700"/>
    <x v="2"/>
    <s v="Safe"/>
    <s v="Aug-2023"/>
  </r>
  <r>
    <n v="10776"/>
    <n v="43"/>
    <x v="0"/>
    <x v="2"/>
    <x v="195"/>
    <d v="2025-12-30T00:00:00"/>
    <x v="4"/>
    <x v="0"/>
    <s v="Active"/>
    <n v="3000"/>
    <x v="1"/>
    <s v="Safe"/>
    <s v="Jan-2025"/>
  </r>
  <r>
    <n v="10777"/>
    <n v="36"/>
    <x v="0"/>
    <x v="2"/>
    <x v="201"/>
    <d v="2025-10-30T00:00:00"/>
    <x v="4"/>
    <x v="0"/>
    <s v="Inactive"/>
    <n v="3000"/>
    <x v="1"/>
    <s v="High Risk"/>
    <s v="Oct-2023"/>
  </r>
  <r>
    <n v="10778"/>
    <n v="24"/>
    <x v="0"/>
    <x v="1"/>
    <x v="395"/>
    <d v="2025-11-04T00:00:00"/>
    <x v="1"/>
    <x v="1"/>
    <s v="Inactive"/>
    <n v="15600"/>
    <x v="0"/>
    <s v="High Risk"/>
    <s v="Jun-2024"/>
  </r>
  <r>
    <n v="10779"/>
    <n v="20"/>
    <x v="0"/>
    <x v="1"/>
    <x v="508"/>
    <d v="2026-01-10T00:00:00"/>
    <x v="3"/>
    <x v="0"/>
    <s v="Active"/>
    <n v="9600"/>
    <x v="0"/>
    <s v="Safe"/>
    <s v="Nov-2024"/>
  </r>
  <r>
    <n v="10780"/>
    <n v="30"/>
    <x v="1"/>
    <x v="0"/>
    <x v="509"/>
    <d v="2026-01-08T00:00:00"/>
    <x v="0"/>
    <x v="0"/>
    <s v="Active"/>
    <n v="1200"/>
    <x v="2"/>
    <s v="Safe"/>
    <s v="Oct-2025"/>
  </r>
  <r>
    <n v="10781"/>
    <n v="30"/>
    <x v="0"/>
    <x v="2"/>
    <x v="510"/>
    <d v="2026-01-03T00:00:00"/>
    <x v="5"/>
    <x v="1"/>
    <s v="Active"/>
    <n v="4500"/>
    <x v="2"/>
    <s v="Safe"/>
    <s v="Feb-2025"/>
  </r>
  <r>
    <n v="10782"/>
    <n v="35"/>
    <x v="1"/>
    <x v="0"/>
    <x v="12"/>
    <d v="2025-11-13T00:00:00"/>
    <x v="0"/>
    <x v="0"/>
    <s v="Inactive"/>
    <n v="1200"/>
    <x v="1"/>
    <s v="High Risk"/>
    <s v="Jun-2024"/>
  </r>
  <r>
    <n v="10783"/>
    <n v="45"/>
    <x v="0"/>
    <x v="0"/>
    <x v="511"/>
    <d v="2026-01-04T00:00:00"/>
    <x v="2"/>
    <x v="1"/>
    <s v="Active"/>
    <n v="1700"/>
    <x v="1"/>
    <s v="Safe"/>
    <s v="Mar-2025"/>
  </r>
  <r>
    <n v="10784"/>
    <n v="43"/>
    <x v="0"/>
    <x v="0"/>
    <x v="512"/>
    <d v="2026-01-04T00:00:00"/>
    <x v="0"/>
    <x v="0"/>
    <s v="Active"/>
    <n v="1200"/>
    <x v="1"/>
    <s v="Safe"/>
    <s v="Jul-2024"/>
  </r>
  <r>
    <n v="10785"/>
    <n v="37"/>
    <x v="1"/>
    <x v="0"/>
    <x v="118"/>
    <d v="2025-12-19T00:00:00"/>
    <x v="2"/>
    <x v="1"/>
    <s v="Active"/>
    <n v="1700"/>
    <x v="1"/>
    <s v="Safe"/>
    <s v="Oct-2025"/>
  </r>
  <r>
    <n v="10786"/>
    <n v="45"/>
    <x v="0"/>
    <x v="1"/>
    <x v="513"/>
    <d v="2026-01-06T00:00:00"/>
    <x v="3"/>
    <x v="0"/>
    <s v="Active"/>
    <n v="9600"/>
    <x v="1"/>
    <s v="Safe"/>
    <s v="Dec-2024"/>
  </r>
  <r>
    <n v="10787"/>
    <n v="25"/>
    <x v="0"/>
    <x v="0"/>
    <x v="205"/>
    <d v="2025-12-21T00:00:00"/>
    <x v="2"/>
    <x v="1"/>
    <s v="Active"/>
    <n v="1700"/>
    <x v="2"/>
    <s v="Safe"/>
    <s v="Dec-2024"/>
  </r>
  <r>
    <n v="10788"/>
    <n v="26"/>
    <x v="0"/>
    <x v="2"/>
    <x v="509"/>
    <d v="2025-09-23T00:00:00"/>
    <x v="4"/>
    <x v="0"/>
    <s v="Inactive"/>
    <n v="3000"/>
    <x v="2"/>
    <s v="High Risk"/>
    <s v="Oct-2025"/>
  </r>
  <r>
    <n v="10789"/>
    <n v="24"/>
    <x v="0"/>
    <x v="1"/>
    <x v="280"/>
    <d v="2026-01-07T00:00:00"/>
    <x v="3"/>
    <x v="0"/>
    <s v="Active"/>
    <n v="9600"/>
    <x v="0"/>
    <s v="Safe"/>
    <s v="Mar-2025"/>
  </r>
  <r>
    <n v="10790"/>
    <n v="18"/>
    <x v="0"/>
    <x v="1"/>
    <x v="514"/>
    <d v="2026-01-07T00:00:00"/>
    <x v="3"/>
    <x v="0"/>
    <s v="Active"/>
    <n v="9600"/>
    <x v="0"/>
    <s v="Safe"/>
    <s v="Dec-2023"/>
  </r>
  <r>
    <n v="10791"/>
    <n v="20"/>
    <x v="0"/>
    <x v="0"/>
    <x v="515"/>
    <d v="2026-01-06T00:00:00"/>
    <x v="0"/>
    <x v="0"/>
    <s v="Active"/>
    <n v="1200"/>
    <x v="0"/>
    <s v="Safe"/>
    <s v="Nov-2025"/>
  </r>
  <r>
    <n v="10792"/>
    <n v="30"/>
    <x v="0"/>
    <x v="2"/>
    <x v="238"/>
    <d v="2025-12-20T00:00:00"/>
    <x v="4"/>
    <x v="0"/>
    <s v="Active"/>
    <n v="3000"/>
    <x v="2"/>
    <s v="Safe"/>
    <s v="Mar-2024"/>
  </r>
  <r>
    <n v="10793"/>
    <n v="45"/>
    <x v="0"/>
    <x v="0"/>
    <x v="113"/>
    <d v="2025-12-23T00:00:00"/>
    <x v="2"/>
    <x v="1"/>
    <s v="Active"/>
    <n v="1700"/>
    <x v="1"/>
    <s v="Safe"/>
    <s v="Feb-2025"/>
  </r>
  <r>
    <n v="10794"/>
    <n v="42"/>
    <x v="0"/>
    <x v="1"/>
    <x v="61"/>
    <d v="2025-09-17T00:00:00"/>
    <x v="1"/>
    <x v="1"/>
    <s v="Inactive"/>
    <n v="15600"/>
    <x v="1"/>
    <s v="High Risk"/>
    <s v="Mar-2025"/>
  </r>
  <r>
    <n v="10795"/>
    <n v="45"/>
    <x v="1"/>
    <x v="2"/>
    <x v="314"/>
    <d v="2026-01-05T00:00:00"/>
    <x v="4"/>
    <x v="0"/>
    <s v="Active"/>
    <n v="3000"/>
    <x v="1"/>
    <s v="Safe"/>
    <s v="Sep-2023"/>
  </r>
  <r>
    <n v="10796"/>
    <n v="34"/>
    <x v="1"/>
    <x v="2"/>
    <x v="516"/>
    <d v="2025-12-18T00:00:00"/>
    <x v="4"/>
    <x v="0"/>
    <s v="Active"/>
    <n v="3000"/>
    <x v="2"/>
    <s v="Safe"/>
    <s v="Dec-2025"/>
  </r>
  <r>
    <n v="10797"/>
    <n v="42"/>
    <x v="0"/>
    <x v="0"/>
    <x v="85"/>
    <d v="2025-12-19T00:00:00"/>
    <x v="2"/>
    <x v="1"/>
    <s v="Active"/>
    <n v="1700"/>
    <x v="1"/>
    <s v="Safe"/>
    <s v="Mar-2024"/>
  </r>
  <r>
    <n v="10798"/>
    <n v="41"/>
    <x v="1"/>
    <x v="1"/>
    <x v="517"/>
    <d v="2026-01-06T00:00:00"/>
    <x v="3"/>
    <x v="0"/>
    <s v="Active"/>
    <n v="9600"/>
    <x v="1"/>
    <s v="Safe"/>
    <s v="Mar-2024"/>
  </r>
  <r>
    <n v="10799"/>
    <n v="18"/>
    <x v="0"/>
    <x v="0"/>
    <x v="62"/>
    <d v="2025-11-14T00:00:00"/>
    <x v="2"/>
    <x v="1"/>
    <s v="Inactive"/>
    <n v="1700"/>
    <x v="0"/>
    <s v="High Risk"/>
    <s v="Oct-2023"/>
  </r>
  <r>
    <n v="10800"/>
    <n v="23"/>
    <x v="0"/>
    <x v="0"/>
    <x v="412"/>
    <d v="2025-10-10T00:00:00"/>
    <x v="2"/>
    <x v="1"/>
    <s v="Inactive"/>
    <n v="1700"/>
    <x v="0"/>
    <s v="High Risk"/>
    <s v="Aug-2024"/>
  </r>
  <r>
    <n v="10801"/>
    <n v="38"/>
    <x v="0"/>
    <x v="0"/>
    <x v="518"/>
    <d v="2026-01-07T00:00:00"/>
    <x v="0"/>
    <x v="0"/>
    <s v="Active"/>
    <n v="1200"/>
    <x v="1"/>
    <s v="Safe"/>
    <s v="Nov-2024"/>
  </r>
  <r>
    <n v="10802"/>
    <n v="23"/>
    <x v="1"/>
    <x v="0"/>
    <x v="244"/>
    <d v="2025-09-27T00:00:00"/>
    <x v="0"/>
    <x v="0"/>
    <s v="Inactive"/>
    <n v="1200"/>
    <x v="0"/>
    <s v="High Risk"/>
    <s v="Oct-2024"/>
  </r>
  <r>
    <n v="10803"/>
    <n v="43"/>
    <x v="0"/>
    <x v="0"/>
    <x v="386"/>
    <d v="2026-01-03T00:00:00"/>
    <x v="0"/>
    <x v="0"/>
    <s v="Active"/>
    <n v="1200"/>
    <x v="1"/>
    <s v="Safe"/>
    <s v="Jan-2024"/>
  </r>
  <r>
    <n v="10804"/>
    <n v="29"/>
    <x v="0"/>
    <x v="1"/>
    <x v="499"/>
    <d v="2025-12-19T00:00:00"/>
    <x v="3"/>
    <x v="0"/>
    <s v="Active"/>
    <n v="9600"/>
    <x v="2"/>
    <s v="Safe"/>
    <s v="Sep-2023"/>
  </r>
  <r>
    <n v="10805"/>
    <n v="30"/>
    <x v="0"/>
    <x v="1"/>
    <x v="272"/>
    <d v="2025-12-21T00:00:00"/>
    <x v="3"/>
    <x v="0"/>
    <s v="Active"/>
    <n v="9600"/>
    <x v="2"/>
    <s v="Safe"/>
    <s v="Aug-2025"/>
  </r>
  <r>
    <n v="10806"/>
    <n v="30"/>
    <x v="1"/>
    <x v="0"/>
    <x v="519"/>
    <d v="2025-10-20T00:00:00"/>
    <x v="0"/>
    <x v="0"/>
    <s v="Inactive"/>
    <n v="1200"/>
    <x v="2"/>
    <s v="High Risk"/>
    <s v="Nov-2023"/>
  </r>
  <r>
    <n v="10807"/>
    <n v="32"/>
    <x v="1"/>
    <x v="0"/>
    <x v="301"/>
    <d v="2025-12-18T00:00:00"/>
    <x v="2"/>
    <x v="1"/>
    <s v="Active"/>
    <n v="1700"/>
    <x v="2"/>
    <s v="Safe"/>
    <s v="Mar-2025"/>
  </r>
  <r>
    <n v="10808"/>
    <n v="38"/>
    <x v="1"/>
    <x v="0"/>
    <x v="520"/>
    <d v="2025-12-26T00:00:00"/>
    <x v="2"/>
    <x v="1"/>
    <s v="Active"/>
    <n v="1700"/>
    <x v="1"/>
    <s v="Safe"/>
    <s v="Jun-2024"/>
  </r>
  <r>
    <n v="10809"/>
    <n v="33"/>
    <x v="0"/>
    <x v="0"/>
    <x v="521"/>
    <d v="2025-12-28T00:00:00"/>
    <x v="0"/>
    <x v="0"/>
    <s v="Active"/>
    <n v="1200"/>
    <x v="2"/>
    <s v="Safe"/>
    <s v="Oct-2023"/>
  </r>
  <r>
    <n v="10810"/>
    <n v="39"/>
    <x v="0"/>
    <x v="0"/>
    <x v="418"/>
    <d v="2026-01-02T00:00:00"/>
    <x v="0"/>
    <x v="0"/>
    <s v="Active"/>
    <n v="1200"/>
    <x v="1"/>
    <s v="Safe"/>
    <s v="Jul-2025"/>
  </r>
  <r>
    <n v="10811"/>
    <n v="38"/>
    <x v="0"/>
    <x v="1"/>
    <x v="522"/>
    <d v="2025-11-01T00:00:00"/>
    <x v="3"/>
    <x v="0"/>
    <s v="Inactive"/>
    <n v="9600"/>
    <x v="1"/>
    <s v="High Risk"/>
    <s v="Oct-2024"/>
  </r>
  <r>
    <n v="10812"/>
    <n v="28"/>
    <x v="0"/>
    <x v="0"/>
    <x v="523"/>
    <d v="2025-12-31T00:00:00"/>
    <x v="2"/>
    <x v="1"/>
    <s v="Active"/>
    <n v="1700"/>
    <x v="2"/>
    <s v="Safe"/>
    <s v="Dec-2023"/>
  </r>
  <r>
    <n v="10813"/>
    <n v="45"/>
    <x v="0"/>
    <x v="0"/>
    <x v="524"/>
    <d v="2026-01-08T00:00:00"/>
    <x v="2"/>
    <x v="1"/>
    <s v="Active"/>
    <n v="1700"/>
    <x v="1"/>
    <s v="Safe"/>
    <s v="Mar-2024"/>
  </r>
  <r>
    <n v="10814"/>
    <n v="22"/>
    <x v="0"/>
    <x v="0"/>
    <x v="525"/>
    <d v="2026-01-01T00:00:00"/>
    <x v="0"/>
    <x v="0"/>
    <s v="Active"/>
    <n v="1200"/>
    <x v="0"/>
    <s v="Safe"/>
    <s v="Feb-2024"/>
  </r>
  <r>
    <n v="10815"/>
    <n v="21"/>
    <x v="1"/>
    <x v="1"/>
    <x v="37"/>
    <d v="2026-01-09T00:00:00"/>
    <x v="1"/>
    <x v="1"/>
    <s v="Active"/>
    <n v="15600"/>
    <x v="0"/>
    <s v="Safe"/>
    <s v="Jul-2024"/>
  </r>
  <r>
    <n v="10816"/>
    <n v="20"/>
    <x v="1"/>
    <x v="2"/>
    <x v="131"/>
    <d v="2026-01-10T00:00:00"/>
    <x v="4"/>
    <x v="0"/>
    <s v="Active"/>
    <n v="3000"/>
    <x v="0"/>
    <s v="Safe"/>
    <s v="Oct-2023"/>
  </r>
  <r>
    <n v="10817"/>
    <n v="36"/>
    <x v="1"/>
    <x v="1"/>
    <x v="8"/>
    <d v="2025-12-30T00:00:00"/>
    <x v="1"/>
    <x v="1"/>
    <s v="Active"/>
    <n v="15600"/>
    <x v="1"/>
    <s v="Safe"/>
    <s v="Oct-2025"/>
  </r>
  <r>
    <n v="10818"/>
    <n v="37"/>
    <x v="1"/>
    <x v="1"/>
    <x v="526"/>
    <d v="2025-12-26T00:00:00"/>
    <x v="1"/>
    <x v="1"/>
    <s v="Active"/>
    <n v="15600"/>
    <x v="1"/>
    <s v="Safe"/>
    <s v="Jul-2023"/>
  </r>
  <r>
    <n v="10819"/>
    <n v="42"/>
    <x v="0"/>
    <x v="0"/>
    <x v="269"/>
    <d v="2025-12-18T00:00:00"/>
    <x v="0"/>
    <x v="0"/>
    <s v="Active"/>
    <n v="1200"/>
    <x v="1"/>
    <s v="Safe"/>
    <s v="Feb-2025"/>
  </r>
  <r>
    <n v="10820"/>
    <n v="35"/>
    <x v="0"/>
    <x v="0"/>
    <x v="217"/>
    <d v="2025-09-24T00:00:00"/>
    <x v="0"/>
    <x v="0"/>
    <s v="Inactive"/>
    <n v="1200"/>
    <x v="1"/>
    <s v="High Risk"/>
    <s v="Aug-2024"/>
  </r>
  <r>
    <n v="10821"/>
    <n v="32"/>
    <x v="1"/>
    <x v="2"/>
    <x v="527"/>
    <d v="2025-12-21T00:00:00"/>
    <x v="5"/>
    <x v="1"/>
    <s v="Active"/>
    <n v="4500"/>
    <x v="2"/>
    <s v="Safe"/>
    <s v="Aug-2023"/>
  </r>
  <r>
    <n v="10822"/>
    <n v="26"/>
    <x v="0"/>
    <x v="0"/>
    <x v="528"/>
    <d v="2025-12-21T00:00:00"/>
    <x v="2"/>
    <x v="1"/>
    <s v="Active"/>
    <n v="1700"/>
    <x v="2"/>
    <s v="Safe"/>
    <s v="Mar-2024"/>
  </r>
  <r>
    <n v="10823"/>
    <n v="34"/>
    <x v="1"/>
    <x v="2"/>
    <x v="529"/>
    <d v="2025-12-19T00:00:00"/>
    <x v="4"/>
    <x v="0"/>
    <s v="Active"/>
    <n v="3000"/>
    <x v="2"/>
    <s v="Safe"/>
    <s v="Feb-2024"/>
  </r>
  <r>
    <n v="10824"/>
    <n v="31"/>
    <x v="0"/>
    <x v="0"/>
    <x v="146"/>
    <d v="2025-10-18T00:00:00"/>
    <x v="2"/>
    <x v="1"/>
    <s v="Inactive"/>
    <n v="1700"/>
    <x v="2"/>
    <s v="High Risk"/>
    <s v="Sep-2023"/>
  </r>
  <r>
    <n v="10825"/>
    <n v="32"/>
    <x v="0"/>
    <x v="0"/>
    <x v="129"/>
    <d v="2026-01-03T00:00:00"/>
    <x v="0"/>
    <x v="0"/>
    <s v="Active"/>
    <n v="1200"/>
    <x v="2"/>
    <s v="Safe"/>
    <s v="Oct-2025"/>
  </r>
  <r>
    <n v="10826"/>
    <n v="18"/>
    <x v="0"/>
    <x v="2"/>
    <x v="33"/>
    <d v="2026-01-06T00:00:00"/>
    <x v="4"/>
    <x v="0"/>
    <s v="Active"/>
    <n v="3000"/>
    <x v="0"/>
    <s v="Safe"/>
    <s v="Jun-2024"/>
  </r>
  <r>
    <n v="10827"/>
    <n v="38"/>
    <x v="1"/>
    <x v="2"/>
    <x v="473"/>
    <d v="2026-01-05T00:00:00"/>
    <x v="5"/>
    <x v="1"/>
    <s v="Active"/>
    <n v="4500"/>
    <x v="1"/>
    <s v="Safe"/>
    <s v="Sep-2025"/>
  </r>
  <r>
    <n v="10828"/>
    <n v="39"/>
    <x v="1"/>
    <x v="1"/>
    <x v="530"/>
    <d v="2025-10-15T00:00:00"/>
    <x v="3"/>
    <x v="0"/>
    <s v="Inactive"/>
    <n v="9600"/>
    <x v="1"/>
    <s v="High Risk"/>
    <s v="Jul-2025"/>
  </r>
  <r>
    <n v="10829"/>
    <n v="39"/>
    <x v="0"/>
    <x v="0"/>
    <x v="531"/>
    <d v="2025-10-31T00:00:00"/>
    <x v="2"/>
    <x v="1"/>
    <s v="Inactive"/>
    <n v="1700"/>
    <x v="1"/>
    <s v="High Risk"/>
    <s v="Jan-2025"/>
  </r>
  <r>
    <n v="10830"/>
    <n v="20"/>
    <x v="1"/>
    <x v="2"/>
    <x v="532"/>
    <d v="2026-01-07T00:00:00"/>
    <x v="4"/>
    <x v="0"/>
    <s v="Active"/>
    <n v="3000"/>
    <x v="0"/>
    <s v="Safe"/>
    <s v="Sep-2024"/>
  </r>
  <r>
    <n v="10831"/>
    <n v="33"/>
    <x v="0"/>
    <x v="0"/>
    <x v="215"/>
    <d v="2025-12-26T00:00:00"/>
    <x v="0"/>
    <x v="0"/>
    <s v="Active"/>
    <n v="1200"/>
    <x v="2"/>
    <s v="Safe"/>
    <s v="Mar-2025"/>
  </r>
  <r>
    <n v="10832"/>
    <n v="40"/>
    <x v="0"/>
    <x v="0"/>
    <x v="162"/>
    <d v="2025-12-04T00:00:00"/>
    <x v="0"/>
    <x v="0"/>
    <s v="Inactive"/>
    <n v="1200"/>
    <x v="1"/>
    <s v="High Risk"/>
    <s v="Nov-2025"/>
  </r>
  <r>
    <n v="10833"/>
    <n v="42"/>
    <x v="0"/>
    <x v="0"/>
    <x v="533"/>
    <d v="2025-12-25T00:00:00"/>
    <x v="2"/>
    <x v="1"/>
    <s v="Active"/>
    <n v="1700"/>
    <x v="1"/>
    <s v="Safe"/>
    <s v="Jan-2024"/>
  </r>
  <r>
    <n v="10834"/>
    <n v="28"/>
    <x v="0"/>
    <x v="0"/>
    <x v="16"/>
    <d v="2025-12-25T00:00:00"/>
    <x v="0"/>
    <x v="0"/>
    <s v="Active"/>
    <n v="1200"/>
    <x v="2"/>
    <s v="Safe"/>
    <s v="Feb-2024"/>
  </r>
  <r>
    <n v="10835"/>
    <n v="29"/>
    <x v="0"/>
    <x v="0"/>
    <x v="534"/>
    <d v="2026-01-02T00:00:00"/>
    <x v="0"/>
    <x v="0"/>
    <s v="Active"/>
    <n v="1200"/>
    <x v="2"/>
    <s v="Safe"/>
    <s v="Sep-2024"/>
  </r>
  <r>
    <n v="10836"/>
    <n v="27"/>
    <x v="1"/>
    <x v="0"/>
    <x v="405"/>
    <d v="2026-01-09T00:00:00"/>
    <x v="0"/>
    <x v="0"/>
    <s v="Active"/>
    <n v="1200"/>
    <x v="2"/>
    <s v="Safe"/>
    <s v="Jul-2024"/>
  </r>
  <r>
    <n v="10837"/>
    <n v="33"/>
    <x v="1"/>
    <x v="0"/>
    <x v="535"/>
    <d v="2025-12-17T00:00:00"/>
    <x v="0"/>
    <x v="0"/>
    <s v="Active"/>
    <n v="1200"/>
    <x v="2"/>
    <s v="Safe"/>
    <s v="Apr-2024"/>
  </r>
  <r>
    <n v="10838"/>
    <n v="25"/>
    <x v="0"/>
    <x v="0"/>
    <x v="244"/>
    <d v="2025-12-19T00:00:00"/>
    <x v="2"/>
    <x v="1"/>
    <s v="Active"/>
    <n v="1700"/>
    <x v="2"/>
    <s v="Safe"/>
    <s v="Oct-2024"/>
  </r>
  <r>
    <n v="10839"/>
    <n v="23"/>
    <x v="0"/>
    <x v="0"/>
    <x v="536"/>
    <d v="2025-10-23T00:00:00"/>
    <x v="0"/>
    <x v="0"/>
    <s v="Inactive"/>
    <n v="1200"/>
    <x v="0"/>
    <s v="High Risk"/>
    <s v="Dec-2024"/>
  </r>
  <r>
    <n v="10840"/>
    <n v="29"/>
    <x v="1"/>
    <x v="0"/>
    <x v="537"/>
    <d v="2025-12-20T00:00:00"/>
    <x v="2"/>
    <x v="1"/>
    <s v="Active"/>
    <n v="1700"/>
    <x v="2"/>
    <s v="Safe"/>
    <s v="Aug-2025"/>
  </r>
  <r>
    <n v="10841"/>
    <n v="41"/>
    <x v="1"/>
    <x v="0"/>
    <x v="538"/>
    <d v="2025-12-20T00:00:00"/>
    <x v="2"/>
    <x v="1"/>
    <s v="Active"/>
    <n v="1700"/>
    <x v="1"/>
    <s v="Safe"/>
    <s v="Mar-2025"/>
  </r>
  <r>
    <n v="10842"/>
    <n v="45"/>
    <x v="1"/>
    <x v="2"/>
    <x v="539"/>
    <d v="2025-12-19T00:00:00"/>
    <x v="4"/>
    <x v="0"/>
    <s v="Active"/>
    <n v="3000"/>
    <x v="1"/>
    <s v="Safe"/>
    <s v="Feb-2025"/>
  </r>
  <r>
    <n v="10843"/>
    <n v="38"/>
    <x v="0"/>
    <x v="0"/>
    <x v="525"/>
    <d v="2025-10-15T00:00:00"/>
    <x v="2"/>
    <x v="1"/>
    <s v="Inactive"/>
    <n v="1700"/>
    <x v="1"/>
    <s v="High Risk"/>
    <s v="Feb-2024"/>
  </r>
  <r>
    <n v="10844"/>
    <n v="25"/>
    <x v="0"/>
    <x v="0"/>
    <x v="213"/>
    <d v="2025-12-24T00:00:00"/>
    <x v="0"/>
    <x v="0"/>
    <s v="Active"/>
    <n v="1200"/>
    <x v="2"/>
    <s v="Safe"/>
    <s v="Jul-2025"/>
  </r>
  <r>
    <n v="10845"/>
    <n v="43"/>
    <x v="0"/>
    <x v="0"/>
    <x v="540"/>
    <d v="2025-12-23T00:00:00"/>
    <x v="0"/>
    <x v="0"/>
    <s v="Active"/>
    <n v="1200"/>
    <x v="1"/>
    <s v="Safe"/>
    <s v="Jan-2024"/>
  </r>
  <r>
    <n v="10846"/>
    <n v="45"/>
    <x v="0"/>
    <x v="2"/>
    <x v="541"/>
    <d v="2025-10-12T00:00:00"/>
    <x v="4"/>
    <x v="0"/>
    <s v="Inactive"/>
    <n v="3000"/>
    <x v="1"/>
    <s v="High Risk"/>
    <s v="May-2024"/>
  </r>
  <r>
    <n v="10847"/>
    <n v="21"/>
    <x v="0"/>
    <x v="1"/>
    <x v="467"/>
    <d v="2026-01-03T00:00:00"/>
    <x v="3"/>
    <x v="0"/>
    <s v="Active"/>
    <n v="9600"/>
    <x v="0"/>
    <s v="Safe"/>
    <s v="Feb-2025"/>
  </r>
  <r>
    <n v="10848"/>
    <n v="43"/>
    <x v="1"/>
    <x v="1"/>
    <x v="471"/>
    <d v="2025-12-24T00:00:00"/>
    <x v="3"/>
    <x v="0"/>
    <s v="Active"/>
    <n v="9600"/>
    <x v="1"/>
    <s v="Safe"/>
    <s v="Oct-2024"/>
  </r>
  <r>
    <n v="10849"/>
    <n v="25"/>
    <x v="0"/>
    <x v="2"/>
    <x v="85"/>
    <d v="2025-12-08T00:00:00"/>
    <x v="5"/>
    <x v="1"/>
    <s v="Inactive"/>
    <n v="4500"/>
    <x v="2"/>
    <s v="High Risk"/>
    <s v="Mar-2024"/>
  </r>
  <r>
    <n v="10850"/>
    <n v="43"/>
    <x v="0"/>
    <x v="2"/>
    <x v="103"/>
    <d v="2025-10-25T00:00:00"/>
    <x v="4"/>
    <x v="0"/>
    <s v="Inactive"/>
    <n v="3000"/>
    <x v="1"/>
    <s v="High Risk"/>
    <s v="Jan-2024"/>
  </r>
  <r>
    <n v="10851"/>
    <n v="45"/>
    <x v="0"/>
    <x v="2"/>
    <x v="542"/>
    <d v="2025-12-29T00:00:00"/>
    <x v="5"/>
    <x v="1"/>
    <s v="Active"/>
    <n v="4500"/>
    <x v="1"/>
    <s v="Safe"/>
    <s v="Oct-2024"/>
  </r>
  <r>
    <n v="10852"/>
    <n v="35"/>
    <x v="0"/>
    <x v="2"/>
    <x v="543"/>
    <d v="2026-01-03T00:00:00"/>
    <x v="5"/>
    <x v="1"/>
    <s v="Active"/>
    <n v="4500"/>
    <x v="1"/>
    <s v="Safe"/>
    <s v="Dec-2025"/>
  </r>
  <r>
    <n v="10853"/>
    <n v="45"/>
    <x v="0"/>
    <x v="0"/>
    <x v="360"/>
    <d v="2025-12-28T00:00:00"/>
    <x v="0"/>
    <x v="0"/>
    <s v="Active"/>
    <n v="1200"/>
    <x v="1"/>
    <s v="Safe"/>
    <s v="Apr-2024"/>
  </r>
  <r>
    <n v="10854"/>
    <n v="45"/>
    <x v="0"/>
    <x v="0"/>
    <x v="258"/>
    <d v="2025-12-24T00:00:00"/>
    <x v="0"/>
    <x v="0"/>
    <s v="Active"/>
    <n v="1200"/>
    <x v="1"/>
    <s v="Safe"/>
    <s v="Dec-2023"/>
  </r>
  <r>
    <n v="10855"/>
    <n v="22"/>
    <x v="0"/>
    <x v="0"/>
    <x v="381"/>
    <d v="2026-01-10T00:00:00"/>
    <x v="0"/>
    <x v="0"/>
    <s v="Active"/>
    <n v="1200"/>
    <x v="0"/>
    <s v="Safe"/>
    <s v="Oct-2025"/>
  </r>
  <r>
    <n v="10856"/>
    <n v="26"/>
    <x v="1"/>
    <x v="1"/>
    <x v="544"/>
    <d v="2025-12-20T00:00:00"/>
    <x v="1"/>
    <x v="1"/>
    <s v="Active"/>
    <n v="15600"/>
    <x v="2"/>
    <s v="Safe"/>
    <s v="Feb-2024"/>
  </r>
  <r>
    <n v="10857"/>
    <n v="21"/>
    <x v="1"/>
    <x v="2"/>
    <x v="545"/>
    <d v="2025-10-23T00:00:00"/>
    <x v="4"/>
    <x v="0"/>
    <s v="Inactive"/>
    <n v="3000"/>
    <x v="0"/>
    <s v="High Risk"/>
    <s v="Aug-2025"/>
  </r>
  <r>
    <n v="10858"/>
    <n v="44"/>
    <x v="0"/>
    <x v="2"/>
    <x v="546"/>
    <d v="2025-12-18T00:00:00"/>
    <x v="5"/>
    <x v="1"/>
    <s v="Active"/>
    <n v="4500"/>
    <x v="1"/>
    <s v="Safe"/>
    <s v="Aug-2023"/>
  </r>
  <r>
    <n v="10859"/>
    <n v="39"/>
    <x v="0"/>
    <x v="0"/>
    <x v="547"/>
    <d v="2026-01-01T00:00:00"/>
    <x v="0"/>
    <x v="0"/>
    <s v="Active"/>
    <n v="1200"/>
    <x v="1"/>
    <s v="Safe"/>
    <s v="Mar-2024"/>
  </r>
  <r>
    <n v="10860"/>
    <n v="34"/>
    <x v="1"/>
    <x v="0"/>
    <x v="548"/>
    <d v="2025-12-30T00:00:00"/>
    <x v="0"/>
    <x v="0"/>
    <s v="Active"/>
    <n v="1200"/>
    <x v="2"/>
    <s v="Safe"/>
    <s v="Feb-2024"/>
  </r>
  <r>
    <n v="10861"/>
    <n v="26"/>
    <x v="0"/>
    <x v="0"/>
    <x v="470"/>
    <d v="2025-12-17T00:00:00"/>
    <x v="0"/>
    <x v="0"/>
    <s v="Active"/>
    <n v="1200"/>
    <x v="2"/>
    <s v="Safe"/>
    <s v="Aug-2025"/>
  </r>
  <r>
    <n v="10862"/>
    <n v="18"/>
    <x v="0"/>
    <x v="0"/>
    <x v="549"/>
    <d v="2026-01-01T00:00:00"/>
    <x v="2"/>
    <x v="1"/>
    <s v="Active"/>
    <n v="1700"/>
    <x v="0"/>
    <s v="Safe"/>
    <s v="Jan-2024"/>
  </r>
  <r>
    <n v="10863"/>
    <n v="38"/>
    <x v="1"/>
    <x v="1"/>
    <x v="550"/>
    <d v="2025-11-17T00:00:00"/>
    <x v="1"/>
    <x v="1"/>
    <s v="Inactive"/>
    <n v="15600"/>
    <x v="1"/>
    <s v="High Risk"/>
    <s v="Jun-2024"/>
  </r>
  <r>
    <n v="10864"/>
    <n v="37"/>
    <x v="0"/>
    <x v="2"/>
    <x v="477"/>
    <d v="2026-01-03T00:00:00"/>
    <x v="5"/>
    <x v="1"/>
    <s v="Active"/>
    <n v="4500"/>
    <x v="1"/>
    <s v="Safe"/>
    <s v="Nov-2025"/>
  </r>
  <r>
    <n v="10865"/>
    <n v="30"/>
    <x v="0"/>
    <x v="0"/>
    <x v="193"/>
    <d v="2026-01-06T00:00:00"/>
    <x v="0"/>
    <x v="0"/>
    <s v="Active"/>
    <n v="1200"/>
    <x v="2"/>
    <s v="Safe"/>
    <s v="Sep-2024"/>
  </r>
  <r>
    <n v="10866"/>
    <n v="45"/>
    <x v="0"/>
    <x v="1"/>
    <x v="43"/>
    <d v="2026-01-03T00:00:00"/>
    <x v="3"/>
    <x v="0"/>
    <s v="Active"/>
    <n v="9600"/>
    <x v="1"/>
    <s v="Safe"/>
    <s v="Sep-2025"/>
  </r>
  <r>
    <n v="10867"/>
    <n v="33"/>
    <x v="0"/>
    <x v="0"/>
    <x v="476"/>
    <d v="2025-12-24T00:00:00"/>
    <x v="2"/>
    <x v="1"/>
    <s v="Active"/>
    <n v="1700"/>
    <x v="2"/>
    <s v="Safe"/>
    <s v="Jul-2025"/>
  </r>
  <r>
    <n v="10868"/>
    <n v="30"/>
    <x v="0"/>
    <x v="1"/>
    <x v="251"/>
    <d v="2025-12-25T00:00:00"/>
    <x v="3"/>
    <x v="0"/>
    <s v="Active"/>
    <n v="9600"/>
    <x v="2"/>
    <s v="Safe"/>
    <s v="Jun-2025"/>
  </r>
  <r>
    <n v="10869"/>
    <n v="31"/>
    <x v="1"/>
    <x v="0"/>
    <x v="306"/>
    <d v="2025-12-29T00:00:00"/>
    <x v="0"/>
    <x v="0"/>
    <s v="Active"/>
    <n v="1200"/>
    <x v="2"/>
    <s v="Safe"/>
    <s v="Oct-2024"/>
  </r>
  <r>
    <n v="10870"/>
    <n v="20"/>
    <x v="0"/>
    <x v="0"/>
    <x v="165"/>
    <d v="2025-11-10T00:00:00"/>
    <x v="0"/>
    <x v="0"/>
    <s v="Inactive"/>
    <n v="1200"/>
    <x v="0"/>
    <s v="High Risk"/>
    <s v="Aug-2025"/>
  </r>
  <r>
    <n v="10871"/>
    <n v="23"/>
    <x v="0"/>
    <x v="0"/>
    <x v="228"/>
    <d v="2025-12-31T00:00:00"/>
    <x v="0"/>
    <x v="0"/>
    <s v="Active"/>
    <n v="1200"/>
    <x v="0"/>
    <s v="Safe"/>
    <s v="Aug-2025"/>
  </r>
  <r>
    <n v="10872"/>
    <n v="35"/>
    <x v="1"/>
    <x v="0"/>
    <x v="533"/>
    <d v="2025-12-17T00:00:00"/>
    <x v="0"/>
    <x v="0"/>
    <s v="Active"/>
    <n v="1200"/>
    <x v="1"/>
    <s v="Safe"/>
    <s v="Jan-2024"/>
  </r>
  <r>
    <n v="10873"/>
    <n v="36"/>
    <x v="0"/>
    <x v="0"/>
    <x v="391"/>
    <d v="2026-01-10T00:00:00"/>
    <x v="2"/>
    <x v="1"/>
    <s v="Active"/>
    <n v="1700"/>
    <x v="1"/>
    <s v="Safe"/>
    <s v="Apr-2024"/>
  </r>
  <r>
    <n v="10874"/>
    <n v="22"/>
    <x v="0"/>
    <x v="2"/>
    <x v="551"/>
    <d v="2025-12-22T00:00:00"/>
    <x v="5"/>
    <x v="1"/>
    <s v="Active"/>
    <n v="4500"/>
    <x v="0"/>
    <s v="Safe"/>
    <s v="Aug-2025"/>
  </r>
  <r>
    <n v="10875"/>
    <n v="32"/>
    <x v="1"/>
    <x v="1"/>
    <x v="552"/>
    <d v="2026-01-02T00:00:00"/>
    <x v="1"/>
    <x v="1"/>
    <s v="Active"/>
    <n v="15600"/>
    <x v="2"/>
    <s v="Safe"/>
    <s v="Apr-2025"/>
  </r>
  <r>
    <n v="10876"/>
    <n v="42"/>
    <x v="0"/>
    <x v="1"/>
    <x v="22"/>
    <d v="2025-09-20T00:00:00"/>
    <x v="3"/>
    <x v="0"/>
    <s v="Inactive"/>
    <n v="9600"/>
    <x v="1"/>
    <s v="High Risk"/>
    <s v="Apr-2024"/>
  </r>
  <r>
    <n v="10877"/>
    <n v="19"/>
    <x v="1"/>
    <x v="0"/>
    <x v="83"/>
    <d v="2026-01-02T00:00:00"/>
    <x v="0"/>
    <x v="0"/>
    <s v="Active"/>
    <n v="1200"/>
    <x v="0"/>
    <s v="Safe"/>
    <s v="Feb-2024"/>
  </r>
  <r>
    <n v="10878"/>
    <n v="27"/>
    <x v="1"/>
    <x v="2"/>
    <x v="553"/>
    <d v="2025-12-26T00:00:00"/>
    <x v="4"/>
    <x v="0"/>
    <s v="Active"/>
    <n v="3000"/>
    <x v="2"/>
    <s v="Safe"/>
    <s v="Apr-2024"/>
  </r>
  <r>
    <n v="10879"/>
    <n v="41"/>
    <x v="0"/>
    <x v="0"/>
    <x v="403"/>
    <d v="2025-12-24T00:00:00"/>
    <x v="2"/>
    <x v="1"/>
    <s v="Active"/>
    <n v="1700"/>
    <x v="1"/>
    <s v="Safe"/>
    <s v="Oct-2024"/>
  </r>
  <r>
    <n v="10880"/>
    <n v="35"/>
    <x v="0"/>
    <x v="0"/>
    <x v="554"/>
    <d v="2025-09-18T00:00:00"/>
    <x v="0"/>
    <x v="0"/>
    <s v="Inactive"/>
    <n v="1200"/>
    <x v="1"/>
    <s v="High Risk"/>
    <s v="Jan-2024"/>
  </r>
  <r>
    <n v="10881"/>
    <n v="44"/>
    <x v="1"/>
    <x v="2"/>
    <x v="398"/>
    <d v="2025-12-21T00:00:00"/>
    <x v="5"/>
    <x v="1"/>
    <s v="Active"/>
    <n v="4500"/>
    <x v="1"/>
    <s v="Safe"/>
    <s v="Sep-2024"/>
  </r>
  <r>
    <n v="10882"/>
    <n v="30"/>
    <x v="0"/>
    <x v="2"/>
    <x v="555"/>
    <d v="2025-12-18T00:00:00"/>
    <x v="5"/>
    <x v="1"/>
    <s v="Active"/>
    <n v="4500"/>
    <x v="2"/>
    <s v="Safe"/>
    <s v="Dec-2024"/>
  </r>
  <r>
    <n v="10883"/>
    <n v="22"/>
    <x v="1"/>
    <x v="0"/>
    <x v="470"/>
    <d v="2026-01-05T00:00:00"/>
    <x v="0"/>
    <x v="0"/>
    <s v="Active"/>
    <n v="1200"/>
    <x v="0"/>
    <s v="Safe"/>
    <s v="Aug-2025"/>
  </r>
  <r>
    <n v="10884"/>
    <n v="40"/>
    <x v="0"/>
    <x v="0"/>
    <x v="84"/>
    <d v="2025-12-24T00:00:00"/>
    <x v="0"/>
    <x v="0"/>
    <s v="Active"/>
    <n v="1200"/>
    <x v="1"/>
    <s v="Safe"/>
    <s v="Oct-2023"/>
  </r>
  <r>
    <n v="10885"/>
    <n v="41"/>
    <x v="0"/>
    <x v="1"/>
    <x v="556"/>
    <d v="2026-01-10T00:00:00"/>
    <x v="3"/>
    <x v="0"/>
    <s v="Active"/>
    <n v="9600"/>
    <x v="1"/>
    <s v="Safe"/>
    <s v="Nov-2025"/>
  </r>
  <r>
    <n v="10886"/>
    <n v="18"/>
    <x v="0"/>
    <x v="0"/>
    <x v="87"/>
    <d v="2026-01-06T00:00:00"/>
    <x v="0"/>
    <x v="0"/>
    <s v="Active"/>
    <n v="1200"/>
    <x v="0"/>
    <s v="Safe"/>
    <s v="Dec-2024"/>
  </r>
  <r>
    <n v="10887"/>
    <n v="39"/>
    <x v="1"/>
    <x v="0"/>
    <x v="243"/>
    <d v="2025-12-29T00:00:00"/>
    <x v="2"/>
    <x v="1"/>
    <s v="Active"/>
    <n v="1700"/>
    <x v="1"/>
    <s v="Safe"/>
    <s v="Sep-2024"/>
  </r>
  <r>
    <n v="10888"/>
    <n v="18"/>
    <x v="1"/>
    <x v="2"/>
    <x v="113"/>
    <d v="2025-12-17T00:00:00"/>
    <x v="5"/>
    <x v="1"/>
    <s v="Active"/>
    <n v="4500"/>
    <x v="0"/>
    <s v="Safe"/>
    <s v="Feb-2025"/>
  </r>
  <r>
    <n v="10889"/>
    <n v="35"/>
    <x v="0"/>
    <x v="0"/>
    <x v="522"/>
    <d v="2025-12-29T00:00:00"/>
    <x v="2"/>
    <x v="1"/>
    <s v="Active"/>
    <n v="1700"/>
    <x v="1"/>
    <s v="Safe"/>
    <s v="Oct-2024"/>
  </r>
  <r>
    <n v="10890"/>
    <n v="32"/>
    <x v="0"/>
    <x v="0"/>
    <x v="113"/>
    <d v="2026-01-03T00:00:00"/>
    <x v="0"/>
    <x v="0"/>
    <s v="Active"/>
    <n v="1200"/>
    <x v="2"/>
    <s v="Safe"/>
    <s v="Feb-2025"/>
  </r>
  <r>
    <n v="10891"/>
    <n v="34"/>
    <x v="1"/>
    <x v="0"/>
    <x v="348"/>
    <d v="2026-01-08T00:00:00"/>
    <x v="0"/>
    <x v="0"/>
    <s v="Active"/>
    <n v="1200"/>
    <x v="2"/>
    <s v="Safe"/>
    <s v="Dec-2023"/>
  </r>
  <r>
    <n v="10892"/>
    <n v="28"/>
    <x v="0"/>
    <x v="1"/>
    <x v="375"/>
    <d v="2025-10-12T00:00:00"/>
    <x v="3"/>
    <x v="0"/>
    <s v="Inactive"/>
    <n v="9600"/>
    <x v="2"/>
    <s v="High Risk"/>
    <s v="Nov-2023"/>
  </r>
  <r>
    <n v="10893"/>
    <n v="38"/>
    <x v="0"/>
    <x v="2"/>
    <x v="203"/>
    <d v="2025-12-30T00:00:00"/>
    <x v="4"/>
    <x v="0"/>
    <s v="Active"/>
    <n v="3000"/>
    <x v="1"/>
    <s v="Safe"/>
    <s v="Jan-2025"/>
  </r>
  <r>
    <n v="10894"/>
    <n v="43"/>
    <x v="0"/>
    <x v="2"/>
    <x v="557"/>
    <d v="2026-01-10T00:00:00"/>
    <x v="5"/>
    <x v="1"/>
    <s v="Active"/>
    <n v="4500"/>
    <x v="1"/>
    <s v="Safe"/>
    <s v="Sep-2025"/>
  </r>
  <r>
    <n v="10895"/>
    <n v="42"/>
    <x v="0"/>
    <x v="1"/>
    <x v="498"/>
    <d v="2026-01-04T00:00:00"/>
    <x v="1"/>
    <x v="1"/>
    <s v="Active"/>
    <n v="15600"/>
    <x v="1"/>
    <s v="Safe"/>
    <s v="Oct-2023"/>
  </r>
  <r>
    <n v="10896"/>
    <n v="39"/>
    <x v="1"/>
    <x v="1"/>
    <x v="272"/>
    <d v="2025-12-18T00:00:00"/>
    <x v="3"/>
    <x v="0"/>
    <s v="Active"/>
    <n v="9600"/>
    <x v="1"/>
    <s v="Safe"/>
    <s v="Aug-2025"/>
  </r>
  <r>
    <n v="10897"/>
    <n v="44"/>
    <x v="0"/>
    <x v="0"/>
    <x v="558"/>
    <d v="2026-01-07T00:00:00"/>
    <x v="2"/>
    <x v="1"/>
    <s v="Active"/>
    <n v="1700"/>
    <x v="1"/>
    <s v="Safe"/>
    <s v="Aug-2025"/>
  </r>
  <r>
    <n v="10898"/>
    <n v="44"/>
    <x v="0"/>
    <x v="0"/>
    <x v="559"/>
    <d v="2025-12-09T00:00:00"/>
    <x v="0"/>
    <x v="0"/>
    <s v="Inactive"/>
    <n v="1200"/>
    <x v="1"/>
    <s v="High Risk"/>
    <s v="Dec-2025"/>
  </r>
  <r>
    <n v="10899"/>
    <n v="34"/>
    <x v="0"/>
    <x v="2"/>
    <x v="140"/>
    <d v="2026-01-08T00:00:00"/>
    <x v="4"/>
    <x v="0"/>
    <s v="Active"/>
    <n v="3000"/>
    <x v="2"/>
    <s v="Safe"/>
    <s v="Oct-2023"/>
  </r>
  <r>
    <n v="10900"/>
    <n v="30"/>
    <x v="1"/>
    <x v="2"/>
    <x v="194"/>
    <d v="2025-12-18T00:00:00"/>
    <x v="4"/>
    <x v="0"/>
    <s v="Active"/>
    <n v="3000"/>
    <x v="2"/>
    <s v="Safe"/>
    <s v="May-2025"/>
  </r>
  <r>
    <n v="10901"/>
    <n v="18"/>
    <x v="0"/>
    <x v="2"/>
    <x v="531"/>
    <d v="2025-12-22T00:00:00"/>
    <x v="5"/>
    <x v="1"/>
    <s v="Active"/>
    <n v="4500"/>
    <x v="0"/>
    <s v="Safe"/>
    <s v="Jan-2025"/>
  </r>
  <r>
    <n v="10902"/>
    <n v="19"/>
    <x v="0"/>
    <x v="2"/>
    <x v="202"/>
    <d v="2025-12-28T00:00:00"/>
    <x v="5"/>
    <x v="1"/>
    <s v="Active"/>
    <n v="4500"/>
    <x v="0"/>
    <s v="Safe"/>
    <s v="Apr-2025"/>
  </r>
  <r>
    <n v="10903"/>
    <n v="26"/>
    <x v="0"/>
    <x v="0"/>
    <x v="560"/>
    <d v="2026-01-03T00:00:00"/>
    <x v="0"/>
    <x v="0"/>
    <s v="Active"/>
    <n v="1200"/>
    <x v="2"/>
    <s v="Safe"/>
    <s v="Apr-2025"/>
  </r>
  <r>
    <n v="10904"/>
    <n v="20"/>
    <x v="1"/>
    <x v="0"/>
    <x v="527"/>
    <d v="2026-01-03T00:00:00"/>
    <x v="0"/>
    <x v="0"/>
    <s v="Active"/>
    <n v="1200"/>
    <x v="0"/>
    <s v="Safe"/>
    <s v="Aug-2023"/>
  </r>
  <r>
    <n v="10905"/>
    <n v="18"/>
    <x v="0"/>
    <x v="0"/>
    <x v="291"/>
    <d v="2026-01-06T00:00:00"/>
    <x v="0"/>
    <x v="0"/>
    <s v="Active"/>
    <n v="1200"/>
    <x v="0"/>
    <s v="Safe"/>
    <s v="Jun-2025"/>
  </r>
  <r>
    <n v="10906"/>
    <n v="38"/>
    <x v="0"/>
    <x v="0"/>
    <x v="209"/>
    <d v="2026-01-02T00:00:00"/>
    <x v="0"/>
    <x v="0"/>
    <s v="Active"/>
    <n v="1200"/>
    <x v="1"/>
    <s v="Safe"/>
    <s v="Nov-2025"/>
  </r>
  <r>
    <n v="10907"/>
    <n v="33"/>
    <x v="0"/>
    <x v="0"/>
    <x v="109"/>
    <d v="2025-11-22T00:00:00"/>
    <x v="0"/>
    <x v="0"/>
    <s v="Inactive"/>
    <n v="1200"/>
    <x v="2"/>
    <s v="High Risk"/>
    <s v="May-2024"/>
  </r>
  <r>
    <n v="10908"/>
    <n v="40"/>
    <x v="0"/>
    <x v="2"/>
    <x v="533"/>
    <d v="2026-01-02T00:00:00"/>
    <x v="4"/>
    <x v="0"/>
    <s v="Active"/>
    <n v="3000"/>
    <x v="1"/>
    <s v="Safe"/>
    <s v="Jan-2024"/>
  </r>
  <r>
    <n v="10909"/>
    <n v="23"/>
    <x v="0"/>
    <x v="2"/>
    <x v="65"/>
    <d v="2025-12-19T00:00:00"/>
    <x v="5"/>
    <x v="1"/>
    <s v="Active"/>
    <n v="4500"/>
    <x v="0"/>
    <s v="Safe"/>
    <s v="Mar-2025"/>
  </r>
  <r>
    <n v="10910"/>
    <n v="45"/>
    <x v="1"/>
    <x v="0"/>
    <x v="561"/>
    <d v="2026-01-07T00:00:00"/>
    <x v="0"/>
    <x v="0"/>
    <s v="Active"/>
    <n v="1200"/>
    <x v="1"/>
    <s v="Safe"/>
    <s v="May-2025"/>
  </r>
  <r>
    <n v="10911"/>
    <n v="34"/>
    <x v="0"/>
    <x v="2"/>
    <x v="547"/>
    <d v="2025-12-30T00:00:00"/>
    <x v="5"/>
    <x v="1"/>
    <s v="Active"/>
    <n v="4500"/>
    <x v="2"/>
    <s v="Safe"/>
    <s v="Mar-2024"/>
  </r>
  <r>
    <n v="10912"/>
    <n v="22"/>
    <x v="1"/>
    <x v="2"/>
    <x v="190"/>
    <d v="2025-12-18T00:00:00"/>
    <x v="5"/>
    <x v="1"/>
    <s v="Active"/>
    <n v="4500"/>
    <x v="0"/>
    <s v="Safe"/>
    <s v="Mar-2025"/>
  </r>
  <r>
    <n v="10913"/>
    <n v="22"/>
    <x v="0"/>
    <x v="0"/>
    <x v="239"/>
    <d v="2026-01-06T00:00:00"/>
    <x v="0"/>
    <x v="0"/>
    <s v="Active"/>
    <n v="1200"/>
    <x v="0"/>
    <s v="Safe"/>
    <s v="Oct-2023"/>
  </r>
  <r>
    <n v="10914"/>
    <n v="23"/>
    <x v="1"/>
    <x v="2"/>
    <x v="436"/>
    <d v="2025-12-27T00:00:00"/>
    <x v="4"/>
    <x v="0"/>
    <s v="Active"/>
    <n v="3000"/>
    <x v="0"/>
    <s v="Safe"/>
    <s v="Jul-2025"/>
  </r>
  <r>
    <n v="10915"/>
    <n v="20"/>
    <x v="0"/>
    <x v="1"/>
    <x v="487"/>
    <d v="2026-01-04T00:00:00"/>
    <x v="3"/>
    <x v="0"/>
    <s v="Active"/>
    <n v="9600"/>
    <x v="0"/>
    <s v="Safe"/>
    <s v="May-2025"/>
  </r>
  <r>
    <n v="10916"/>
    <n v="38"/>
    <x v="0"/>
    <x v="1"/>
    <x v="140"/>
    <d v="2026-01-03T00:00:00"/>
    <x v="3"/>
    <x v="0"/>
    <s v="Active"/>
    <n v="9600"/>
    <x v="1"/>
    <s v="Safe"/>
    <s v="Oct-2023"/>
  </r>
  <r>
    <n v="10917"/>
    <n v="40"/>
    <x v="1"/>
    <x v="2"/>
    <x v="562"/>
    <d v="2025-11-29T00:00:00"/>
    <x v="4"/>
    <x v="0"/>
    <s v="Inactive"/>
    <n v="3000"/>
    <x v="1"/>
    <s v="High Risk"/>
    <s v="Aug-2023"/>
  </r>
  <r>
    <n v="10918"/>
    <n v="22"/>
    <x v="1"/>
    <x v="2"/>
    <x v="141"/>
    <d v="2025-12-20T00:00:00"/>
    <x v="4"/>
    <x v="0"/>
    <s v="Active"/>
    <n v="3000"/>
    <x v="0"/>
    <s v="Safe"/>
    <s v="Apr-2024"/>
  </r>
  <r>
    <n v="10919"/>
    <n v="38"/>
    <x v="0"/>
    <x v="0"/>
    <x v="563"/>
    <d v="2026-01-06T00:00:00"/>
    <x v="0"/>
    <x v="0"/>
    <s v="Active"/>
    <n v="1200"/>
    <x v="1"/>
    <s v="Safe"/>
    <s v="Dec-2024"/>
  </r>
  <r>
    <n v="10920"/>
    <n v="22"/>
    <x v="0"/>
    <x v="0"/>
    <x v="196"/>
    <d v="2025-09-18T00:00:00"/>
    <x v="0"/>
    <x v="0"/>
    <s v="Inactive"/>
    <n v="1200"/>
    <x v="0"/>
    <s v="High Risk"/>
    <s v="Aug-2024"/>
  </r>
  <r>
    <n v="10921"/>
    <n v="27"/>
    <x v="1"/>
    <x v="0"/>
    <x v="288"/>
    <d v="2026-01-07T00:00:00"/>
    <x v="0"/>
    <x v="0"/>
    <s v="Active"/>
    <n v="1200"/>
    <x v="2"/>
    <s v="Safe"/>
    <s v="Apr-2024"/>
  </r>
  <r>
    <n v="10922"/>
    <n v="27"/>
    <x v="0"/>
    <x v="1"/>
    <x v="564"/>
    <d v="2025-12-10T00:00:00"/>
    <x v="3"/>
    <x v="0"/>
    <s v="Inactive"/>
    <n v="9600"/>
    <x v="2"/>
    <s v="High Risk"/>
    <s v="Jun-2024"/>
  </r>
  <r>
    <n v="10923"/>
    <n v="36"/>
    <x v="1"/>
    <x v="0"/>
    <x v="565"/>
    <d v="2026-01-09T00:00:00"/>
    <x v="0"/>
    <x v="0"/>
    <s v="Active"/>
    <n v="1200"/>
    <x v="1"/>
    <s v="Safe"/>
    <s v="Dec-2024"/>
  </r>
  <r>
    <n v="10924"/>
    <n v="34"/>
    <x v="1"/>
    <x v="0"/>
    <x v="362"/>
    <d v="2025-12-29T00:00:00"/>
    <x v="2"/>
    <x v="1"/>
    <s v="Active"/>
    <n v="1700"/>
    <x v="2"/>
    <s v="Safe"/>
    <s v="Jun-2024"/>
  </r>
  <r>
    <n v="10925"/>
    <n v="38"/>
    <x v="0"/>
    <x v="1"/>
    <x v="566"/>
    <d v="2025-10-09T00:00:00"/>
    <x v="3"/>
    <x v="0"/>
    <s v="Inactive"/>
    <n v="9600"/>
    <x v="1"/>
    <s v="High Risk"/>
    <s v="Dec-2024"/>
  </r>
  <r>
    <n v="10926"/>
    <n v="31"/>
    <x v="0"/>
    <x v="1"/>
    <x v="444"/>
    <d v="2025-11-30T00:00:00"/>
    <x v="1"/>
    <x v="1"/>
    <s v="Inactive"/>
    <n v="15600"/>
    <x v="2"/>
    <s v="High Risk"/>
    <s v="Sep-2024"/>
  </r>
  <r>
    <n v="10927"/>
    <n v="26"/>
    <x v="0"/>
    <x v="1"/>
    <x v="567"/>
    <d v="2026-01-01T00:00:00"/>
    <x v="3"/>
    <x v="0"/>
    <s v="Active"/>
    <n v="9600"/>
    <x v="2"/>
    <s v="Safe"/>
    <s v="Oct-2025"/>
  </r>
  <r>
    <n v="10928"/>
    <n v="31"/>
    <x v="0"/>
    <x v="0"/>
    <x v="31"/>
    <d v="2025-12-23T00:00:00"/>
    <x v="2"/>
    <x v="1"/>
    <s v="Active"/>
    <n v="1700"/>
    <x v="2"/>
    <s v="Safe"/>
    <s v="Oct-2024"/>
  </r>
  <r>
    <n v="10929"/>
    <n v="18"/>
    <x v="0"/>
    <x v="0"/>
    <x v="294"/>
    <d v="2025-12-24T00:00:00"/>
    <x v="0"/>
    <x v="0"/>
    <s v="Active"/>
    <n v="1200"/>
    <x v="0"/>
    <s v="Safe"/>
    <s v="Nov-2025"/>
  </r>
  <r>
    <n v="10930"/>
    <n v="36"/>
    <x v="1"/>
    <x v="0"/>
    <x v="568"/>
    <d v="2025-12-24T00:00:00"/>
    <x v="0"/>
    <x v="0"/>
    <s v="Active"/>
    <n v="1200"/>
    <x v="1"/>
    <s v="Safe"/>
    <s v="Nov-2024"/>
  </r>
  <r>
    <n v="10931"/>
    <n v="30"/>
    <x v="0"/>
    <x v="0"/>
    <x v="569"/>
    <d v="2026-01-02T00:00:00"/>
    <x v="2"/>
    <x v="1"/>
    <s v="Active"/>
    <n v="1700"/>
    <x v="2"/>
    <s v="Safe"/>
    <s v="Dec-2023"/>
  </r>
  <r>
    <n v="10932"/>
    <n v="30"/>
    <x v="1"/>
    <x v="0"/>
    <x v="382"/>
    <d v="2025-12-29T00:00:00"/>
    <x v="2"/>
    <x v="1"/>
    <s v="Active"/>
    <n v="1700"/>
    <x v="2"/>
    <s v="Safe"/>
    <s v="Dec-2023"/>
  </r>
  <r>
    <n v="10933"/>
    <n v="21"/>
    <x v="0"/>
    <x v="2"/>
    <x v="570"/>
    <d v="2025-12-31T00:00:00"/>
    <x v="5"/>
    <x v="1"/>
    <s v="Active"/>
    <n v="4500"/>
    <x v="0"/>
    <s v="Safe"/>
    <s v="Dec-2024"/>
  </r>
  <r>
    <n v="10934"/>
    <n v="18"/>
    <x v="0"/>
    <x v="1"/>
    <x v="442"/>
    <d v="2026-01-09T00:00:00"/>
    <x v="3"/>
    <x v="0"/>
    <s v="Active"/>
    <n v="9600"/>
    <x v="0"/>
    <s v="Safe"/>
    <s v="Oct-2023"/>
  </r>
  <r>
    <n v="10935"/>
    <n v="34"/>
    <x v="0"/>
    <x v="0"/>
    <x v="285"/>
    <d v="2025-11-30T00:00:00"/>
    <x v="2"/>
    <x v="1"/>
    <s v="Inactive"/>
    <n v="1700"/>
    <x v="2"/>
    <s v="High Risk"/>
    <s v="Feb-2024"/>
  </r>
  <r>
    <n v="10936"/>
    <n v="25"/>
    <x v="0"/>
    <x v="2"/>
    <x v="571"/>
    <d v="2025-12-29T00:00:00"/>
    <x v="5"/>
    <x v="1"/>
    <s v="Active"/>
    <n v="4500"/>
    <x v="2"/>
    <s v="Safe"/>
    <s v="Sep-2023"/>
  </r>
  <r>
    <n v="10937"/>
    <n v="19"/>
    <x v="0"/>
    <x v="2"/>
    <x v="572"/>
    <d v="2026-01-04T00:00:00"/>
    <x v="5"/>
    <x v="1"/>
    <s v="Active"/>
    <n v="4500"/>
    <x v="0"/>
    <s v="Safe"/>
    <s v="Feb-2024"/>
  </r>
  <r>
    <n v="10938"/>
    <n v="45"/>
    <x v="0"/>
    <x v="0"/>
    <x v="164"/>
    <d v="2025-12-01T00:00:00"/>
    <x v="0"/>
    <x v="0"/>
    <s v="Inactive"/>
    <n v="1200"/>
    <x v="1"/>
    <s v="High Risk"/>
    <s v="Nov-2025"/>
  </r>
  <r>
    <n v="10939"/>
    <n v="25"/>
    <x v="1"/>
    <x v="2"/>
    <x v="140"/>
    <d v="2025-12-26T00:00:00"/>
    <x v="5"/>
    <x v="1"/>
    <s v="Active"/>
    <n v="4500"/>
    <x v="2"/>
    <s v="Safe"/>
    <s v="Oct-2023"/>
  </r>
  <r>
    <n v="10940"/>
    <n v="24"/>
    <x v="0"/>
    <x v="0"/>
    <x v="573"/>
    <d v="2026-01-06T00:00:00"/>
    <x v="0"/>
    <x v="0"/>
    <s v="Active"/>
    <n v="1200"/>
    <x v="0"/>
    <s v="Safe"/>
    <s v="Nov-2023"/>
  </r>
  <r>
    <n v="10941"/>
    <n v="43"/>
    <x v="0"/>
    <x v="0"/>
    <x v="346"/>
    <d v="2025-12-29T00:00:00"/>
    <x v="2"/>
    <x v="1"/>
    <s v="Active"/>
    <n v="1700"/>
    <x v="1"/>
    <s v="Safe"/>
    <s v="Apr-2025"/>
  </r>
  <r>
    <n v="10942"/>
    <n v="43"/>
    <x v="0"/>
    <x v="2"/>
    <x v="121"/>
    <d v="2025-12-20T00:00:00"/>
    <x v="4"/>
    <x v="0"/>
    <s v="Active"/>
    <n v="3000"/>
    <x v="1"/>
    <s v="Safe"/>
    <s v="Jul-2023"/>
  </r>
  <r>
    <n v="10943"/>
    <n v="19"/>
    <x v="0"/>
    <x v="0"/>
    <x v="508"/>
    <d v="2025-12-25T00:00:00"/>
    <x v="2"/>
    <x v="1"/>
    <s v="Active"/>
    <n v="1700"/>
    <x v="0"/>
    <s v="Safe"/>
    <s v="Nov-2024"/>
  </r>
  <r>
    <n v="10944"/>
    <n v="39"/>
    <x v="0"/>
    <x v="1"/>
    <x v="461"/>
    <d v="2026-01-06T00:00:00"/>
    <x v="3"/>
    <x v="0"/>
    <s v="Active"/>
    <n v="9600"/>
    <x v="1"/>
    <s v="Safe"/>
    <s v="Aug-2023"/>
  </r>
  <r>
    <n v="10945"/>
    <n v="39"/>
    <x v="0"/>
    <x v="0"/>
    <x v="574"/>
    <d v="2025-11-10T00:00:00"/>
    <x v="2"/>
    <x v="1"/>
    <s v="Inactive"/>
    <n v="1700"/>
    <x v="1"/>
    <s v="High Risk"/>
    <s v="Dec-2024"/>
  </r>
  <r>
    <n v="10946"/>
    <n v="20"/>
    <x v="0"/>
    <x v="2"/>
    <x v="559"/>
    <d v="2025-10-30T00:00:00"/>
    <x v="4"/>
    <x v="0"/>
    <s v="Inactive"/>
    <n v="3000"/>
    <x v="0"/>
    <s v="High Risk"/>
    <s v="Dec-2025"/>
  </r>
  <r>
    <n v="10947"/>
    <n v="44"/>
    <x v="0"/>
    <x v="0"/>
    <x v="406"/>
    <d v="2025-10-19T00:00:00"/>
    <x v="0"/>
    <x v="0"/>
    <s v="Inactive"/>
    <n v="1200"/>
    <x v="1"/>
    <s v="High Risk"/>
    <s v="Jul-2024"/>
  </r>
  <r>
    <n v="10948"/>
    <n v="35"/>
    <x v="0"/>
    <x v="0"/>
    <x v="575"/>
    <d v="2026-01-01T00:00:00"/>
    <x v="0"/>
    <x v="0"/>
    <s v="Active"/>
    <n v="1200"/>
    <x v="1"/>
    <s v="Safe"/>
    <s v="Oct-2024"/>
  </r>
  <r>
    <n v="10949"/>
    <n v="29"/>
    <x v="1"/>
    <x v="0"/>
    <x v="248"/>
    <d v="2025-12-18T00:00:00"/>
    <x v="0"/>
    <x v="0"/>
    <s v="Active"/>
    <n v="1200"/>
    <x v="2"/>
    <s v="Safe"/>
    <s v="Nov-2023"/>
  </r>
  <r>
    <n v="10950"/>
    <n v="18"/>
    <x v="0"/>
    <x v="2"/>
    <x v="576"/>
    <d v="2026-01-02T00:00:00"/>
    <x v="4"/>
    <x v="0"/>
    <s v="Active"/>
    <n v="3000"/>
    <x v="0"/>
    <s v="Safe"/>
    <s v="Feb-2024"/>
  </r>
  <r>
    <n v="10951"/>
    <n v="39"/>
    <x v="0"/>
    <x v="1"/>
    <x v="450"/>
    <d v="2025-12-22T00:00:00"/>
    <x v="3"/>
    <x v="0"/>
    <s v="Active"/>
    <n v="9600"/>
    <x v="1"/>
    <s v="Safe"/>
    <s v="Nov-2025"/>
  </r>
  <r>
    <n v="10952"/>
    <n v="29"/>
    <x v="0"/>
    <x v="1"/>
    <x v="489"/>
    <d v="2026-01-08T00:00:00"/>
    <x v="3"/>
    <x v="0"/>
    <s v="Active"/>
    <n v="9600"/>
    <x v="2"/>
    <s v="Safe"/>
    <s v="Jul-2023"/>
  </r>
  <r>
    <n v="10953"/>
    <n v="22"/>
    <x v="0"/>
    <x v="2"/>
    <x v="577"/>
    <d v="2025-12-19T00:00:00"/>
    <x v="5"/>
    <x v="1"/>
    <s v="Active"/>
    <n v="4500"/>
    <x v="0"/>
    <s v="Safe"/>
    <s v="Jul-2025"/>
  </r>
  <r>
    <n v="10954"/>
    <n v="44"/>
    <x v="1"/>
    <x v="1"/>
    <x v="497"/>
    <d v="2025-12-31T00:00:00"/>
    <x v="3"/>
    <x v="0"/>
    <s v="Active"/>
    <n v="9600"/>
    <x v="1"/>
    <s v="Safe"/>
    <s v="Feb-2025"/>
  </r>
  <r>
    <n v="10955"/>
    <n v="42"/>
    <x v="0"/>
    <x v="2"/>
    <x v="474"/>
    <d v="2026-01-09T00:00:00"/>
    <x v="4"/>
    <x v="0"/>
    <s v="Active"/>
    <n v="3000"/>
    <x v="1"/>
    <s v="Safe"/>
    <s v="Sep-2025"/>
  </r>
  <r>
    <n v="10956"/>
    <n v="34"/>
    <x v="0"/>
    <x v="2"/>
    <x v="472"/>
    <d v="2025-11-30T00:00:00"/>
    <x v="5"/>
    <x v="1"/>
    <s v="Inactive"/>
    <n v="4500"/>
    <x v="2"/>
    <s v="High Risk"/>
    <s v="May-2025"/>
  </r>
  <r>
    <n v="10957"/>
    <n v="33"/>
    <x v="0"/>
    <x v="2"/>
    <x v="357"/>
    <d v="2025-12-23T00:00:00"/>
    <x v="5"/>
    <x v="1"/>
    <s v="Active"/>
    <n v="4500"/>
    <x v="2"/>
    <s v="Safe"/>
    <s v="Dec-2024"/>
  </r>
  <r>
    <n v="10958"/>
    <n v="32"/>
    <x v="0"/>
    <x v="2"/>
    <x v="55"/>
    <d v="2025-12-20T00:00:00"/>
    <x v="5"/>
    <x v="1"/>
    <s v="Active"/>
    <n v="4500"/>
    <x v="2"/>
    <s v="Safe"/>
    <s v="Nov-2024"/>
  </r>
  <r>
    <n v="10959"/>
    <n v="40"/>
    <x v="0"/>
    <x v="1"/>
    <x v="567"/>
    <d v="2025-12-17T00:00:00"/>
    <x v="3"/>
    <x v="0"/>
    <s v="Active"/>
    <n v="9600"/>
    <x v="1"/>
    <s v="Safe"/>
    <s v="Oct-2025"/>
  </r>
  <r>
    <n v="10960"/>
    <n v="32"/>
    <x v="0"/>
    <x v="0"/>
    <x v="90"/>
    <d v="2026-01-05T00:00:00"/>
    <x v="2"/>
    <x v="1"/>
    <s v="Active"/>
    <n v="1700"/>
    <x v="2"/>
    <s v="Safe"/>
    <s v="Dec-2023"/>
  </r>
  <r>
    <n v="10961"/>
    <n v="22"/>
    <x v="1"/>
    <x v="1"/>
    <x v="333"/>
    <d v="2025-12-20T00:00:00"/>
    <x v="1"/>
    <x v="1"/>
    <s v="Active"/>
    <n v="15600"/>
    <x v="0"/>
    <s v="Safe"/>
    <s v="Oct-2025"/>
  </r>
  <r>
    <n v="10962"/>
    <n v="38"/>
    <x v="0"/>
    <x v="2"/>
    <x v="578"/>
    <d v="2025-09-19T00:00:00"/>
    <x v="5"/>
    <x v="1"/>
    <s v="Inactive"/>
    <n v="4500"/>
    <x v="1"/>
    <s v="High Risk"/>
    <s v="Sep-2023"/>
  </r>
  <r>
    <n v="10963"/>
    <n v="31"/>
    <x v="0"/>
    <x v="0"/>
    <x v="414"/>
    <d v="2026-01-03T00:00:00"/>
    <x v="0"/>
    <x v="0"/>
    <s v="Active"/>
    <n v="1200"/>
    <x v="2"/>
    <s v="Safe"/>
    <s v="Jul-2024"/>
  </r>
  <r>
    <n v="10964"/>
    <n v="19"/>
    <x v="0"/>
    <x v="0"/>
    <x v="579"/>
    <d v="2025-12-21T00:00:00"/>
    <x v="0"/>
    <x v="0"/>
    <s v="Active"/>
    <n v="1200"/>
    <x v="0"/>
    <s v="Safe"/>
    <s v="Oct-2024"/>
  </r>
  <r>
    <n v="10965"/>
    <n v="28"/>
    <x v="0"/>
    <x v="0"/>
    <x v="174"/>
    <d v="2025-12-17T00:00:00"/>
    <x v="2"/>
    <x v="1"/>
    <s v="Active"/>
    <n v="1700"/>
    <x v="2"/>
    <s v="Safe"/>
    <s v="Nov-2024"/>
  </r>
  <r>
    <n v="10966"/>
    <n v="36"/>
    <x v="0"/>
    <x v="2"/>
    <x v="490"/>
    <d v="2025-12-23T00:00:00"/>
    <x v="5"/>
    <x v="1"/>
    <s v="Active"/>
    <n v="4500"/>
    <x v="1"/>
    <s v="Safe"/>
    <s v="Jul-2024"/>
  </r>
  <r>
    <n v="10967"/>
    <n v="24"/>
    <x v="1"/>
    <x v="1"/>
    <x v="580"/>
    <d v="2025-10-28T00:00:00"/>
    <x v="1"/>
    <x v="1"/>
    <s v="Inactive"/>
    <n v="15600"/>
    <x v="0"/>
    <s v="High Risk"/>
    <s v="Aug-2025"/>
  </r>
  <r>
    <n v="10968"/>
    <n v="23"/>
    <x v="1"/>
    <x v="0"/>
    <x v="84"/>
    <d v="2025-12-20T00:00:00"/>
    <x v="0"/>
    <x v="0"/>
    <s v="Active"/>
    <n v="1200"/>
    <x v="0"/>
    <s v="Safe"/>
    <s v="Oct-2023"/>
  </r>
  <r>
    <n v="10969"/>
    <n v="45"/>
    <x v="0"/>
    <x v="1"/>
    <x v="568"/>
    <d v="2026-01-01T00:00:00"/>
    <x v="3"/>
    <x v="0"/>
    <s v="Active"/>
    <n v="9600"/>
    <x v="1"/>
    <s v="Safe"/>
    <s v="Nov-2024"/>
  </r>
  <r>
    <n v="10970"/>
    <n v="19"/>
    <x v="1"/>
    <x v="1"/>
    <x v="478"/>
    <d v="2026-01-03T00:00:00"/>
    <x v="3"/>
    <x v="0"/>
    <s v="Active"/>
    <n v="9600"/>
    <x v="0"/>
    <s v="Safe"/>
    <s v="May-2025"/>
  </r>
  <r>
    <n v="10971"/>
    <n v="23"/>
    <x v="1"/>
    <x v="0"/>
    <x v="231"/>
    <d v="2025-12-21T00:00:00"/>
    <x v="2"/>
    <x v="1"/>
    <s v="Active"/>
    <n v="1700"/>
    <x v="0"/>
    <s v="Safe"/>
    <s v="Aug-2025"/>
  </r>
  <r>
    <n v="10972"/>
    <n v="35"/>
    <x v="1"/>
    <x v="1"/>
    <x v="461"/>
    <d v="2025-11-08T00:00:00"/>
    <x v="3"/>
    <x v="0"/>
    <s v="Inactive"/>
    <n v="9600"/>
    <x v="1"/>
    <s v="High Risk"/>
    <s v="Aug-2023"/>
  </r>
  <r>
    <n v="10973"/>
    <n v="19"/>
    <x v="0"/>
    <x v="1"/>
    <x v="181"/>
    <d v="2025-10-11T00:00:00"/>
    <x v="3"/>
    <x v="0"/>
    <s v="Inactive"/>
    <n v="9600"/>
    <x v="0"/>
    <s v="High Risk"/>
    <s v="Jun-2024"/>
  </r>
  <r>
    <n v="10974"/>
    <n v="35"/>
    <x v="1"/>
    <x v="2"/>
    <x v="181"/>
    <d v="2025-12-19T00:00:00"/>
    <x v="5"/>
    <x v="1"/>
    <s v="Active"/>
    <n v="4500"/>
    <x v="1"/>
    <s v="Safe"/>
    <s v="Jun-2024"/>
  </r>
  <r>
    <n v="10975"/>
    <n v="32"/>
    <x v="0"/>
    <x v="1"/>
    <x v="581"/>
    <d v="2026-01-05T00:00:00"/>
    <x v="1"/>
    <x v="1"/>
    <s v="Active"/>
    <n v="15600"/>
    <x v="2"/>
    <s v="Safe"/>
    <s v="Feb-2025"/>
  </r>
  <r>
    <n v="10976"/>
    <n v="44"/>
    <x v="1"/>
    <x v="1"/>
    <x v="261"/>
    <d v="2025-12-19T00:00:00"/>
    <x v="3"/>
    <x v="0"/>
    <s v="Active"/>
    <n v="9600"/>
    <x v="1"/>
    <s v="Safe"/>
    <s v="Jul-2024"/>
  </r>
  <r>
    <n v="10977"/>
    <n v="36"/>
    <x v="0"/>
    <x v="2"/>
    <x v="132"/>
    <d v="2026-01-04T00:00:00"/>
    <x v="4"/>
    <x v="0"/>
    <s v="Active"/>
    <n v="3000"/>
    <x v="1"/>
    <s v="Safe"/>
    <s v="Sep-2024"/>
  </r>
  <r>
    <n v="10978"/>
    <n v="19"/>
    <x v="0"/>
    <x v="0"/>
    <x v="29"/>
    <d v="2025-11-28T00:00:00"/>
    <x v="0"/>
    <x v="0"/>
    <s v="Inactive"/>
    <n v="1200"/>
    <x v="0"/>
    <s v="High Risk"/>
    <s v="May-2024"/>
  </r>
  <r>
    <n v="10979"/>
    <n v="37"/>
    <x v="1"/>
    <x v="1"/>
    <x v="81"/>
    <d v="2025-12-24T00:00:00"/>
    <x v="3"/>
    <x v="0"/>
    <s v="Active"/>
    <n v="9600"/>
    <x v="1"/>
    <s v="Safe"/>
    <s v="Apr-2024"/>
  </r>
  <r>
    <n v="10980"/>
    <n v="42"/>
    <x v="0"/>
    <x v="2"/>
    <x v="254"/>
    <d v="2025-09-17T00:00:00"/>
    <x v="4"/>
    <x v="0"/>
    <s v="Inactive"/>
    <n v="3000"/>
    <x v="1"/>
    <s v="High Risk"/>
    <s v="Oct-2025"/>
  </r>
  <r>
    <n v="10981"/>
    <n v="23"/>
    <x v="1"/>
    <x v="2"/>
    <x v="502"/>
    <d v="2026-01-06T00:00:00"/>
    <x v="5"/>
    <x v="1"/>
    <s v="Active"/>
    <n v="4500"/>
    <x v="0"/>
    <s v="Safe"/>
    <s v="Dec-2023"/>
  </r>
  <r>
    <n v="10982"/>
    <n v="18"/>
    <x v="1"/>
    <x v="0"/>
    <x v="215"/>
    <d v="2026-01-07T00:00:00"/>
    <x v="0"/>
    <x v="0"/>
    <s v="Active"/>
    <n v="1200"/>
    <x v="0"/>
    <s v="Safe"/>
    <s v="Mar-2025"/>
  </r>
  <r>
    <n v="10983"/>
    <n v="41"/>
    <x v="0"/>
    <x v="1"/>
    <x v="219"/>
    <d v="2026-01-07T00:00:00"/>
    <x v="3"/>
    <x v="0"/>
    <s v="Active"/>
    <n v="9600"/>
    <x v="1"/>
    <s v="Safe"/>
    <s v="Aug-2024"/>
  </r>
  <r>
    <n v="10984"/>
    <n v="32"/>
    <x v="0"/>
    <x v="0"/>
    <x v="272"/>
    <d v="2025-12-08T00:00:00"/>
    <x v="2"/>
    <x v="1"/>
    <s v="Inactive"/>
    <n v="1700"/>
    <x v="2"/>
    <s v="High Risk"/>
    <s v="Aug-2025"/>
  </r>
  <r>
    <n v="10985"/>
    <n v="45"/>
    <x v="0"/>
    <x v="1"/>
    <x v="305"/>
    <d v="2025-12-30T00:00:00"/>
    <x v="3"/>
    <x v="0"/>
    <s v="Active"/>
    <n v="9600"/>
    <x v="1"/>
    <s v="Safe"/>
    <s v="Oct-2025"/>
  </r>
  <r>
    <n v="10986"/>
    <n v="40"/>
    <x v="0"/>
    <x v="0"/>
    <x v="148"/>
    <d v="2025-12-04T00:00:00"/>
    <x v="2"/>
    <x v="1"/>
    <s v="Inactive"/>
    <n v="1700"/>
    <x v="1"/>
    <s v="High Risk"/>
    <s v="Dec-2024"/>
  </r>
  <r>
    <n v="10987"/>
    <n v="27"/>
    <x v="0"/>
    <x v="0"/>
    <x v="425"/>
    <d v="2025-12-21T00:00:00"/>
    <x v="2"/>
    <x v="1"/>
    <s v="Active"/>
    <n v="1700"/>
    <x v="2"/>
    <s v="Safe"/>
    <s v="Aug-2023"/>
  </r>
  <r>
    <n v="10988"/>
    <n v="36"/>
    <x v="1"/>
    <x v="0"/>
    <x v="582"/>
    <d v="2026-01-07T00:00:00"/>
    <x v="0"/>
    <x v="0"/>
    <s v="Active"/>
    <n v="1200"/>
    <x v="1"/>
    <s v="Safe"/>
    <s v="Oct-2025"/>
  </r>
  <r>
    <n v="10989"/>
    <n v="34"/>
    <x v="0"/>
    <x v="0"/>
    <x v="92"/>
    <d v="2025-11-20T00:00:00"/>
    <x v="0"/>
    <x v="0"/>
    <s v="Inactive"/>
    <n v="1200"/>
    <x v="2"/>
    <s v="High Risk"/>
    <s v="Sep-2023"/>
  </r>
  <r>
    <n v="10990"/>
    <n v="22"/>
    <x v="0"/>
    <x v="2"/>
    <x v="15"/>
    <d v="2025-12-23T00:00:00"/>
    <x v="4"/>
    <x v="0"/>
    <s v="Active"/>
    <n v="3000"/>
    <x v="0"/>
    <s v="Safe"/>
    <s v="Sep-2025"/>
  </r>
  <r>
    <n v="10991"/>
    <n v="21"/>
    <x v="1"/>
    <x v="1"/>
    <x v="482"/>
    <d v="2026-01-03T00:00:00"/>
    <x v="1"/>
    <x v="1"/>
    <s v="Active"/>
    <n v="15600"/>
    <x v="0"/>
    <s v="Safe"/>
    <s v="May-2025"/>
  </r>
  <r>
    <n v="10992"/>
    <n v="27"/>
    <x v="0"/>
    <x v="1"/>
    <x v="30"/>
    <d v="2025-12-31T00:00:00"/>
    <x v="3"/>
    <x v="0"/>
    <s v="Active"/>
    <n v="9600"/>
    <x v="2"/>
    <s v="Safe"/>
    <s v="Nov-2023"/>
  </r>
  <r>
    <n v="10993"/>
    <n v="41"/>
    <x v="0"/>
    <x v="0"/>
    <x v="366"/>
    <d v="2026-01-01T00:00:00"/>
    <x v="0"/>
    <x v="0"/>
    <s v="Active"/>
    <n v="1200"/>
    <x v="1"/>
    <s v="Safe"/>
    <s v="Jun-2025"/>
  </r>
  <r>
    <n v="10994"/>
    <n v="34"/>
    <x v="1"/>
    <x v="0"/>
    <x v="491"/>
    <d v="2025-09-18T00:00:00"/>
    <x v="0"/>
    <x v="0"/>
    <s v="Inactive"/>
    <n v="1200"/>
    <x v="2"/>
    <s v="High Risk"/>
    <s v="May-2025"/>
  </r>
  <r>
    <n v="10995"/>
    <n v="27"/>
    <x v="0"/>
    <x v="1"/>
    <x v="311"/>
    <d v="2025-12-26T00:00:00"/>
    <x v="3"/>
    <x v="0"/>
    <s v="Active"/>
    <n v="9600"/>
    <x v="2"/>
    <s v="Safe"/>
    <s v="Aug-2023"/>
  </r>
  <r>
    <n v="10996"/>
    <n v="34"/>
    <x v="1"/>
    <x v="1"/>
    <x v="450"/>
    <d v="2025-12-19T00:00:00"/>
    <x v="3"/>
    <x v="0"/>
    <s v="Active"/>
    <n v="9600"/>
    <x v="2"/>
    <s v="Safe"/>
    <s v="Nov-2025"/>
  </r>
  <r>
    <n v="10997"/>
    <n v="45"/>
    <x v="1"/>
    <x v="2"/>
    <x v="583"/>
    <d v="2025-12-19T00:00:00"/>
    <x v="5"/>
    <x v="1"/>
    <s v="Active"/>
    <n v="4500"/>
    <x v="1"/>
    <s v="Safe"/>
    <s v="Sep-2025"/>
  </r>
  <r>
    <n v="10998"/>
    <n v="37"/>
    <x v="1"/>
    <x v="2"/>
    <x v="304"/>
    <d v="2026-01-09T00:00:00"/>
    <x v="4"/>
    <x v="0"/>
    <s v="Active"/>
    <n v="3000"/>
    <x v="1"/>
    <s v="Safe"/>
    <s v="Jan-2025"/>
  </r>
  <r>
    <n v="10999"/>
    <n v="41"/>
    <x v="0"/>
    <x v="0"/>
    <x v="487"/>
    <d v="2026-01-03T00:00:00"/>
    <x v="2"/>
    <x v="1"/>
    <s v="Active"/>
    <n v="1700"/>
    <x v="1"/>
    <s v="Safe"/>
    <s v="May-2025"/>
  </r>
  <r>
    <n v="11000"/>
    <n v="22"/>
    <x v="0"/>
    <x v="1"/>
    <x v="351"/>
    <d v="2026-01-09T00:00:00"/>
    <x v="1"/>
    <x v="1"/>
    <s v="Active"/>
    <n v="15600"/>
    <x v="0"/>
    <s v="Safe"/>
    <s v="Mar-2024"/>
  </r>
  <r>
    <n v="11001"/>
    <n v="19"/>
    <x v="0"/>
    <x v="2"/>
    <x v="1"/>
    <d v="2026-01-03T00:00:00"/>
    <x v="4"/>
    <x v="0"/>
    <s v="Active"/>
    <n v="3000"/>
    <x v="0"/>
    <s v="Safe"/>
    <s v="Jul-2025"/>
  </r>
  <r>
    <n v="11002"/>
    <n v="23"/>
    <x v="1"/>
    <x v="0"/>
    <x v="19"/>
    <d v="2025-12-31T00:00:00"/>
    <x v="0"/>
    <x v="0"/>
    <s v="Active"/>
    <n v="1200"/>
    <x v="0"/>
    <s v="Safe"/>
    <s v="Dec-2024"/>
  </r>
  <r>
    <n v="11003"/>
    <n v="38"/>
    <x v="1"/>
    <x v="0"/>
    <x v="374"/>
    <d v="2025-10-11T00:00:00"/>
    <x v="2"/>
    <x v="1"/>
    <s v="Inactive"/>
    <n v="1700"/>
    <x v="1"/>
    <s v="High Risk"/>
    <s v="Jun-2024"/>
  </r>
  <r>
    <n v="11004"/>
    <n v="19"/>
    <x v="0"/>
    <x v="1"/>
    <x v="398"/>
    <d v="2025-11-08T00:00:00"/>
    <x v="3"/>
    <x v="0"/>
    <s v="Inactive"/>
    <n v="9600"/>
    <x v="0"/>
    <s v="High Risk"/>
    <s v="Sep-2024"/>
  </r>
  <r>
    <n v="11005"/>
    <n v="30"/>
    <x v="0"/>
    <x v="0"/>
    <x v="584"/>
    <d v="2025-10-19T00:00:00"/>
    <x v="2"/>
    <x v="1"/>
    <s v="Inactive"/>
    <n v="1700"/>
    <x v="2"/>
    <s v="High Risk"/>
    <s v="Dec-2024"/>
  </r>
  <r>
    <n v="11006"/>
    <n v="28"/>
    <x v="0"/>
    <x v="0"/>
    <x v="585"/>
    <d v="2025-12-23T00:00:00"/>
    <x v="0"/>
    <x v="0"/>
    <s v="Active"/>
    <n v="1200"/>
    <x v="2"/>
    <s v="Safe"/>
    <s v="Feb-2025"/>
  </r>
  <r>
    <n v="11007"/>
    <n v="28"/>
    <x v="0"/>
    <x v="2"/>
    <x v="586"/>
    <d v="2026-01-03T00:00:00"/>
    <x v="4"/>
    <x v="0"/>
    <s v="Active"/>
    <n v="3000"/>
    <x v="2"/>
    <s v="Safe"/>
    <s v="Jul-2025"/>
  </r>
  <r>
    <n v="11008"/>
    <n v="33"/>
    <x v="1"/>
    <x v="0"/>
    <x v="587"/>
    <d v="2025-12-20T00:00:00"/>
    <x v="0"/>
    <x v="0"/>
    <s v="Active"/>
    <n v="1200"/>
    <x v="2"/>
    <s v="Safe"/>
    <s v="Jul-2024"/>
  </r>
  <r>
    <n v="11009"/>
    <n v="28"/>
    <x v="0"/>
    <x v="0"/>
    <x v="588"/>
    <d v="2025-11-03T00:00:00"/>
    <x v="2"/>
    <x v="1"/>
    <s v="Inactive"/>
    <n v="1700"/>
    <x v="2"/>
    <s v="High Risk"/>
    <s v="Nov-2025"/>
  </r>
  <r>
    <n v="11010"/>
    <n v="36"/>
    <x v="1"/>
    <x v="1"/>
    <x v="433"/>
    <d v="2025-12-06T00:00:00"/>
    <x v="3"/>
    <x v="0"/>
    <s v="Inactive"/>
    <n v="9600"/>
    <x v="1"/>
    <s v="High Risk"/>
    <s v="Jul-2025"/>
  </r>
  <r>
    <n v="11011"/>
    <n v="32"/>
    <x v="1"/>
    <x v="1"/>
    <x v="134"/>
    <d v="2025-11-20T00:00:00"/>
    <x v="3"/>
    <x v="0"/>
    <s v="Inactive"/>
    <n v="9600"/>
    <x v="2"/>
    <s v="High Risk"/>
    <s v="Jul-2024"/>
  </r>
  <r>
    <n v="11012"/>
    <n v="42"/>
    <x v="0"/>
    <x v="1"/>
    <x v="439"/>
    <d v="2025-12-01T00:00:00"/>
    <x v="3"/>
    <x v="0"/>
    <s v="Inactive"/>
    <n v="9600"/>
    <x v="1"/>
    <s v="High Risk"/>
    <s v="Apr-2025"/>
  </r>
  <r>
    <n v="11013"/>
    <n v="40"/>
    <x v="0"/>
    <x v="1"/>
    <x v="36"/>
    <d v="2025-10-27T00:00:00"/>
    <x v="3"/>
    <x v="0"/>
    <s v="Inactive"/>
    <n v="9600"/>
    <x v="1"/>
    <s v="High Risk"/>
    <s v="Aug-2023"/>
  </r>
  <r>
    <n v="11014"/>
    <n v="40"/>
    <x v="0"/>
    <x v="2"/>
    <x v="182"/>
    <d v="2025-12-25T00:00:00"/>
    <x v="4"/>
    <x v="0"/>
    <s v="Active"/>
    <n v="3000"/>
    <x v="1"/>
    <s v="Safe"/>
    <s v="Jun-2025"/>
  </r>
  <r>
    <n v="11015"/>
    <n v="33"/>
    <x v="0"/>
    <x v="1"/>
    <x v="120"/>
    <d v="2025-12-27T00:00:00"/>
    <x v="1"/>
    <x v="1"/>
    <s v="Active"/>
    <n v="15600"/>
    <x v="2"/>
    <s v="Safe"/>
    <s v="Feb-2025"/>
  </r>
  <r>
    <n v="11016"/>
    <n v="28"/>
    <x v="1"/>
    <x v="0"/>
    <x v="589"/>
    <d v="2025-12-29T00:00:00"/>
    <x v="0"/>
    <x v="0"/>
    <s v="Active"/>
    <n v="1200"/>
    <x v="2"/>
    <s v="Safe"/>
    <s v="Oct-2024"/>
  </r>
  <r>
    <n v="11017"/>
    <n v="39"/>
    <x v="1"/>
    <x v="2"/>
    <x v="63"/>
    <d v="2025-12-29T00:00:00"/>
    <x v="4"/>
    <x v="0"/>
    <s v="Active"/>
    <n v="3000"/>
    <x v="1"/>
    <s v="Safe"/>
    <s v="Jan-2025"/>
  </r>
  <r>
    <n v="11018"/>
    <n v="33"/>
    <x v="1"/>
    <x v="1"/>
    <x v="321"/>
    <d v="2025-11-02T00:00:00"/>
    <x v="1"/>
    <x v="1"/>
    <s v="Inactive"/>
    <n v="15600"/>
    <x v="2"/>
    <s v="High Risk"/>
    <s v="Jan-2025"/>
  </r>
  <r>
    <n v="11019"/>
    <n v="25"/>
    <x v="0"/>
    <x v="0"/>
    <x v="202"/>
    <d v="2025-12-18T00:00:00"/>
    <x v="0"/>
    <x v="0"/>
    <s v="Active"/>
    <n v="1200"/>
    <x v="2"/>
    <s v="Safe"/>
    <s v="Apr-2025"/>
  </r>
  <r>
    <n v="11020"/>
    <n v="21"/>
    <x v="0"/>
    <x v="0"/>
    <x v="566"/>
    <d v="2025-12-24T00:00:00"/>
    <x v="2"/>
    <x v="1"/>
    <s v="Active"/>
    <n v="1700"/>
    <x v="0"/>
    <s v="Safe"/>
    <s v="Dec-2024"/>
  </r>
  <r>
    <n v="11021"/>
    <n v="25"/>
    <x v="1"/>
    <x v="2"/>
    <x v="551"/>
    <d v="2026-01-10T00:00:00"/>
    <x v="4"/>
    <x v="0"/>
    <s v="Active"/>
    <n v="3000"/>
    <x v="2"/>
    <s v="Safe"/>
    <s v="Aug-2025"/>
  </r>
  <r>
    <n v="11022"/>
    <n v="21"/>
    <x v="0"/>
    <x v="0"/>
    <x v="131"/>
    <d v="2025-11-28T00:00:00"/>
    <x v="0"/>
    <x v="0"/>
    <s v="Inactive"/>
    <n v="1200"/>
    <x v="0"/>
    <s v="High Risk"/>
    <s v="Oct-2023"/>
  </r>
  <r>
    <n v="11023"/>
    <n v="41"/>
    <x v="0"/>
    <x v="0"/>
    <x v="137"/>
    <d v="2025-12-29T00:00:00"/>
    <x v="2"/>
    <x v="1"/>
    <s v="Active"/>
    <n v="1700"/>
    <x v="1"/>
    <s v="Safe"/>
    <s v="Apr-2025"/>
  </r>
  <r>
    <n v="11024"/>
    <n v="42"/>
    <x v="0"/>
    <x v="1"/>
    <x v="590"/>
    <d v="2025-11-18T00:00:00"/>
    <x v="3"/>
    <x v="0"/>
    <s v="Inactive"/>
    <n v="9600"/>
    <x v="1"/>
    <s v="High Risk"/>
    <s v="Oct-2025"/>
  </r>
  <r>
    <n v="11025"/>
    <n v="20"/>
    <x v="0"/>
    <x v="1"/>
    <x v="203"/>
    <d v="2026-01-02T00:00:00"/>
    <x v="1"/>
    <x v="1"/>
    <s v="Active"/>
    <n v="15600"/>
    <x v="0"/>
    <s v="Safe"/>
    <s v="Jan-2025"/>
  </r>
  <r>
    <n v="11026"/>
    <n v="20"/>
    <x v="0"/>
    <x v="0"/>
    <x v="591"/>
    <d v="2026-01-02T00:00:00"/>
    <x v="0"/>
    <x v="0"/>
    <s v="Active"/>
    <n v="1200"/>
    <x v="0"/>
    <s v="Safe"/>
    <s v="Dec-2023"/>
  </r>
  <r>
    <n v="11027"/>
    <n v="44"/>
    <x v="0"/>
    <x v="0"/>
    <x v="592"/>
    <d v="2026-01-09T00:00:00"/>
    <x v="2"/>
    <x v="1"/>
    <s v="Active"/>
    <n v="1700"/>
    <x v="1"/>
    <s v="Safe"/>
    <s v="Dec-2023"/>
  </r>
  <r>
    <n v="11028"/>
    <n v="35"/>
    <x v="1"/>
    <x v="0"/>
    <x v="593"/>
    <d v="2026-01-07T00:00:00"/>
    <x v="0"/>
    <x v="0"/>
    <s v="Active"/>
    <n v="1200"/>
    <x v="1"/>
    <s v="Safe"/>
    <s v="Jul-2025"/>
  </r>
  <r>
    <n v="11029"/>
    <n v="43"/>
    <x v="0"/>
    <x v="1"/>
    <x v="594"/>
    <d v="2026-01-04T00:00:00"/>
    <x v="1"/>
    <x v="1"/>
    <s v="Active"/>
    <n v="15600"/>
    <x v="1"/>
    <s v="Safe"/>
    <s v="Nov-2024"/>
  </r>
  <r>
    <n v="11030"/>
    <n v="36"/>
    <x v="0"/>
    <x v="2"/>
    <x v="519"/>
    <d v="2025-09-28T00:00:00"/>
    <x v="4"/>
    <x v="0"/>
    <s v="Inactive"/>
    <n v="3000"/>
    <x v="1"/>
    <s v="High Risk"/>
    <s v="Nov-2023"/>
  </r>
  <r>
    <n v="11031"/>
    <n v="36"/>
    <x v="0"/>
    <x v="0"/>
    <x v="148"/>
    <d v="2025-11-30T00:00:00"/>
    <x v="0"/>
    <x v="0"/>
    <s v="Inactive"/>
    <n v="1200"/>
    <x v="1"/>
    <s v="High Risk"/>
    <s v="Dec-2024"/>
  </r>
  <r>
    <n v="11032"/>
    <n v="38"/>
    <x v="1"/>
    <x v="2"/>
    <x v="595"/>
    <d v="2025-12-27T00:00:00"/>
    <x v="5"/>
    <x v="1"/>
    <s v="Active"/>
    <n v="4500"/>
    <x v="1"/>
    <s v="Safe"/>
    <s v="Oct-2023"/>
  </r>
  <r>
    <n v="11033"/>
    <n v="22"/>
    <x v="0"/>
    <x v="0"/>
    <x v="596"/>
    <d v="2025-12-18T00:00:00"/>
    <x v="0"/>
    <x v="0"/>
    <s v="Active"/>
    <n v="1200"/>
    <x v="0"/>
    <s v="Safe"/>
    <s v="Mar-2025"/>
  </r>
  <r>
    <n v="11034"/>
    <n v="35"/>
    <x v="0"/>
    <x v="2"/>
    <x v="194"/>
    <d v="2025-11-10T00:00:00"/>
    <x v="4"/>
    <x v="0"/>
    <s v="Inactive"/>
    <n v="3000"/>
    <x v="1"/>
    <s v="High Risk"/>
    <s v="May-2025"/>
  </r>
  <r>
    <n v="11035"/>
    <n v="45"/>
    <x v="0"/>
    <x v="1"/>
    <x v="397"/>
    <d v="2026-01-09T00:00:00"/>
    <x v="3"/>
    <x v="0"/>
    <s v="Active"/>
    <n v="9600"/>
    <x v="1"/>
    <s v="Safe"/>
    <s v="Mar-2025"/>
  </r>
  <r>
    <n v="11036"/>
    <n v="27"/>
    <x v="1"/>
    <x v="2"/>
    <x v="220"/>
    <d v="2026-01-09T00:00:00"/>
    <x v="5"/>
    <x v="1"/>
    <s v="Active"/>
    <n v="4500"/>
    <x v="2"/>
    <s v="Safe"/>
    <s v="Aug-2023"/>
  </r>
  <r>
    <n v="11037"/>
    <n v="39"/>
    <x v="0"/>
    <x v="2"/>
    <x v="70"/>
    <d v="2025-10-02T00:00:00"/>
    <x v="4"/>
    <x v="0"/>
    <s v="Inactive"/>
    <n v="3000"/>
    <x v="1"/>
    <s v="High Risk"/>
    <s v="Apr-2024"/>
  </r>
  <r>
    <n v="11038"/>
    <n v="38"/>
    <x v="1"/>
    <x v="0"/>
    <x v="325"/>
    <d v="2026-01-01T00:00:00"/>
    <x v="2"/>
    <x v="1"/>
    <s v="Active"/>
    <n v="1700"/>
    <x v="1"/>
    <s v="Safe"/>
    <s v="Dec-2023"/>
  </r>
  <r>
    <n v="11039"/>
    <n v="23"/>
    <x v="1"/>
    <x v="2"/>
    <x v="597"/>
    <d v="2026-01-09T00:00:00"/>
    <x v="5"/>
    <x v="1"/>
    <s v="Active"/>
    <n v="4500"/>
    <x v="0"/>
    <s v="Safe"/>
    <s v="Aug-2024"/>
  </r>
  <r>
    <n v="11040"/>
    <n v="18"/>
    <x v="0"/>
    <x v="2"/>
    <x v="458"/>
    <d v="2026-01-04T00:00:00"/>
    <x v="4"/>
    <x v="0"/>
    <s v="Active"/>
    <n v="3000"/>
    <x v="0"/>
    <s v="Safe"/>
    <s v="Jun-2024"/>
  </r>
  <r>
    <n v="11041"/>
    <n v="22"/>
    <x v="1"/>
    <x v="0"/>
    <x v="362"/>
    <d v="2025-12-17T00:00:00"/>
    <x v="2"/>
    <x v="1"/>
    <s v="Active"/>
    <n v="1700"/>
    <x v="0"/>
    <s v="Safe"/>
    <s v="Jun-2024"/>
  </r>
  <r>
    <n v="11042"/>
    <n v="26"/>
    <x v="0"/>
    <x v="2"/>
    <x v="78"/>
    <d v="2025-10-05T00:00:00"/>
    <x v="5"/>
    <x v="1"/>
    <s v="Inactive"/>
    <n v="4500"/>
    <x v="2"/>
    <s v="High Risk"/>
    <s v="Nov-2023"/>
  </r>
  <r>
    <n v="11043"/>
    <n v="29"/>
    <x v="1"/>
    <x v="0"/>
    <x v="490"/>
    <d v="2025-09-20T00:00:00"/>
    <x v="2"/>
    <x v="1"/>
    <s v="Inactive"/>
    <n v="1700"/>
    <x v="2"/>
    <s v="High Risk"/>
    <s v="Jul-2024"/>
  </r>
  <r>
    <n v="11044"/>
    <n v="43"/>
    <x v="0"/>
    <x v="1"/>
    <x v="517"/>
    <d v="2025-12-18T00:00:00"/>
    <x v="1"/>
    <x v="1"/>
    <s v="Active"/>
    <n v="15600"/>
    <x v="1"/>
    <s v="Safe"/>
    <s v="Mar-2024"/>
  </r>
  <r>
    <n v="11045"/>
    <n v="31"/>
    <x v="1"/>
    <x v="0"/>
    <x v="598"/>
    <d v="2025-12-24T00:00:00"/>
    <x v="2"/>
    <x v="1"/>
    <s v="Active"/>
    <n v="1700"/>
    <x v="2"/>
    <s v="Safe"/>
    <s v="Mar-2024"/>
  </r>
  <r>
    <n v="11046"/>
    <n v="19"/>
    <x v="0"/>
    <x v="1"/>
    <x v="267"/>
    <d v="2026-01-01T00:00:00"/>
    <x v="3"/>
    <x v="0"/>
    <s v="Active"/>
    <n v="9600"/>
    <x v="0"/>
    <s v="Safe"/>
    <s v="Dec-2023"/>
  </r>
  <r>
    <n v="11047"/>
    <n v="34"/>
    <x v="0"/>
    <x v="0"/>
    <x v="144"/>
    <d v="2025-12-29T00:00:00"/>
    <x v="2"/>
    <x v="1"/>
    <s v="Active"/>
    <n v="1700"/>
    <x v="2"/>
    <s v="Safe"/>
    <s v="Apr-2025"/>
  </r>
  <r>
    <n v="11048"/>
    <n v="31"/>
    <x v="0"/>
    <x v="1"/>
    <x v="599"/>
    <d v="2026-01-10T00:00:00"/>
    <x v="3"/>
    <x v="0"/>
    <s v="Active"/>
    <n v="9600"/>
    <x v="2"/>
    <s v="Safe"/>
    <s v="Sep-2025"/>
  </r>
  <r>
    <n v="11049"/>
    <n v="43"/>
    <x v="0"/>
    <x v="2"/>
    <x v="420"/>
    <d v="2026-01-08T00:00:00"/>
    <x v="5"/>
    <x v="1"/>
    <s v="Active"/>
    <n v="4500"/>
    <x v="1"/>
    <s v="Safe"/>
    <s v="May-2024"/>
  </r>
  <r>
    <n v="11050"/>
    <n v="30"/>
    <x v="0"/>
    <x v="1"/>
    <x v="481"/>
    <d v="2025-12-25T00:00:00"/>
    <x v="3"/>
    <x v="0"/>
    <s v="Active"/>
    <n v="9600"/>
    <x v="2"/>
    <s v="Safe"/>
    <s v="Sep-2024"/>
  </r>
  <r>
    <n v="11051"/>
    <n v="44"/>
    <x v="0"/>
    <x v="0"/>
    <x v="222"/>
    <d v="2026-01-08T00:00:00"/>
    <x v="2"/>
    <x v="1"/>
    <s v="Active"/>
    <n v="1700"/>
    <x v="1"/>
    <s v="Safe"/>
    <s v="Apr-2024"/>
  </r>
  <r>
    <n v="11052"/>
    <n v="26"/>
    <x v="0"/>
    <x v="2"/>
    <x v="90"/>
    <d v="2026-01-04T00:00:00"/>
    <x v="4"/>
    <x v="0"/>
    <s v="Active"/>
    <n v="3000"/>
    <x v="2"/>
    <s v="Safe"/>
    <s v="Dec-2023"/>
  </r>
  <r>
    <n v="11053"/>
    <n v="43"/>
    <x v="0"/>
    <x v="1"/>
    <x v="102"/>
    <d v="2025-12-23T00:00:00"/>
    <x v="3"/>
    <x v="0"/>
    <s v="Active"/>
    <n v="9600"/>
    <x v="1"/>
    <s v="Safe"/>
    <s v="Sep-2023"/>
  </r>
  <r>
    <n v="11054"/>
    <n v="42"/>
    <x v="1"/>
    <x v="0"/>
    <x v="328"/>
    <d v="2026-01-09T00:00:00"/>
    <x v="2"/>
    <x v="1"/>
    <s v="Active"/>
    <n v="1700"/>
    <x v="1"/>
    <s v="Safe"/>
    <s v="Jan-2024"/>
  </r>
  <r>
    <n v="11055"/>
    <n v="32"/>
    <x v="0"/>
    <x v="0"/>
    <x v="600"/>
    <d v="2025-09-16T00:00:00"/>
    <x v="0"/>
    <x v="0"/>
    <s v="Inactive"/>
    <n v="1200"/>
    <x v="2"/>
    <s v="High Risk"/>
    <s v="Sep-2025"/>
  </r>
  <r>
    <n v="11056"/>
    <n v="42"/>
    <x v="0"/>
    <x v="2"/>
    <x v="410"/>
    <d v="2025-12-28T00:00:00"/>
    <x v="4"/>
    <x v="0"/>
    <s v="Active"/>
    <n v="3000"/>
    <x v="1"/>
    <s v="Safe"/>
    <s v="Nov-2025"/>
  </r>
  <r>
    <n v="11057"/>
    <n v="39"/>
    <x v="0"/>
    <x v="2"/>
    <x v="601"/>
    <d v="2026-01-10T00:00:00"/>
    <x v="5"/>
    <x v="1"/>
    <s v="Active"/>
    <n v="4500"/>
    <x v="1"/>
    <s v="Safe"/>
    <s v="Sep-2024"/>
  </r>
  <r>
    <n v="11058"/>
    <n v="32"/>
    <x v="0"/>
    <x v="0"/>
    <x v="602"/>
    <d v="2026-01-01T00:00:00"/>
    <x v="0"/>
    <x v="0"/>
    <s v="Active"/>
    <n v="1200"/>
    <x v="2"/>
    <s v="Safe"/>
    <s v="Nov-2024"/>
  </r>
  <r>
    <n v="11059"/>
    <n v="41"/>
    <x v="1"/>
    <x v="0"/>
    <x v="99"/>
    <d v="2025-12-23T00:00:00"/>
    <x v="0"/>
    <x v="0"/>
    <s v="Active"/>
    <n v="1200"/>
    <x v="1"/>
    <s v="Safe"/>
    <s v="Mar-2024"/>
  </r>
  <r>
    <n v="11060"/>
    <n v="28"/>
    <x v="0"/>
    <x v="0"/>
    <x v="483"/>
    <d v="2025-12-28T00:00:00"/>
    <x v="0"/>
    <x v="0"/>
    <s v="Active"/>
    <n v="1200"/>
    <x v="2"/>
    <s v="Safe"/>
    <s v="Sep-2024"/>
  </r>
  <r>
    <n v="11061"/>
    <n v="33"/>
    <x v="1"/>
    <x v="1"/>
    <x v="253"/>
    <d v="2025-10-05T00:00:00"/>
    <x v="1"/>
    <x v="1"/>
    <s v="Inactive"/>
    <n v="15600"/>
    <x v="2"/>
    <s v="High Risk"/>
    <s v="Mar-2025"/>
  </r>
  <r>
    <n v="11062"/>
    <n v="34"/>
    <x v="1"/>
    <x v="2"/>
    <x v="189"/>
    <d v="2025-12-27T00:00:00"/>
    <x v="4"/>
    <x v="0"/>
    <s v="Active"/>
    <n v="3000"/>
    <x v="2"/>
    <s v="Safe"/>
    <s v="Sep-2023"/>
  </r>
  <r>
    <n v="11063"/>
    <n v="43"/>
    <x v="1"/>
    <x v="1"/>
    <x v="227"/>
    <d v="2025-12-30T00:00:00"/>
    <x v="3"/>
    <x v="0"/>
    <s v="Active"/>
    <n v="9600"/>
    <x v="1"/>
    <s v="Safe"/>
    <s v="Jun-2024"/>
  </r>
  <r>
    <n v="11064"/>
    <n v="21"/>
    <x v="0"/>
    <x v="1"/>
    <x v="494"/>
    <d v="2025-12-21T00:00:00"/>
    <x v="3"/>
    <x v="0"/>
    <s v="Active"/>
    <n v="9600"/>
    <x v="0"/>
    <s v="Safe"/>
    <s v="Nov-2024"/>
  </r>
  <r>
    <n v="11065"/>
    <n v="18"/>
    <x v="1"/>
    <x v="2"/>
    <x v="318"/>
    <d v="2025-10-13T00:00:00"/>
    <x v="4"/>
    <x v="0"/>
    <s v="Inactive"/>
    <n v="3000"/>
    <x v="0"/>
    <s v="High Risk"/>
    <s v="Aug-2024"/>
  </r>
  <r>
    <n v="11066"/>
    <n v="25"/>
    <x v="1"/>
    <x v="0"/>
    <x v="603"/>
    <d v="2025-10-03T00:00:00"/>
    <x v="2"/>
    <x v="1"/>
    <s v="Inactive"/>
    <n v="1700"/>
    <x v="2"/>
    <s v="High Risk"/>
    <s v="Oct-2024"/>
  </r>
  <r>
    <n v="11067"/>
    <n v="34"/>
    <x v="0"/>
    <x v="0"/>
    <x v="364"/>
    <d v="2025-12-19T00:00:00"/>
    <x v="0"/>
    <x v="0"/>
    <s v="Active"/>
    <n v="1200"/>
    <x v="2"/>
    <s v="Safe"/>
    <s v="Nov-2025"/>
  </r>
  <r>
    <n v="11068"/>
    <n v="20"/>
    <x v="0"/>
    <x v="0"/>
    <x v="415"/>
    <d v="2026-01-10T00:00:00"/>
    <x v="2"/>
    <x v="1"/>
    <s v="Active"/>
    <n v="1700"/>
    <x v="0"/>
    <s v="Safe"/>
    <s v="Jun-2024"/>
  </r>
  <r>
    <n v="11069"/>
    <n v="37"/>
    <x v="0"/>
    <x v="1"/>
    <x v="604"/>
    <d v="2026-01-10T00:00:00"/>
    <x v="1"/>
    <x v="1"/>
    <s v="Active"/>
    <n v="15600"/>
    <x v="1"/>
    <s v="Safe"/>
    <s v="Apr-2025"/>
  </r>
  <r>
    <n v="11070"/>
    <n v="32"/>
    <x v="0"/>
    <x v="2"/>
    <x v="553"/>
    <d v="2025-12-19T00:00:00"/>
    <x v="4"/>
    <x v="0"/>
    <s v="Active"/>
    <n v="3000"/>
    <x v="2"/>
    <s v="Safe"/>
    <s v="Apr-2024"/>
  </r>
  <r>
    <n v="11071"/>
    <n v="32"/>
    <x v="0"/>
    <x v="0"/>
    <x v="486"/>
    <d v="2025-12-20T00:00:00"/>
    <x v="0"/>
    <x v="0"/>
    <s v="Active"/>
    <n v="1200"/>
    <x v="2"/>
    <s v="Safe"/>
    <s v="Aug-2023"/>
  </r>
  <r>
    <n v="11072"/>
    <n v="41"/>
    <x v="0"/>
    <x v="0"/>
    <x v="542"/>
    <d v="2026-01-05T00:00:00"/>
    <x v="2"/>
    <x v="1"/>
    <s v="Active"/>
    <n v="1700"/>
    <x v="1"/>
    <s v="Safe"/>
    <s v="Oct-2024"/>
  </r>
  <r>
    <n v="11073"/>
    <n v="39"/>
    <x v="0"/>
    <x v="2"/>
    <x v="415"/>
    <d v="2025-10-08T00:00:00"/>
    <x v="4"/>
    <x v="0"/>
    <s v="Inactive"/>
    <n v="3000"/>
    <x v="1"/>
    <s v="High Risk"/>
    <s v="Jun-2024"/>
  </r>
  <r>
    <n v="11074"/>
    <n v="31"/>
    <x v="0"/>
    <x v="2"/>
    <x v="554"/>
    <d v="2025-12-22T00:00:00"/>
    <x v="4"/>
    <x v="0"/>
    <s v="Active"/>
    <n v="3000"/>
    <x v="2"/>
    <s v="Safe"/>
    <s v="Jan-2024"/>
  </r>
  <r>
    <n v="11075"/>
    <n v="43"/>
    <x v="0"/>
    <x v="0"/>
    <x v="605"/>
    <d v="2026-01-02T00:00:00"/>
    <x v="0"/>
    <x v="0"/>
    <s v="Active"/>
    <n v="1200"/>
    <x v="1"/>
    <s v="Safe"/>
    <s v="Jan-2024"/>
  </r>
  <r>
    <n v="11076"/>
    <n v="45"/>
    <x v="0"/>
    <x v="1"/>
    <x v="264"/>
    <d v="2025-11-13T00:00:00"/>
    <x v="3"/>
    <x v="0"/>
    <s v="Inactive"/>
    <n v="9600"/>
    <x v="1"/>
    <s v="High Risk"/>
    <s v="Jul-2024"/>
  </r>
  <r>
    <n v="11077"/>
    <n v="40"/>
    <x v="0"/>
    <x v="2"/>
    <x v="522"/>
    <d v="2026-01-04T00:00:00"/>
    <x v="4"/>
    <x v="0"/>
    <s v="Active"/>
    <n v="3000"/>
    <x v="1"/>
    <s v="Safe"/>
    <s v="Oct-2024"/>
  </r>
  <r>
    <n v="11078"/>
    <n v="31"/>
    <x v="0"/>
    <x v="0"/>
    <x v="163"/>
    <d v="2025-09-20T00:00:00"/>
    <x v="2"/>
    <x v="1"/>
    <s v="Inactive"/>
    <n v="1700"/>
    <x v="2"/>
    <s v="High Risk"/>
    <s v="Apr-2025"/>
  </r>
  <r>
    <n v="11079"/>
    <n v="41"/>
    <x v="0"/>
    <x v="1"/>
    <x v="606"/>
    <d v="2026-01-02T00:00:00"/>
    <x v="1"/>
    <x v="1"/>
    <s v="Active"/>
    <n v="15600"/>
    <x v="1"/>
    <s v="Safe"/>
    <s v="May-2024"/>
  </r>
  <r>
    <n v="11080"/>
    <n v="19"/>
    <x v="1"/>
    <x v="0"/>
    <x v="47"/>
    <d v="2026-01-02T00:00:00"/>
    <x v="0"/>
    <x v="0"/>
    <s v="Active"/>
    <n v="1200"/>
    <x v="0"/>
    <s v="Safe"/>
    <s v="Sep-2023"/>
  </r>
  <r>
    <n v="11081"/>
    <n v="30"/>
    <x v="0"/>
    <x v="1"/>
    <x v="607"/>
    <d v="2026-01-05T00:00:00"/>
    <x v="1"/>
    <x v="1"/>
    <s v="Active"/>
    <n v="15600"/>
    <x v="2"/>
    <s v="Safe"/>
    <s v="May-2025"/>
  </r>
  <r>
    <n v="11082"/>
    <n v="43"/>
    <x v="0"/>
    <x v="1"/>
    <x v="428"/>
    <d v="2025-12-30T00:00:00"/>
    <x v="3"/>
    <x v="0"/>
    <s v="Active"/>
    <n v="9600"/>
    <x v="1"/>
    <s v="Safe"/>
    <s v="Dec-2023"/>
  </r>
  <r>
    <n v="11083"/>
    <n v="31"/>
    <x v="1"/>
    <x v="2"/>
    <x v="176"/>
    <d v="2025-12-27T00:00:00"/>
    <x v="4"/>
    <x v="0"/>
    <s v="Active"/>
    <n v="3000"/>
    <x v="2"/>
    <s v="Safe"/>
    <s v="Apr-2025"/>
  </r>
  <r>
    <n v="11084"/>
    <n v="44"/>
    <x v="0"/>
    <x v="1"/>
    <x v="608"/>
    <d v="2026-01-09T00:00:00"/>
    <x v="3"/>
    <x v="0"/>
    <s v="Active"/>
    <n v="9600"/>
    <x v="1"/>
    <s v="Safe"/>
    <s v="May-2025"/>
  </r>
  <r>
    <n v="11085"/>
    <n v="41"/>
    <x v="0"/>
    <x v="0"/>
    <x v="609"/>
    <d v="2025-10-14T00:00:00"/>
    <x v="2"/>
    <x v="1"/>
    <s v="Inactive"/>
    <n v="1700"/>
    <x v="1"/>
    <s v="High Risk"/>
    <s v="Jun-2024"/>
  </r>
  <r>
    <n v="11086"/>
    <n v="36"/>
    <x v="1"/>
    <x v="1"/>
    <x v="114"/>
    <d v="2026-01-01T00:00:00"/>
    <x v="3"/>
    <x v="0"/>
    <s v="Active"/>
    <n v="9600"/>
    <x v="1"/>
    <s v="Safe"/>
    <s v="Nov-2024"/>
  </r>
  <r>
    <n v="11087"/>
    <n v="24"/>
    <x v="1"/>
    <x v="2"/>
    <x v="610"/>
    <d v="2025-11-21T00:00:00"/>
    <x v="4"/>
    <x v="0"/>
    <s v="Inactive"/>
    <n v="3000"/>
    <x v="0"/>
    <s v="High Risk"/>
    <s v="Jan-2024"/>
  </r>
  <r>
    <n v="11088"/>
    <n v="20"/>
    <x v="0"/>
    <x v="2"/>
    <x v="359"/>
    <d v="2025-11-06T00:00:00"/>
    <x v="4"/>
    <x v="0"/>
    <s v="Inactive"/>
    <n v="3000"/>
    <x v="0"/>
    <s v="High Risk"/>
    <s v="Jul-2023"/>
  </r>
  <r>
    <n v="11089"/>
    <n v="32"/>
    <x v="0"/>
    <x v="1"/>
    <x v="611"/>
    <d v="2026-01-03T00:00:00"/>
    <x v="1"/>
    <x v="1"/>
    <s v="Active"/>
    <n v="15600"/>
    <x v="2"/>
    <s v="Safe"/>
    <s v="Feb-2024"/>
  </r>
  <r>
    <n v="11090"/>
    <n v="40"/>
    <x v="1"/>
    <x v="1"/>
    <x v="363"/>
    <d v="2026-01-04T00:00:00"/>
    <x v="3"/>
    <x v="0"/>
    <s v="Active"/>
    <n v="9600"/>
    <x v="1"/>
    <s v="Safe"/>
    <s v="Feb-2024"/>
  </r>
  <r>
    <n v="11091"/>
    <n v="31"/>
    <x v="0"/>
    <x v="1"/>
    <x v="561"/>
    <d v="2026-01-08T00:00:00"/>
    <x v="3"/>
    <x v="0"/>
    <s v="Active"/>
    <n v="9600"/>
    <x v="2"/>
    <s v="Safe"/>
    <s v="May-2025"/>
  </r>
  <r>
    <n v="11092"/>
    <n v="28"/>
    <x v="0"/>
    <x v="0"/>
    <x v="221"/>
    <d v="2025-12-22T00:00:00"/>
    <x v="0"/>
    <x v="0"/>
    <s v="Active"/>
    <n v="1200"/>
    <x v="2"/>
    <s v="Safe"/>
    <s v="Apr-2024"/>
  </r>
  <r>
    <n v="11093"/>
    <n v="32"/>
    <x v="1"/>
    <x v="1"/>
    <x v="612"/>
    <d v="2026-01-05T00:00:00"/>
    <x v="3"/>
    <x v="0"/>
    <s v="Active"/>
    <n v="9600"/>
    <x v="2"/>
    <s v="Safe"/>
    <s v="Jun-2025"/>
  </r>
  <r>
    <n v="11094"/>
    <n v="45"/>
    <x v="0"/>
    <x v="2"/>
    <x v="422"/>
    <d v="2026-01-02T00:00:00"/>
    <x v="5"/>
    <x v="1"/>
    <s v="Active"/>
    <n v="4500"/>
    <x v="1"/>
    <s v="Safe"/>
    <s v="Aug-2023"/>
  </r>
  <r>
    <n v="11095"/>
    <n v="30"/>
    <x v="0"/>
    <x v="1"/>
    <x v="196"/>
    <d v="2025-12-21T00:00:00"/>
    <x v="1"/>
    <x v="1"/>
    <s v="Active"/>
    <n v="15600"/>
    <x v="2"/>
    <s v="Safe"/>
    <s v="Aug-2024"/>
  </r>
  <r>
    <n v="11096"/>
    <n v="35"/>
    <x v="0"/>
    <x v="2"/>
    <x v="613"/>
    <d v="2026-01-01T00:00:00"/>
    <x v="4"/>
    <x v="0"/>
    <s v="Active"/>
    <n v="3000"/>
    <x v="1"/>
    <s v="Safe"/>
    <s v="Mar-2024"/>
  </r>
  <r>
    <n v="11097"/>
    <n v="43"/>
    <x v="1"/>
    <x v="0"/>
    <x v="229"/>
    <d v="2026-01-02T00:00:00"/>
    <x v="0"/>
    <x v="0"/>
    <s v="Active"/>
    <n v="1200"/>
    <x v="1"/>
    <s v="Safe"/>
    <s v="Mar-2025"/>
  </r>
  <r>
    <n v="11098"/>
    <n v="23"/>
    <x v="0"/>
    <x v="0"/>
    <x v="614"/>
    <d v="2025-12-25T00:00:00"/>
    <x v="0"/>
    <x v="0"/>
    <s v="Active"/>
    <n v="1200"/>
    <x v="0"/>
    <s v="Safe"/>
    <s v="Sep-2023"/>
  </r>
  <r>
    <n v="11099"/>
    <n v="20"/>
    <x v="0"/>
    <x v="2"/>
    <x v="462"/>
    <d v="2026-01-02T00:00:00"/>
    <x v="5"/>
    <x v="1"/>
    <s v="Active"/>
    <n v="4500"/>
    <x v="0"/>
    <s v="Safe"/>
    <s v="Apr-2025"/>
  </r>
  <r>
    <n v="11100"/>
    <n v="36"/>
    <x v="0"/>
    <x v="1"/>
    <x v="146"/>
    <d v="2025-12-21T00:00:00"/>
    <x v="1"/>
    <x v="1"/>
    <s v="Active"/>
    <n v="15600"/>
    <x v="1"/>
    <s v="Safe"/>
    <s v="Sep-2023"/>
  </r>
  <r>
    <n v="11101"/>
    <n v="32"/>
    <x v="0"/>
    <x v="0"/>
    <x v="455"/>
    <d v="2025-12-21T00:00:00"/>
    <x v="2"/>
    <x v="1"/>
    <s v="Active"/>
    <n v="1700"/>
    <x v="2"/>
    <s v="Safe"/>
    <s v="Jun-2024"/>
  </r>
  <r>
    <n v="11102"/>
    <n v="42"/>
    <x v="0"/>
    <x v="2"/>
    <x v="615"/>
    <d v="2026-01-04T00:00:00"/>
    <x v="5"/>
    <x v="1"/>
    <s v="Active"/>
    <n v="4500"/>
    <x v="1"/>
    <s v="Safe"/>
    <s v="Nov-2025"/>
  </r>
  <r>
    <n v="11103"/>
    <n v="40"/>
    <x v="1"/>
    <x v="0"/>
    <x v="37"/>
    <d v="2026-01-03T00:00:00"/>
    <x v="0"/>
    <x v="0"/>
    <s v="Active"/>
    <n v="1200"/>
    <x v="1"/>
    <s v="Safe"/>
    <s v="Jul-2024"/>
  </r>
  <r>
    <n v="11104"/>
    <n v="22"/>
    <x v="0"/>
    <x v="1"/>
    <x v="616"/>
    <d v="2025-12-19T00:00:00"/>
    <x v="3"/>
    <x v="0"/>
    <s v="Active"/>
    <n v="9600"/>
    <x v="0"/>
    <s v="Safe"/>
    <s v="Oct-2024"/>
  </r>
  <r>
    <n v="11105"/>
    <n v="45"/>
    <x v="0"/>
    <x v="2"/>
    <x v="241"/>
    <d v="2025-09-23T00:00:00"/>
    <x v="5"/>
    <x v="1"/>
    <s v="Inactive"/>
    <n v="4500"/>
    <x v="1"/>
    <s v="High Risk"/>
    <s v="Jul-2024"/>
  </r>
  <r>
    <n v="11106"/>
    <n v="27"/>
    <x v="1"/>
    <x v="0"/>
    <x v="282"/>
    <d v="2025-12-23T00:00:00"/>
    <x v="2"/>
    <x v="1"/>
    <s v="Active"/>
    <n v="1700"/>
    <x v="2"/>
    <s v="Safe"/>
    <s v="Jul-2024"/>
  </r>
  <r>
    <n v="11107"/>
    <n v="24"/>
    <x v="0"/>
    <x v="0"/>
    <x v="617"/>
    <d v="2025-12-26T00:00:00"/>
    <x v="2"/>
    <x v="1"/>
    <s v="Active"/>
    <n v="1700"/>
    <x v="0"/>
    <s v="Safe"/>
    <s v="Sep-2024"/>
  </r>
  <r>
    <n v="11108"/>
    <n v="42"/>
    <x v="1"/>
    <x v="0"/>
    <x v="339"/>
    <d v="2025-12-21T00:00:00"/>
    <x v="0"/>
    <x v="0"/>
    <s v="Active"/>
    <n v="1200"/>
    <x v="1"/>
    <s v="Safe"/>
    <s v="Jan-2024"/>
  </r>
  <r>
    <n v="11109"/>
    <n v="34"/>
    <x v="0"/>
    <x v="2"/>
    <x v="618"/>
    <d v="2025-12-27T00:00:00"/>
    <x v="5"/>
    <x v="1"/>
    <s v="Active"/>
    <n v="4500"/>
    <x v="2"/>
    <s v="Safe"/>
    <s v="Sep-2023"/>
  </r>
  <r>
    <n v="11110"/>
    <n v="24"/>
    <x v="0"/>
    <x v="0"/>
    <x v="619"/>
    <d v="2025-12-24T00:00:00"/>
    <x v="0"/>
    <x v="0"/>
    <s v="Active"/>
    <n v="1200"/>
    <x v="0"/>
    <s v="Safe"/>
    <s v="Mar-2025"/>
  </r>
  <r>
    <n v="11111"/>
    <n v="39"/>
    <x v="0"/>
    <x v="0"/>
    <x v="515"/>
    <d v="2025-12-25T00:00:00"/>
    <x v="0"/>
    <x v="0"/>
    <s v="Active"/>
    <n v="1200"/>
    <x v="1"/>
    <s v="Safe"/>
    <s v="Nov-2025"/>
  </r>
  <r>
    <n v="11112"/>
    <n v="43"/>
    <x v="1"/>
    <x v="1"/>
    <x v="75"/>
    <d v="2025-12-18T00:00:00"/>
    <x v="3"/>
    <x v="0"/>
    <s v="Active"/>
    <n v="9600"/>
    <x v="1"/>
    <s v="Safe"/>
    <s v="Sep-2025"/>
  </r>
  <r>
    <n v="11113"/>
    <n v="29"/>
    <x v="0"/>
    <x v="1"/>
    <x v="556"/>
    <d v="2026-01-09T00:00:00"/>
    <x v="3"/>
    <x v="0"/>
    <s v="Active"/>
    <n v="9600"/>
    <x v="2"/>
    <s v="Safe"/>
    <s v="Nov-2025"/>
  </r>
  <r>
    <n v="11114"/>
    <n v="42"/>
    <x v="0"/>
    <x v="2"/>
    <x v="620"/>
    <d v="2025-12-30T00:00:00"/>
    <x v="4"/>
    <x v="0"/>
    <s v="Active"/>
    <n v="3000"/>
    <x v="1"/>
    <s v="Safe"/>
    <s v="Jun-2024"/>
  </r>
  <r>
    <n v="11115"/>
    <n v="34"/>
    <x v="0"/>
    <x v="1"/>
    <x v="527"/>
    <d v="2025-12-25T00:00:00"/>
    <x v="3"/>
    <x v="0"/>
    <s v="Active"/>
    <n v="9600"/>
    <x v="2"/>
    <s v="Safe"/>
    <s v="Aug-2023"/>
  </r>
  <r>
    <n v="11116"/>
    <n v="30"/>
    <x v="0"/>
    <x v="0"/>
    <x v="621"/>
    <d v="2025-11-04T00:00:00"/>
    <x v="2"/>
    <x v="1"/>
    <s v="Inactive"/>
    <n v="1700"/>
    <x v="2"/>
    <s v="High Risk"/>
    <s v="Oct-2024"/>
  </r>
  <r>
    <n v="11117"/>
    <n v="37"/>
    <x v="0"/>
    <x v="2"/>
    <x v="359"/>
    <d v="2025-12-30T00:00:00"/>
    <x v="4"/>
    <x v="0"/>
    <s v="Active"/>
    <n v="3000"/>
    <x v="1"/>
    <s v="Safe"/>
    <s v="Jul-2023"/>
  </r>
  <r>
    <n v="11118"/>
    <n v="42"/>
    <x v="1"/>
    <x v="2"/>
    <x v="569"/>
    <d v="2025-09-20T00:00:00"/>
    <x v="4"/>
    <x v="0"/>
    <s v="Inactive"/>
    <n v="3000"/>
    <x v="1"/>
    <s v="High Risk"/>
    <s v="Dec-2023"/>
  </r>
  <r>
    <n v="11119"/>
    <n v="21"/>
    <x v="0"/>
    <x v="2"/>
    <x v="622"/>
    <d v="2026-01-09T00:00:00"/>
    <x v="5"/>
    <x v="1"/>
    <s v="Active"/>
    <n v="4500"/>
    <x v="0"/>
    <s v="Safe"/>
    <s v="Mar-2025"/>
  </r>
  <r>
    <n v="11120"/>
    <n v="27"/>
    <x v="1"/>
    <x v="0"/>
    <x v="588"/>
    <d v="2025-12-22T00:00:00"/>
    <x v="0"/>
    <x v="0"/>
    <s v="Active"/>
    <n v="1200"/>
    <x v="2"/>
    <s v="Safe"/>
    <s v="Nov-2025"/>
  </r>
  <r>
    <n v="11121"/>
    <n v="20"/>
    <x v="0"/>
    <x v="2"/>
    <x v="215"/>
    <d v="2025-12-20T00:00:00"/>
    <x v="5"/>
    <x v="1"/>
    <s v="Active"/>
    <n v="4500"/>
    <x v="0"/>
    <s v="Safe"/>
    <s v="Mar-2025"/>
  </r>
  <r>
    <n v="11122"/>
    <n v="26"/>
    <x v="0"/>
    <x v="0"/>
    <x v="496"/>
    <d v="2026-01-05T00:00:00"/>
    <x v="0"/>
    <x v="0"/>
    <s v="Active"/>
    <n v="1200"/>
    <x v="2"/>
    <s v="Safe"/>
    <s v="Nov-2025"/>
  </r>
  <r>
    <n v="11123"/>
    <n v="30"/>
    <x v="0"/>
    <x v="2"/>
    <x v="185"/>
    <d v="2025-12-27T00:00:00"/>
    <x v="4"/>
    <x v="0"/>
    <s v="Active"/>
    <n v="3000"/>
    <x v="2"/>
    <s v="Safe"/>
    <s v="Jan-2025"/>
  </r>
  <r>
    <n v="11124"/>
    <n v="35"/>
    <x v="0"/>
    <x v="0"/>
    <x v="623"/>
    <d v="2026-01-01T00:00:00"/>
    <x v="0"/>
    <x v="0"/>
    <s v="Active"/>
    <n v="1200"/>
    <x v="1"/>
    <s v="Safe"/>
    <s v="Jun-2025"/>
  </r>
  <r>
    <n v="11125"/>
    <n v="32"/>
    <x v="1"/>
    <x v="0"/>
    <x v="292"/>
    <d v="2025-11-20T00:00:00"/>
    <x v="0"/>
    <x v="0"/>
    <s v="Inactive"/>
    <n v="1200"/>
    <x v="2"/>
    <s v="High Risk"/>
    <s v="Sep-2024"/>
  </r>
  <r>
    <n v="11126"/>
    <n v="21"/>
    <x v="1"/>
    <x v="0"/>
    <x v="484"/>
    <d v="2026-01-10T00:00:00"/>
    <x v="0"/>
    <x v="0"/>
    <s v="Active"/>
    <n v="1200"/>
    <x v="0"/>
    <s v="Safe"/>
    <s v="Jun-2025"/>
  </r>
  <r>
    <n v="11127"/>
    <n v="32"/>
    <x v="0"/>
    <x v="0"/>
    <x v="624"/>
    <d v="2025-11-18T00:00:00"/>
    <x v="0"/>
    <x v="0"/>
    <s v="Inactive"/>
    <n v="1200"/>
    <x v="2"/>
    <s v="High Risk"/>
    <s v="Jun-2024"/>
  </r>
  <r>
    <n v="11128"/>
    <n v="39"/>
    <x v="0"/>
    <x v="2"/>
    <x v="246"/>
    <d v="2025-09-14T00:00:00"/>
    <x v="4"/>
    <x v="0"/>
    <s v="Inactive"/>
    <n v="3000"/>
    <x v="1"/>
    <s v="High Risk"/>
    <s v="Sep-2023"/>
  </r>
  <r>
    <n v="11129"/>
    <n v="19"/>
    <x v="0"/>
    <x v="0"/>
    <x v="57"/>
    <d v="2025-12-18T00:00:00"/>
    <x v="0"/>
    <x v="0"/>
    <s v="Active"/>
    <n v="1200"/>
    <x v="0"/>
    <s v="Safe"/>
    <s v="Mar-2024"/>
  </r>
  <r>
    <n v="11130"/>
    <n v="32"/>
    <x v="1"/>
    <x v="1"/>
    <x v="253"/>
    <d v="2025-09-19T00:00:00"/>
    <x v="3"/>
    <x v="0"/>
    <s v="Inactive"/>
    <n v="9600"/>
    <x v="2"/>
    <s v="High Risk"/>
    <s v="Mar-2025"/>
  </r>
  <r>
    <n v="11131"/>
    <n v="25"/>
    <x v="0"/>
    <x v="0"/>
    <x v="67"/>
    <d v="2025-12-27T00:00:00"/>
    <x v="0"/>
    <x v="0"/>
    <s v="Active"/>
    <n v="1200"/>
    <x v="2"/>
    <s v="Safe"/>
    <s v="Sep-2023"/>
  </r>
  <r>
    <n v="11132"/>
    <n v="25"/>
    <x v="0"/>
    <x v="0"/>
    <x v="264"/>
    <d v="2026-01-03T00:00:00"/>
    <x v="0"/>
    <x v="0"/>
    <s v="Active"/>
    <n v="1200"/>
    <x v="2"/>
    <s v="Safe"/>
    <s v="Jul-2024"/>
  </r>
  <r>
    <n v="11133"/>
    <n v="34"/>
    <x v="1"/>
    <x v="2"/>
    <x v="430"/>
    <d v="2026-01-06T00:00:00"/>
    <x v="4"/>
    <x v="0"/>
    <s v="Active"/>
    <n v="3000"/>
    <x v="2"/>
    <s v="Safe"/>
    <s v="Aug-2024"/>
  </r>
  <r>
    <n v="11134"/>
    <n v="29"/>
    <x v="0"/>
    <x v="0"/>
    <x v="487"/>
    <d v="2025-12-20T00:00:00"/>
    <x v="0"/>
    <x v="0"/>
    <s v="Active"/>
    <n v="1200"/>
    <x v="2"/>
    <s v="Safe"/>
    <s v="May-2025"/>
  </r>
  <r>
    <n v="11135"/>
    <n v="36"/>
    <x v="0"/>
    <x v="2"/>
    <x v="12"/>
    <d v="2025-12-23T00:00:00"/>
    <x v="4"/>
    <x v="0"/>
    <s v="Active"/>
    <n v="3000"/>
    <x v="1"/>
    <s v="Safe"/>
    <s v="Jun-2024"/>
  </r>
  <r>
    <n v="11136"/>
    <n v="27"/>
    <x v="0"/>
    <x v="2"/>
    <x v="555"/>
    <d v="2025-12-23T00:00:00"/>
    <x v="5"/>
    <x v="1"/>
    <s v="Active"/>
    <n v="4500"/>
    <x v="2"/>
    <s v="Safe"/>
    <s v="Dec-2024"/>
  </r>
  <r>
    <n v="11137"/>
    <n v="26"/>
    <x v="1"/>
    <x v="0"/>
    <x v="156"/>
    <d v="2025-12-27T00:00:00"/>
    <x v="0"/>
    <x v="0"/>
    <s v="Active"/>
    <n v="1200"/>
    <x v="2"/>
    <s v="Safe"/>
    <s v="Jan-2024"/>
  </r>
  <r>
    <n v="11138"/>
    <n v="22"/>
    <x v="0"/>
    <x v="0"/>
    <x v="137"/>
    <d v="2025-12-19T00:00:00"/>
    <x v="0"/>
    <x v="0"/>
    <s v="Active"/>
    <n v="1200"/>
    <x v="0"/>
    <s v="Safe"/>
    <s v="Apr-2025"/>
  </r>
  <r>
    <n v="11139"/>
    <n v="23"/>
    <x v="0"/>
    <x v="0"/>
    <x v="62"/>
    <d v="2025-12-29T00:00:00"/>
    <x v="2"/>
    <x v="1"/>
    <s v="Active"/>
    <n v="1700"/>
    <x v="0"/>
    <s v="Safe"/>
    <s v="Oct-2023"/>
  </r>
  <r>
    <n v="11140"/>
    <n v="37"/>
    <x v="0"/>
    <x v="0"/>
    <x v="525"/>
    <d v="2025-10-05T00:00:00"/>
    <x v="2"/>
    <x v="1"/>
    <s v="Inactive"/>
    <n v="1700"/>
    <x v="1"/>
    <s v="High Risk"/>
    <s v="Feb-2024"/>
  </r>
  <r>
    <n v="11141"/>
    <n v="43"/>
    <x v="0"/>
    <x v="0"/>
    <x v="625"/>
    <d v="2025-12-17T00:00:00"/>
    <x v="0"/>
    <x v="0"/>
    <s v="Active"/>
    <n v="1200"/>
    <x v="1"/>
    <s v="Safe"/>
    <s v="Apr-2025"/>
  </r>
  <r>
    <n v="11142"/>
    <n v="19"/>
    <x v="0"/>
    <x v="0"/>
    <x v="477"/>
    <d v="2026-01-04T00:00:00"/>
    <x v="2"/>
    <x v="1"/>
    <s v="Active"/>
    <n v="1700"/>
    <x v="0"/>
    <s v="Safe"/>
    <s v="Nov-2025"/>
  </r>
  <r>
    <n v="11143"/>
    <n v="44"/>
    <x v="0"/>
    <x v="0"/>
    <x v="52"/>
    <d v="2025-12-24T00:00:00"/>
    <x v="2"/>
    <x v="1"/>
    <s v="Active"/>
    <n v="1700"/>
    <x v="1"/>
    <s v="Safe"/>
    <s v="May-2024"/>
  </r>
  <r>
    <n v="11144"/>
    <n v="41"/>
    <x v="0"/>
    <x v="2"/>
    <x v="150"/>
    <d v="2025-11-26T00:00:00"/>
    <x v="4"/>
    <x v="0"/>
    <s v="Inactive"/>
    <n v="3000"/>
    <x v="1"/>
    <s v="High Risk"/>
    <s v="Sep-2025"/>
  </r>
  <r>
    <n v="11145"/>
    <n v="44"/>
    <x v="0"/>
    <x v="2"/>
    <x v="626"/>
    <d v="2026-01-10T00:00:00"/>
    <x v="4"/>
    <x v="0"/>
    <s v="Active"/>
    <n v="3000"/>
    <x v="1"/>
    <s v="Safe"/>
    <s v="Jul-2023"/>
  </r>
  <r>
    <n v="11146"/>
    <n v="30"/>
    <x v="0"/>
    <x v="2"/>
    <x v="109"/>
    <d v="2026-01-10T00:00:00"/>
    <x v="4"/>
    <x v="0"/>
    <s v="Active"/>
    <n v="3000"/>
    <x v="2"/>
    <s v="Safe"/>
    <s v="May-2024"/>
  </r>
  <r>
    <n v="11147"/>
    <n v="23"/>
    <x v="0"/>
    <x v="0"/>
    <x v="212"/>
    <d v="2025-12-24T00:00:00"/>
    <x v="0"/>
    <x v="0"/>
    <s v="Active"/>
    <n v="1200"/>
    <x v="0"/>
    <s v="Safe"/>
    <s v="Dec-2025"/>
  </r>
  <r>
    <n v="11148"/>
    <n v="22"/>
    <x v="1"/>
    <x v="0"/>
    <x v="71"/>
    <d v="2025-12-24T00:00:00"/>
    <x v="0"/>
    <x v="0"/>
    <s v="Active"/>
    <n v="1200"/>
    <x v="0"/>
    <s v="Safe"/>
    <s v="Dec-2024"/>
  </r>
  <r>
    <n v="11149"/>
    <n v="42"/>
    <x v="0"/>
    <x v="1"/>
    <x v="308"/>
    <d v="2025-12-27T00:00:00"/>
    <x v="1"/>
    <x v="1"/>
    <s v="Active"/>
    <n v="15600"/>
    <x v="1"/>
    <s v="Safe"/>
    <s v="Jun-2025"/>
  </r>
  <r>
    <n v="11150"/>
    <n v="18"/>
    <x v="1"/>
    <x v="2"/>
    <x v="113"/>
    <d v="2025-10-17T00:00:00"/>
    <x v="4"/>
    <x v="0"/>
    <s v="Inactive"/>
    <n v="3000"/>
    <x v="0"/>
    <s v="High Risk"/>
    <s v="Feb-2025"/>
  </r>
  <r>
    <n v="11151"/>
    <n v="38"/>
    <x v="1"/>
    <x v="1"/>
    <x v="32"/>
    <d v="2025-12-20T00:00:00"/>
    <x v="3"/>
    <x v="0"/>
    <s v="Active"/>
    <n v="9600"/>
    <x v="1"/>
    <s v="Safe"/>
    <s v="Sep-2025"/>
  </r>
  <r>
    <n v="11152"/>
    <n v="39"/>
    <x v="0"/>
    <x v="0"/>
    <x v="627"/>
    <d v="2025-12-31T00:00:00"/>
    <x v="0"/>
    <x v="0"/>
    <s v="Active"/>
    <n v="1200"/>
    <x v="1"/>
    <s v="Safe"/>
    <s v="Aug-2024"/>
  </r>
  <r>
    <n v="11153"/>
    <n v="38"/>
    <x v="0"/>
    <x v="2"/>
    <x v="371"/>
    <d v="2026-01-01T00:00:00"/>
    <x v="5"/>
    <x v="1"/>
    <s v="Active"/>
    <n v="4500"/>
    <x v="1"/>
    <s v="Safe"/>
    <s v="Jul-2024"/>
  </r>
  <r>
    <n v="11154"/>
    <n v="23"/>
    <x v="0"/>
    <x v="2"/>
    <x v="628"/>
    <d v="2025-10-24T00:00:00"/>
    <x v="4"/>
    <x v="0"/>
    <s v="Inactive"/>
    <n v="3000"/>
    <x v="0"/>
    <s v="High Risk"/>
    <s v="Nov-2024"/>
  </r>
  <r>
    <n v="11155"/>
    <n v="23"/>
    <x v="0"/>
    <x v="0"/>
    <x v="629"/>
    <d v="2025-12-24T00:00:00"/>
    <x v="2"/>
    <x v="1"/>
    <s v="Active"/>
    <n v="1700"/>
    <x v="0"/>
    <s v="Safe"/>
    <s v="Dec-2024"/>
  </r>
  <r>
    <n v="11156"/>
    <n v="40"/>
    <x v="0"/>
    <x v="2"/>
    <x v="352"/>
    <d v="2025-12-29T00:00:00"/>
    <x v="4"/>
    <x v="0"/>
    <s v="Active"/>
    <n v="3000"/>
    <x v="1"/>
    <s v="Safe"/>
    <s v="Dec-2023"/>
  </r>
  <r>
    <n v="11157"/>
    <n v="33"/>
    <x v="0"/>
    <x v="2"/>
    <x v="630"/>
    <d v="2025-12-23T00:00:00"/>
    <x v="5"/>
    <x v="1"/>
    <s v="Active"/>
    <n v="4500"/>
    <x v="2"/>
    <s v="Safe"/>
    <s v="Oct-2025"/>
  </r>
  <r>
    <n v="11158"/>
    <n v="21"/>
    <x v="0"/>
    <x v="0"/>
    <x v="54"/>
    <d v="2026-01-10T00:00:00"/>
    <x v="0"/>
    <x v="0"/>
    <s v="Active"/>
    <n v="1200"/>
    <x v="0"/>
    <s v="Safe"/>
    <s v="Feb-2024"/>
  </r>
  <r>
    <n v="11159"/>
    <n v="28"/>
    <x v="1"/>
    <x v="0"/>
    <x v="198"/>
    <d v="2025-12-21T00:00:00"/>
    <x v="0"/>
    <x v="0"/>
    <s v="Active"/>
    <n v="1200"/>
    <x v="2"/>
    <s v="Safe"/>
    <s v="Oct-2025"/>
  </r>
  <r>
    <n v="11160"/>
    <n v="41"/>
    <x v="0"/>
    <x v="1"/>
    <x v="127"/>
    <d v="2025-12-31T00:00:00"/>
    <x v="1"/>
    <x v="1"/>
    <s v="Active"/>
    <n v="15600"/>
    <x v="1"/>
    <s v="Safe"/>
    <s v="Mar-2025"/>
  </r>
  <r>
    <n v="11161"/>
    <n v="40"/>
    <x v="1"/>
    <x v="1"/>
    <x v="23"/>
    <d v="2025-12-28T00:00:00"/>
    <x v="3"/>
    <x v="0"/>
    <s v="Active"/>
    <n v="9600"/>
    <x v="1"/>
    <s v="Safe"/>
    <s v="Oct-2024"/>
  </r>
  <r>
    <n v="11162"/>
    <n v="26"/>
    <x v="0"/>
    <x v="0"/>
    <x v="508"/>
    <d v="2025-11-17T00:00:00"/>
    <x v="0"/>
    <x v="0"/>
    <s v="Inactive"/>
    <n v="1200"/>
    <x v="2"/>
    <s v="High Risk"/>
    <s v="Nov-2024"/>
  </r>
  <r>
    <n v="11163"/>
    <n v="40"/>
    <x v="1"/>
    <x v="0"/>
    <x v="631"/>
    <d v="2025-12-30T00:00:00"/>
    <x v="0"/>
    <x v="0"/>
    <s v="Active"/>
    <n v="1200"/>
    <x v="1"/>
    <s v="Safe"/>
    <s v="May-2024"/>
  </r>
  <r>
    <n v="11164"/>
    <n v="20"/>
    <x v="0"/>
    <x v="0"/>
    <x v="196"/>
    <d v="2025-12-30T00:00:00"/>
    <x v="0"/>
    <x v="0"/>
    <s v="Active"/>
    <n v="1200"/>
    <x v="0"/>
    <s v="Safe"/>
    <s v="Aug-2024"/>
  </r>
  <r>
    <n v="11165"/>
    <n v="36"/>
    <x v="0"/>
    <x v="2"/>
    <x v="123"/>
    <d v="2025-12-23T00:00:00"/>
    <x v="4"/>
    <x v="0"/>
    <s v="Active"/>
    <n v="3000"/>
    <x v="1"/>
    <s v="Safe"/>
    <s v="Oct-2024"/>
  </r>
  <r>
    <n v="11166"/>
    <n v="25"/>
    <x v="0"/>
    <x v="0"/>
    <x v="89"/>
    <d v="2025-09-18T00:00:00"/>
    <x v="0"/>
    <x v="0"/>
    <s v="Inactive"/>
    <n v="1200"/>
    <x v="2"/>
    <s v="High Risk"/>
    <s v="May-2024"/>
  </r>
  <r>
    <n v="11167"/>
    <n v="22"/>
    <x v="0"/>
    <x v="1"/>
    <x v="285"/>
    <d v="2025-10-12T00:00:00"/>
    <x v="1"/>
    <x v="1"/>
    <s v="Inactive"/>
    <n v="15600"/>
    <x v="0"/>
    <s v="High Risk"/>
    <s v="Feb-2024"/>
  </r>
  <r>
    <n v="11168"/>
    <n v="21"/>
    <x v="0"/>
    <x v="0"/>
    <x v="569"/>
    <d v="2025-12-24T00:00:00"/>
    <x v="2"/>
    <x v="1"/>
    <s v="Active"/>
    <n v="1700"/>
    <x v="0"/>
    <s v="Safe"/>
    <s v="Dec-2023"/>
  </r>
  <r>
    <n v="11169"/>
    <n v="41"/>
    <x v="1"/>
    <x v="0"/>
    <x v="222"/>
    <d v="2025-12-31T00:00:00"/>
    <x v="2"/>
    <x v="1"/>
    <s v="Active"/>
    <n v="1700"/>
    <x v="1"/>
    <s v="Safe"/>
    <s v="Apr-2024"/>
  </r>
  <r>
    <n v="11170"/>
    <n v="23"/>
    <x v="0"/>
    <x v="2"/>
    <x v="143"/>
    <d v="2025-12-20T00:00:00"/>
    <x v="4"/>
    <x v="0"/>
    <s v="Active"/>
    <n v="3000"/>
    <x v="0"/>
    <s v="Safe"/>
    <s v="Oct-2025"/>
  </r>
  <r>
    <n v="11171"/>
    <n v="19"/>
    <x v="0"/>
    <x v="1"/>
    <x v="59"/>
    <d v="2025-12-31T00:00:00"/>
    <x v="1"/>
    <x v="1"/>
    <s v="Active"/>
    <n v="15600"/>
    <x v="0"/>
    <s v="Safe"/>
    <s v="Aug-2024"/>
  </r>
  <r>
    <n v="11172"/>
    <n v="37"/>
    <x v="1"/>
    <x v="2"/>
    <x v="578"/>
    <d v="2025-12-22T00:00:00"/>
    <x v="5"/>
    <x v="1"/>
    <s v="Active"/>
    <n v="4500"/>
    <x v="1"/>
    <s v="Safe"/>
    <s v="Sep-2023"/>
  </r>
  <r>
    <n v="11173"/>
    <n v="45"/>
    <x v="1"/>
    <x v="0"/>
    <x v="250"/>
    <d v="2026-01-01T00:00:00"/>
    <x v="0"/>
    <x v="0"/>
    <s v="Active"/>
    <n v="1200"/>
    <x v="1"/>
    <s v="Safe"/>
    <s v="Mar-2025"/>
  </r>
  <r>
    <n v="11174"/>
    <n v="28"/>
    <x v="0"/>
    <x v="1"/>
    <x v="125"/>
    <d v="2025-12-23T00:00:00"/>
    <x v="3"/>
    <x v="0"/>
    <s v="Active"/>
    <n v="9600"/>
    <x v="2"/>
    <s v="Safe"/>
    <s v="May-2024"/>
  </r>
  <r>
    <n v="11175"/>
    <n v="21"/>
    <x v="0"/>
    <x v="0"/>
    <x v="415"/>
    <d v="2025-12-25T00:00:00"/>
    <x v="0"/>
    <x v="0"/>
    <s v="Active"/>
    <n v="1200"/>
    <x v="0"/>
    <s v="Safe"/>
    <s v="Jun-2024"/>
  </r>
  <r>
    <n v="11176"/>
    <n v="32"/>
    <x v="0"/>
    <x v="1"/>
    <x v="97"/>
    <d v="2025-12-30T00:00:00"/>
    <x v="1"/>
    <x v="1"/>
    <s v="Active"/>
    <n v="15600"/>
    <x v="2"/>
    <s v="Safe"/>
    <s v="Mar-2024"/>
  </r>
  <r>
    <n v="11177"/>
    <n v="23"/>
    <x v="0"/>
    <x v="0"/>
    <x v="632"/>
    <d v="2025-11-22T00:00:00"/>
    <x v="0"/>
    <x v="0"/>
    <s v="Inactive"/>
    <n v="1200"/>
    <x v="0"/>
    <s v="High Risk"/>
    <s v="Aug-2023"/>
  </r>
  <r>
    <n v="11178"/>
    <n v="39"/>
    <x v="1"/>
    <x v="1"/>
    <x v="333"/>
    <d v="2025-12-25T00:00:00"/>
    <x v="3"/>
    <x v="0"/>
    <s v="Active"/>
    <n v="9600"/>
    <x v="1"/>
    <s v="Safe"/>
    <s v="Oct-2025"/>
  </r>
  <r>
    <n v="11179"/>
    <n v="34"/>
    <x v="1"/>
    <x v="2"/>
    <x v="16"/>
    <d v="2025-12-11T00:00:00"/>
    <x v="4"/>
    <x v="0"/>
    <s v="Inactive"/>
    <n v="3000"/>
    <x v="2"/>
    <s v="High Risk"/>
    <s v="Feb-2024"/>
  </r>
  <r>
    <n v="11180"/>
    <n v="41"/>
    <x v="1"/>
    <x v="0"/>
    <x v="187"/>
    <d v="2025-10-24T00:00:00"/>
    <x v="2"/>
    <x v="1"/>
    <s v="Inactive"/>
    <n v="1700"/>
    <x v="1"/>
    <s v="High Risk"/>
    <s v="Jan-2025"/>
  </r>
  <r>
    <n v="11181"/>
    <n v="23"/>
    <x v="1"/>
    <x v="1"/>
    <x v="471"/>
    <d v="2026-01-05T00:00:00"/>
    <x v="3"/>
    <x v="0"/>
    <s v="Active"/>
    <n v="9600"/>
    <x v="0"/>
    <s v="Safe"/>
    <s v="Oct-2024"/>
  </r>
  <r>
    <n v="11182"/>
    <n v="36"/>
    <x v="0"/>
    <x v="0"/>
    <x v="633"/>
    <d v="2025-10-25T00:00:00"/>
    <x v="0"/>
    <x v="0"/>
    <s v="Inactive"/>
    <n v="1200"/>
    <x v="1"/>
    <s v="High Risk"/>
    <s v="Jan-2024"/>
  </r>
  <r>
    <n v="11183"/>
    <n v="42"/>
    <x v="1"/>
    <x v="0"/>
    <x v="634"/>
    <d v="2025-09-27T00:00:00"/>
    <x v="2"/>
    <x v="1"/>
    <s v="Inactive"/>
    <n v="1700"/>
    <x v="1"/>
    <s v="High Risk"/>
    <s v="Feb-2025"/>
  </r>
  <r>
    <n v="11184"/>
    <n v="19"/>
    <x v="1"/>
    <x v="2"/>
    <x v="635"/>
    <d v="2025-12-30T00:00:00"/>
    <x v="4"/>
    <x v="0"/>
    <s v="Active"/>
    <n v="3000"/>
    <x v="0"/>
    <s v="Safe"/>
    <s v="Jan-2024"/>
  </r>
  <r>
    <n v="11185"/>
    <n v="32"/>
    <x v="0"/>
    <x v="0"/>
    <x v="636"/>
    <d v="2026-01-08T00:00:00"/>
    <x v="0"/>
    <x v="0"/>
    <s v="Active"/>
    <n v="1200"/>
    <x v="2"/>
    <s v="Safe"/>
    <s v="May-2024"/>
  </r>
  <r>
    <n v="11186"/>
    <n v="28"/>
    <x v="1"/>
    <x v="2"/>
    <x v="225"/>
    <d v="2025-12-20T00:00:00"/>
    <x v="5"/>
    <x v="1"/>
    <s v="Active"/>
    <n v="4500"/>
    <x v="2"/>
    <s v="Safe"/>
    <s v="Nov-2023"/>
  </r>
  <r>
    <n v="11187"/>
    <n v="25"/>
    <x v="0"/>
    <x v="0"/>
    <x v="637"/>
    <d v="2025-10-05T00:00:00"/>
    <x v="0"/>
    <x v="0"/>
    <s v="Inactive"/>
    <n v="1200"/>
    <x v="2"/>
    <s v="High Risk"/>
    <s v="Sep-2025"/>
  </r>
  <r>
    <n v="11188"/>
    <n v="43"/>
    <x v="0"/>
    <x v="0"/>
    <x v="460"/>
    <d v="2025-12-28T00:00:00"/>
    <x v="2"/>
    <x v="1"/>
    <s v="Active"/>
    <n v="1700"/>
    <x v="1"/>
    <s v="Safe"/>
    <s v="Nov-2023"/>
  </r>
  <r>
    <n v="11189"/>
    <n v="36"/>
    <x v="1"/>
    <x v="0"/>
    <x v="397"/>
    <d v="2025-12-29T00:00:00"/>
    <x v="2"/>
    <x v="1"/>
    <s v="Active"/>
    <n v="1700"/>
    <x v="1"/>
    <s v="Safe"/>
    <s v="Mar-2025"/>
  </r>
  <r>
    <n v="11190"/>
    <n v="30"/>
    <x v="0"/>
    <x v="0"/>
    <x v="471"/>
    <d v="2026-01-09T00:00:00"/>
    <x v="0"/>
    <x v="0"/>
    <s v="Active"/>
    <n v="1200"/>
    <x v="2"/>
    <s v="Safe"/>
    <s v="Oct-2024"/>
  </r>
  <r>
    <n v="11191"/>
    <n v="29"/>
    <x v="0"/>
    <x v="2"/>
    <x v="638"/>
    <d v="2025-09-29T00:00:00"/>
    <x v="4"/>
    <x v="0"/>
    <s v="Inactive"/>
    <n v="3000"/>
    <x v="2"/>
    <s v="High Risk"/>
    <s v="Nov-2024"/>
  </r>
  <r>
    <n v="11192"/>
    <n v="22"/>
    <x v="0"/>
    <x v="1"/>
    <x v="15"/>
    <d v="2026-01-03T00:00:00"/>
    <x v="3"/>
    <x v="0"/>
    <s v="Active"/>
    <n v="9600"/>
    <x v="0"/>
    <s v="Safe"/>
    <s v="Sep-2025"/>
  </r>
  <r>
    <n v="11193"/>
    <n v="23"/>
    <x v="0"/>
    <x v="1"/>
    <x v="196"/>
    <d v="2026-01-03T00:00:00"/>
    <x v="3"/>
    <x v="0"/>
    <s v="Active"/>
    <n v="9600"/>
    <x v="0"/>
    <s v="Safe"/>
    <s v="Aug-2024"/>
  </r>
  <r>
    <n v="11194"/>
    <n v="43"/>
    <x v="1"/>
    <x v="1"/>
    <x v="192"/>
    <d v="2025-10-03T00:00:00"/>
    <x v="1"/>
    <x v="1"/>
    <s v="Inactive"/>
    <n v="15600"/>
    <x v="1"/>
    <s v="High Risk"/>
    <s v="Jun-2025"/>
  </r>
  <r>
    <n v="11195"/>
    <n v="39"/>
    <x v="0"/>
    <x v="0"/>
    <x v="345"/>
    <d v="2026-01-03T00:00:00"/>
    <x v="0"/>
    <x v="0"/>
    <s v="Active"/>
    <n v="1200"/>
    <x v="1"/>
    <s v="Safe"/>
    <s v="Sep-2025"/>
  </r>
  <r>
    <n v="11196"/>
    <n v="21"/>
    <x v="0"/>
    <x v="0"/>
    <x v="49"/>
    <d v="2026-01-07T00:00:00"/>
    <x v="0"/>
    <x v="0"/>
    <s v="Active"/>
    <n v="1200"/>
    <x v="0"/>
    <s v="Safe"/>
    <s v="Aug-2024"/>
  </r>
  <r>
    <n v="11197"/>
    <n v="36"/>
    <x v="1"/>
    <x v="0"/>
    <x v="605"/>
    <d v="2025-11-16T00:00:00"/>
    <x v="0"/>
    <x v="0"/>
    <s v="Inactive"/>
    <n v="1200"/>
    <x v="1"/>
    <s v="High Risk"/>
    <s v="Jan-2024"/>
  </r>
  <r>
    <n v="11198"/>
    <n v="37"/>
    <x v="0"/>
    <x v="0"/>
    <x v="182"/>
    <d v="2025-10-15T00:00:00"/>
    <x v="0"/>
    <x v="0"/>
    <s v="Inactive"/>
    <n v="1200"/>
    <x v="1"/>
    <s v="High Risk"/>
    <s v="Jun-2025"/>
  </r>
  <r>
    <n v="11199"/>
    <n v="18"/>
    <x v="0"/>
    <x v="2"/>
    <x v="630"/>
    <d v="2025-12-26T00:00:00"/>
    <x v="4"/>
    <x v="0"/>
    <s v="Active"/>
    <n v="3000"/>
    <x v="0"/>
    <s v="Safe"/>
    <s v="Oct-2025"/>
  </r>
  <r>
    <n v="11200"/>
    <n v="37"/>
    <x v="0"/>
    <x v="0"/>
    <x v="639"/>
    <d v="2025-12-30T00:00:00"/>
    <x v="0"/>
    <x v="0"/>
    <s v="Active"/>
    <n v="1200"/>
    <x v="1"/>
    <s v="Safe"/>
    <s v="Jul-2024"/>
  </r>
  <r>
    <n v="11201"/>
    <n v="34"/>
    <x v="1"/>
    <x v="0"/>
    <x v="640"/>
    <d v="2025-12-20T00:00:00"/>
    <x v="0"/>
    <x v="0"/>
    <s v="Active"/>
    <n v="1200"/>
    <x v="2"/>
    <s v="Safe"/>
    <s v="Mar-2024"/>
  </r>
  <r>
    <n v="11202"/>
    <n v="29"/>
    <x v="0"/>
    <x v="1"/>
    <x v="447"/>
    <d v="2025-11-24T00:00:00"/>
    <x v="1"/>
    <x v="1"/>
    <s v="Inactive"/>
    <n v="15600"/>
    <x v="2"/>
    <s v="High Risk"/>
    <s v="May-2024"/>
  </r>
  <r>
    <n v="11203"/>
    <n v="32"/>
    <x v="0"/>
    <x v="2"/>
    <x v="34"/>
    <d v="2025-11-13T00:00:00"/>
    <x v="4"/>
    <x v="0"/>
    <s v="Inactive"/>
    <n v="3000"/>
    <x v="2"/>
    <s v="High Risk"/>
    <s v="Jan-2024"/>
  </r>
  <r>
    <n v="11204"/>
    <n v="18"/>
    <x v="0"/>
    <x v="0"/>
    <x v="66"/>
    <d v="2025-12-28T00:00:00"/>
    <x v="2"/>
    <x v="1"/>
    <s v="Active"/>
    <n v="1700"/>
    <x v="0"/>
    <s v="Safe"/>
    <s v="May-2024"/>
  </r>
  <r>
    <n v="11205"/>
    <n v="43"/>
    <x v="0"/>
    <x v="0"/>
    <x v="641"/>
    <d v="2025-12-23T00:00:00"/>
    <x v="2"/>
    <x v="1"/>
    <s v="Active"/>
    <n v="1700"/>
    <x v="1"/>
    <s v="Safe"/>
    <s v="Jan-2025"/>
  </r>
  <r>
    <n v="11206"/>
    <n v="31"/>
    <x v="0"/>
    <x v="0"/>
    <x v="642"/>
    <d v="2026-01-05T00:00:00"/>
    <x v="2"/>
    <x v="1"/>
    <s v="Active"/>
    <n v="1700"/>
    <x v="2"/>
    <s v="Safe"/>
    <s v="Jan-2024"/>
  </r>
  <r>
    <n v="11207"/>
    <n v="23"/>
    <x v="0"/>
    <x v="1"/>
    <x v="434"/>
    <d v="2025-12-21T00:00:00"/>
    <x v="3"/>
    <x v="0"/>
    <s v="Active"/>
    <n v="9600"/>
    <x v="0"/>
    <s v="Safe"/>
    <s v="May-2024"/>
  </r>
  <r>
    <n v="11208"/>
    <n v="22"/>
    <x v="0"/>
    <x v="0"/>
    <x v="52"/>
    <d v="2026-01-07T00:00:00"/>
    <x v="0"/>
    <x v="0"/>
    <s v="Active"/>
    <n v="1200"/>
    <x v="0"/>
    <s v="Safe"/>
    <s v="May-2024"/>
  </r>
  <r>
    <n v="11209"/>
    <n v="28"/>
    <x v="1"/>
    <x v="0"/>
    <x v="25"/>
    <d v="2025-11-07T00:00:00"/>
    <x v="0"/>
    <x v="0"/>
    <s v="Inactive"/>
    <n v="1200"/>
    <x v="2"/>
    <s v="High Risk"/>
    <s v="Dec-2025"/>
  </r>
  <r>
    <n v="11210"/>
    <n v="21"/>
    <x v="0"/>
    <x v="0"/>
    <x v="632"/>
    <d v="2025-12-05T00:00:00"/>
    <x v="0"/>
    <x v="0"/>
    <s v="Inactive"/>
    <n v="1200"/>
    <x v="0"/>
    <s v="High Risk"/>
    <s v="Aug-2023"/>
  </r>
  <r>
    <n v="11211"/>
    <n v="30"/>
    <x v="1"/>
    <x v="2"/>
    <x v="157"/>
    <d v="2026-01-01T00:00:00"/>
    <x v="4"/>
    <x v="0"/>
    <s v="Active"/>
    <n v="3000"/>
    <x v="2"/>
    <s v="Safe"/>
    <s v="Nov-2024"/>
  </r>
  <r>
    <n v="11212"/>
    <n v="28"/>
    <x v="1"/>
    <x v="0"/>
    <x v="184"/>
    <d v="2026-01-02T00:00:00"/>
    <x v="2"/>
    <x v="1"/>
    <s v="Active"/>
    <n v="1700"/>
    <x v="2"/>
    <s v="Safe"/>
    <s v="Jan-2024"/>
  </r>
  <r>
    <n v="11213"/>
    <n v="20"/>
    <x v="1"/>
    <x v="1"/>
    <x v="44"/>
    <d v="2026-01-05T00:00:00"/>
    <x v="1"/>
    <x v="1"/>
    <s v="Active"/>
    <n v="15600"/>
    <x v="0"/>
    <s v="Safe"/>
    <s v="Nov-2025"/>
  </r>
  <r>
    <n v="11214"/>
    <n v="18"/>
    <x v="0"/>
    <x v="1"/>
    <x v="240"/>
    <d v="2025-09-23T00:00:00"/>
    <x v="3"/>
    <x v="0"/>
    <s v="Inactive"/>
    <n v="9600"/>
    <x v="0"/>
    <s v="High Risk"/>
    <s v="Sep-2025"/>
  </r>
  <r>
    <n v="11215"/>
    <n v="23"/>
    <x v="0"/>
    <x v="1"/>
    <x v="423"/>
    <d v="2025-12-29T00:00:00"/>
    <x v="3"/>
    <x v="0"/>
    <s v="Active"/>
    <n v="9600"/>
    <x v="0"/>
    <s v="Safe"/>
    <s v="Apr-2025"/>
  </r>
  <r>
    <n v="11216"/>
    <n v="35"/>
    <x v="0"/>
    <x v="0"/>
    <x v="643"/>
    <d v="2025-12-22T00:00:00"/>
    <x v="0"/>
    <x v="0"/>
    <s v="Active"/>
    <n v="1200"/>
    <x v="1"/>
    <s v="Safe"/>
    <s v="Jul-2024"/>
  </r>
  <r>
    <n v="11217"/>
    <n v="41"/>
    <x v="0"/>
    <x v="1"/>
    <x v="376"/>
    <d v="2025-12-20T00:00:00"/>
    <x v="3"/>
    <x v="0"/>
    <s v="Active"/>
    <n v="9600"/>
    <x v="1"/>
    <s v="Safe"/>
    <s v="Nov-2023"/>
  </r>
  <r>
    <n v="11218"/>
    <n v="27"/>
    <x v="0"/>
    <x v="2"/>
    <x v="338"/>
    <d v="2025-10-18T00:00:00"/>
    <x v="5"/>
    <x v="1"/>
    <s v="Inactive"/>
    <n v="4500"/>
    <x v="2"/>
    <s v="High Risk"/>
    <s v="Oct-2024"/>
  </r>
  <r>
    <n v="11219"/>
    <n v="22"/>
    <x v="1"/>
    <x v="0"/>
    <x v="159"/>
    <d v="2025-11-18T00:00:00"/>
    <x v="0"/>
    <x v="0"/>
    <s v="Inactive"/>
    <n v="1200"/>
    <x v="0"/>
    <s v="High Risk"/>
    <s v="Mar-2025"/>
  </r>
  <r>
    <n v="11220"/>
    <n v="40"/>
    <x v="1"/>
    <x v="2"/>
    <x v="644"/>
    <d v="2025-12-29T00:00:00"/>
    <x v="4"/>
    <x v="0"/>
    <s v="Active"/>
    <n v="3000"/>
    <x v="1"/>
    <s v="Safe"/>
    <s v="May-2024"/>
  </r>
  <r>
    <n v="11221"/>
    <n v="27"/>
    <x v="0"/>
    <x v="0"/>
    <x v="29"/>
    <d v="2025-12-29T00:00:00"/>
    <x v="0"/>
    <x v="0"/>
    <s v="Active"/>
    <n v="1200"/>
    <x v="2"/>
    <s v="Safe"/>
    <s v="May-2024"/>
  </r>
  <r>
    <n v="11222"/>
    <n v="29"/>
    <x v="0"/>
    <x v="0"/>
    <x v="645"/>
    <d v="2025-12-18T00:00:00"/>
    <x v="2"/>
    <x v="1"/>
    <s v="Active"/>
    <n v="1700"/>
    <x v="2"/>
    <s v="Safe"/>
    <s v="Sep-2024"/>
  </r>
  <r>
    <n v="11223"/>
    <n v="19"/>
    <x v="1"/>
    <x v="2"/>
    <x v="646"/>
    <d v="2025-12-31T00:00:00"/>
    <x v="4"/>
    <x v="0"/>
    <s v="Active"/>
    <n v="3000"/>
    <x v="0"/>
    <s v="Safe"/>
    <s v="Feb-2025"/>
  </r>
  <r>
    <n v="11224"/>
    <n v="30"/>
    <x v="0"/>
    <x v="0"/>
    <x v="421"/>
    <d v="2025-12-26T00:00:00"/>
    <x v="0"/>
    <x v="0"/>
    <s v="Active"/>
    <n v="1200"/>
    <x v="2"/>
    <s v="Safe"/>
    <s v="Sep-2023"/>
  </r>
  <r>
    <n v="11225"/>
    <n v="25"/>
    <x v="0"/>
    <x v="2"/>
    <x v="647"/>
    <d v="2025-12-28T00:00:00"/>
    <x v="5"/>
    <x v="1"/>
    <s v="Active"/>
    <n v="4500"/>
    <x v="2"/>
    <s v="Safe"/>
    <s v="Apr-2024"/>
  </r>
  <r>
    <n v="11226"/>
    <n v="19"/>
    <x v="1"/>
    <x v="0"/>
    <x v="292"/>
    <d v="2025-11-21T00:00:00"/>
    <x v="0"/>
    <x v="0"/>
    <s v="Inactive"/>
    <n v="1200"/>
    <x v="0"/>
    <s v="High Risk"/>
    <s v="Sep-2024"/>
  </r>
  <r>
    <n v="11227"/>
    <n v="37"/>
    <x v="0"/>
    <x v="1"/>
    <x v="190"/>
    <d v="2026-01-09T00:00:00"/>
    <x v="3"/>
    <x v="0"/>
    <s v="Active"/>
    <n v="9600"/>
    <x v="1"/>
    <s v="Safe"/>
    <s v="Mar-2025"/>
  </r>
  <r>
    <n v="11228"/>
    <n v="18"/>
    <x v="0"/>
    <x v="1"/>
    <x v="648"/>
    <d v="2025-12-23T00:00:00"/>
    <x v="3"/>
    <x v="0"/>
    <s v="Active"/>
    <n v="9600"/>
    <x v="0"/>
    <s v="Safe"/>
    <s v="May-2024"/>
  </r>
  <r>
    <n v="11229"/>
    <n v="22"/>
    <x v="0"/>
    <x v="1"/>
    <x v="0"/>
    <d v="2025-10-30T00:00:00"/>
    <x v="3"/>
    <x v="0"/>
    <s v="Inactive"/>
    <n v="9600"/>
    <x v="0"/>
    <s v="High Risk"/>
    <s v="Dec-2025"/>
  </r>
  <r>
    <n v="11230"/>
    <n v="26"/>
    <x v="1"/>
    <x v="0"/>
    <x v="158"/>
    <d v="2025-12-22T00:00:00"/>
    <x v="0"/>
    <x v="0"/>
    <s v="Active"/>
    <n v="1200"/>
    <x v="2"/>
    <s v="Safe"/>
    <s v="May-2025"/>
  </r>
  <r>
    <n v="11231"/>
    <n v="34"/>
    <x v="0"/>
    <x v="0"/>
    <x v="1"/>
    <d v="2025-12-23T00:00:00"/>
    <x v="0"/>
    <x v="0"/>
    <s v="Active"/>
    <n v="1200"/>
    <x v="2"/>
    <s v="Safe"/>
    <s v="Jul-2025"/>
  </r>
  <r>
    <n v="11232"/>
    <n v="26"/>
    <x v="0"/>
    <x v="2"/>
    <x v="503"/>
    <d v="2026-01-06T00:00:00"/>
    <x v="5"/>
    <x v="1"/>
    <s v="Active"/>
    <n v="4500"/>
    <x v="2"/>
    <s v="Safe"/>
    <s v="Mar-2024"/>
  </r>
  <r>
    <n v="11233"/>
    <n v="28"/>
    <x v="0"/>
    <x v="0"/>
    <x v="649"/>
    <d v="2025-12-24T00:00:00"/>
    <x v="2"/>
    <x v="1"/>
    <s v="Active"/>
    <n v="1700"/>
    <x v="2"/>
    <s v="Safe"/>
    <s v="Jul-2025"/>
  </r>
  <r>
    <n v="11234"/>
    <n v="32"/>
    <x v="0"/>
    <x v="0"/>
    <x v="650"/>
    <d v="2026-01-10T00:00:00"/>
    <x v="2"/>
    <x v="1"/>
    <s v="Active"/>
    <n v="1700"/>
    <x v="2"/>
    <s v="Safe"/>
    <s v="Dec-2025"/>
  </r>
  <r>
    <n v="11235"/>
    <n v="41"/>
    <x v="0"/>
    <x v="2"/>
    <x v="587"/>
    <d v="2025-09-14T00:00:00"/>
    <x v="4"/>
    <x v="0"/>
    <s v="Inactive"/>
    <n v="3000"/>
    <x v="1"/>
    <s v="High Risk"/>
    <s v="Jul-2024"/>
  </r>
  <r>
    <n v="11236"/>
    <n v="23"/>
    <x v="1"/>
    <x v="2"/>
    <x v="212"/>
    <d v="2025-12-23T00:00:00"/>
    <x v="4"/>
    <x v="0"/>
    <s v="Active"/>
    <n v="3000"/>
    <x v="0"/>
    <s v="Safe"/>
    <s v="Dec-2025"/>
  </r>
  <r>
    <n v="11237"/>
    <n v="40"/>
    <x v="0"/>
    <x v="1"/>
    <x v="651"/>
    <d v="2025-12-18T00:00:00"/>
    <x v="3"/>
    <x v="0"/>
    <s v="Active"/>
    <n v="9600"/>
    <x v="1"/>
    <s v="Safe"/>
    <s v="Jul-2025"/>
  </r>
  <r>
    <n v="11238"/>
    <n v="20"/>
    <x v="1"/>
    <x v="0"/>
    <x v="309"/>
    <d v="2025-12-24T00:00:00"/>
    <x v="0"/>
    <x v="0"/>
    <s v="Active"/>
    <n v="1200"/>
    <x v="0"/>
    <s v="Safe"/>
    <s v="Jan-2025"/>
  </r>
  <r>
    <n v="11239"/>
    <n v="34"/>
    <x v="0"/>
    <x v="0"/>
    <x v="258"/>
    <d v="2026-01-02T00:00:00"/>
    <x v="0"/>
    <x v="0"/>
    <s v="Active"/>
    <n v="1200"/>
    <x v="2"/>
    <s v="Safe"/>
    <s v="Dec-2023"/>
  </r>
  <r>
    <n v="11240"/>
    <n v="22"/>
    <x v="0"/>
    <x v="0"/>
    <x v="652"/>
    <d v="2025-12-26T00:00:00"/>
    <x v="0"/>
    <x v="0"/>
    <s v="Active"/>
    <n v="1200"/>
    <x v="0"/>
    <s v="Safe"/>
    <s v="Jul-2025"/>
  </r>
  <r>
    <n v="11241"/>
    <n v="45"/>
    <x v="0"/>
    <x v="1"/>
    <x v="644"/>
    <d v="2025-12-23T00:00:00"/>
    <x v="1"/>
    <x v="1"/>
    <s v="Active"/>
    <n v="15600"/>
    <x v="1"/>
    <s v="Safe"/>
    <s v="May-2024"/>
  </r>
  <r>
    <n v="11242"/>
    <n v="29"/>
    <x v="0"/>
    <x v="1"/>
    <x v="249"/>
    <d v="2026-01-10T00:00:00"/>
    <x v="3"/>
    <x v="0"/>
    <s v="Active"/>
    <n v="9600"/>
    <x v="2"/>
    <s v="Safe"/>
    <s v="Jul-2024"/>
  </r>
  <r>
    <n v="11243"/>
    <n v="35"/>
    <x v="0"/>
    <x v="1"/>
    <x v="564"/>
    <d v="2025-11-19T00:00:00"/>
    <x v="3"/>
    <x v="0"/>
    <s v="Inactive"/>
    <n v="9600"/>
    <x v="1"/>
    <s v="High Risk"/>
    <s v="Jun-2024"/>
  </r>
  <r>
    <n v="11244"/>
    <n v="31"/>
    <x v="0"/>
    <x v="1"/>
    <x v="175"/>
    <d v="2025-12-30T00:00:00"/>
    <x v="3"/>
    <x v="0"/>
    <s v="Active"/>
    <n v="9600"/>
    <x v="2"/>
    <s v="Safe"/>
    <s v="Sep-2024"/>
  </r>
  <r>
    <n v="11245"/>
    <n v="38"/>
    <x v="0"/>
    <x v="2"/>
    <x v="653"/>
    <d v="2025-12-17T00:00:00"/>
    <x v="4"/>
    <x v="0"/>
    <s v="Active"/>
    <n v="3000"/>
    <x v="1"/>
    <s v="Safe"/>
    <s v="Nov-2025"/>
  </r>
  <r>
    <n v="11246"/>
    <n v="41"/>
    <x v="0"/>
    <x v="2"/>
    <x v="654"/>
    <d v="2025-12-28T00:00:00"/>
    <x v="4"/>
    <x v="0"/>
    <s v="Active"/>
    <n v="3000"/>
    <x v="1"/>
    <s v="Safe"/>
    <s v="Mar-2024"/>
  </r>
  <r>
    <n v="11247"/>
    <n v="28"/>
    <x v="0"/>
    <x v="0"/>
    <x v="655"/>
    <d v="2025-12-24T00:00:00"/>
    <x v="2"/>
    <x v="1"/>
    <s v="Active"/>
    <n v="1700"/>
    <x v="2"/>
    <s v="Safe"/>
    <s v="Feb-2025"/>
  </r>
  <r>
    <n v="11248"/>
    <n v="26"/>
    <x v="1"/>
    <x v="2"/>
    <x v="290"/>
    <d v="2025-10-29T00:00:00"/>
    <x v="4"/>
    <x v="0"/>
    <s v="Inactive"/>
    <n v="3000"/>
    <x v="2"/>
    <s v="High Risk"/>
    <s v="Apr-2025"/>
  </r>
  <r>
    <n v="11249"/>
    <n v="19"/>
    <x v="1"/>
    <x v="2"/>
    <x v="364"/>
    <d v="2025-12-29T00:00:00"/>
    <x v="4"/>
    <x v="0"/>
    <s v="Active"/>
    <n v="3000"/>
    <x v="0"/>
    <s v="Safe"/>
    <s v="Nov-2025"/>
  </r>
  <r>
    <n v="11250"/>
    <n v="29"/>
    <x v="0"/>
    <x v="2"/>
    <x v="656"/>
    <d v="2025-12-26T00:00:00"/>
    <x v="4"/>
    <x v="0"/>
    <s v="Active"/>
    <n v="3000"/>
    <x v="2"/>
    <s v="Safe"/>
    <s v="Oct-2024"/>
  </r>
  <r>
    <n v="11251"/>
    <n v="20"/>
    <x v="0"/>
    <x v="1"/>
    <x v="157"/>
    <d v="2026-01-07T00:00:00"/>
    <x v="3"/>
    <x v="0"/>
    <s v="Active"/>
    <n v="9600"/>
    <x v="0"/>
    <s v="Safe"/>
    <s v="Nov-2024"/>
  </r>
  <r>
    <n v="11252"/>
    <n v="20"/>
    <x v="0"/>
    <x v="1"/>
    <x v="271"/>
    <d v="2026-01-01T00:00:00"/>
    <x v="3"/>
    <x v="0"/>
    <s v="Active"/>
    <n v="9600"/>
    <x v="0"/>
    <s v="Safe"/>
    <s v="Aug-2024"/>
  </r>
  <r>
    <n v="11253"/>
    <n v="18"/>
    <x v="0"/>
    <x v="1"/>
    <x v="69"/>
    <d v="2026-01-01T00:00:00"/>
    <x v="3"/>
    <x v="0"/>
    <s v="Active"/>
    <n v="9600"/>
    <x v="0"/>
    <s v="Safe"/>
    <s v="Oct-2023"/>
  </r>
  <r>
    <n v="11254"/>
    <n v="25"/>
    <x v="0"/>
    <x v="1"/>
    <x v="145"/>
    <d v="2025-12-03T00:00:00"/>
    <x v="3"/>
    <x v="0"/>
    <s v="Inactive"/>
    <n v="9600"/>
    <x v="2"/>
    <s v="High Risk"/>
    <s v="Oct-2024"/>
  </r>
  <r>
    <n v="11255"/>
    <n v="39"/>
    <x v="1"/>
    <x v="2"/>
    <x v="378"/>
    <d v="2025-12-27T00:00:00"/>
    <x v="4"/>
    <x v="0"/>
    <s v="Active"/>
    <n v="3000"/>
    <x v="1"/>
    <s v="Safe"/>
    <s v="Sep-2024"/>
  </r>
  <r>
    <n v="11256"/>
    <n v="45"/>
    <x v="0"/>
    <x v="0"/>
    <x v="657"/>
    <d v="2025-12-17T00:00:00"/>
    <x v="0"/>
    <x v="0"/>
    <s v="Active"/>
    <n v="1200"/>
    <x v="1"/>
    <s v="Safe"/>
    <s v="Dec-2024"/>
  </r>
  <r>
    <n v="11257"/>
    <n v="25"/>
    <x v="0"/>
    <x v="0"/>
    <x v="167"/>
    <d v="2025-12-24T00:00:00"/>
    <x v="0"/>
    <x v="0"/>
    <s v="Active"/>
    <n v="1200"/>
    <x v="2"/>
    <s v="Safe"/>
    <s v="Aug-2024"/>
  </r>
  <r>
    <n v="11258"/>
    <n v="28"/>
    <x v="1"/>
    <x v="2"/>
    <x v="658"/>
    <d v="2026-01-02T00:00:00"/>
    <x v="4"/>
    <x v="0"/>
    <s v="Active"/>
    <n v="3000"/>
    <x v="2"/>
    <s v="Safe"/>
    <s v="Sep-2023"/>
  </r>
  <r>
    <n v="11259"/>
    <n v="26"/>
    <x v="0"/>
    <x v="2"/>
    <x v="217"/>
    <d v="2025-12-21T00:00:00"/>
    <x v="4"/>
    <x v="0"/>
    <s v="Active"/>
    <n v="3000"/>
    <x v="2"/>
    <s v="Safe"/>
    <s v="Aug-2024"/>
  </r>
  <r>
    <n v="11260"/>
    <n v="22"/>
    <x v="1"/>
    <x v="0"/>
    <x v="247"/>
    <d v="2025-11-14T00:00:00"/>
    <x v="2"/>
    <x v="1"/>
    <s v="Inactive"/>
    <n v="1700"/>
    <x v="0"/>
    <s v="High Risk"/>
    <s v="Jan-2025"/>
  </r>
  <r>
    <n v="11261"/>
    <n v="31"/>
    <x v="0"/>
    <x v="1"/>
    <x v="659"/>
    <d v="2026-01-04T00:00:00"/>
    <x v="3"/>
    <x v="0"/>
    <s v="Active"/>
    <n v="9600"/>
    <x v="2"/>
    <s v="Safe"/>
    <s v="Oct-2025"/>
  </r>
  <r>
    <n v="11262"/>
    <n v="45"/>
    <x v="0"/>
    <x v="0"/>
    <x v="510"/>
    <d v="2026-01-06T00:00:00"/>
    <x v="2"/>
    <x v="1"/>
    <s v="Active"/>
    <n v="1700"/>
    <x v="1"/>
    <s v="Safe"/>
    <s v="Feb-2025"/>
  </r>
  <r>
    <n v="11263"/>
    <n v="20"/>
    <x v="0"/>
    <x v="0"/>
    <x v="49"/>
    <d v="2025-10-25T00:00:00"/>
    <x v="0"/>
    <x v="0"/>
    <s v="Inactive"/>
    <n v="1200"/>
    <x v="0"/>
    <s v="High Risk"/>
    <s v="Aug-2024"/>
  </r>
  <r>
    <n v="11264"/>
    <n v="38"/>
    <x v="0"/>
    <x v="2"/>
    <x v="120"/>
    <d v="2026-01-07T00:00:00"/>
    <x v="5"/>
    <x v="1"/>
    <s v="Active"/>
    <n v="4500"/>
    <x v="1"/>
    <s v="Safe"/>
    <s v="Feb-2025"/>
  </r>
  <r>
    <n v="11265"/>
    <n v="22"/>
    <x v="1"/>
    <x v="0"/>
    <x v="660"/>
    <d v="2026-01-06T00:00:00"/>
    <x v="2"/>
    <x v="1"/>
    <s v="Active"/>
    <n v="1700"/>
    <x v="0"/>
    <s v="Safe"/>
    <s v="Feb-2024"/>
  </r>
  <r>
    <n v="11266"/>
    <n v="22"/>
    <x v="0"/>
    <x v="0"/>
    <x v="661"/>
    <d v="2025-12-27T00:00:00"/>
    <x v="2"/>
    <x v="1"/>
    <s v="Active"/>
    <n v="1700"/>
    <x v="0"/>
    <s v="Safe"/>
    <s v="Jan-2025"/>
  </r>
  <r>
    <n v="11267"/>
    <n v="36"/>
    <x v="1"/>
    <x v="0"/>
    <x v="238"/>
    <d v="2025-12-21T00:00:00"/>
    <x v="2"/>
    <x v="1"/>
    <s v="Active"/>
    <n v="1700"/>
    <x v="1"/>
    <s v="Safe"/>
    <s v="Mar-2024"/>
  </r>
  <r>
    <n v="11268"/>
    <n v="44"/>
    <x v="0"/>
    <x v="1"/>
    <x v="662"/>
    <d v="2026-01-09T00:00:00"/>
    <x v="1"/>
    <x v="1"/>
    <s v="Active"/>
    <n v="15600"/>
    <x v="1"/>
    <s v="Safe"/>
    <s v="Mar-2024"/>
  </r>
  <r>
    <n v="11269"/>
    <n v="31"/>
    <x v="0"/>
    <x v="0"/>
    <x v="609"/>
    <d v="2025-12-21T00:00:00"/>
    <x v="0"/>
    <x v="0"/>
    <s v="Active"/>
    <n v="1200"/>
    <x v="2"/>
    <s v="Safe"/>
    <s v="Jun-2024"/>
  </r>
  <r>
    <n v="11270"/>
    <n v="43"/>
    <x v="0"/>
    <x v="2"/>
    <x v="663"/>
    <d v="2025-12-28T00:00:00"/>
    <x v="4"/>
    <x v="0"/>
    <s v="Active"/>
    <n v="3000"/>
    <x v="1"/>
    <s v="Safe"/>
    <s v="Jun-2025"/>
  </r>
  <r>
    <n v="11271"/>
    <n v="21"/>
    <x v="0"/>
    <x v="2"/>
    <x v="306"/>
    <d v="2026-01-08T00:00:00"/>
    <x v="4"/>
    <x v="0"/>
    <s v="Active"/>
    <n v="3000"/>
    <x v="0"/>
    <s v="Safe"/>
    <s v="Oct-2024"/>
  </r>
  <r>
    <n v="11272"/>
    <n v="42"/>
    <x v="1"/>
    <x v="0"/>
    <x v="45"/>
    <d v="2026-01-10T00:00:00"/>
    <x v="0"/>
    <x v="0"/>
    <s v="Active"/>
    <n v="1200"/>
    <x v="1"/>
    <s v="Safe"/>
    <s v="Oct-2025"/>
  </r>
  <r>
    <n v="11273"/>
    <n v="30"/>
    <x v="0"/>
    <x v="1"/>
    <x v="258"/>
    <d v="2025-12-22T00:00:00"/>
    <x v="1"/>
    <x v="1"/>
    <s v="Active"/>
    <n v="15600"/>
    <x v="2"/>
    <s v="Safe"/>
    <s v="Dec-2023"/>
  </r>
  <r>
    <n v="11274"/>
    <n v="27"/>
    <x v="0"/>
    <x v="0"/>
    <x v="222"/>
    <d v="2026-01-04T00:00:00"/>
    <x v="0"/>
    <x v="0"/>
    <s v="Active"/>
    <n v="1200"/>
    <x v="2"/>
    <s v="Safe"/>
    <s v="Apr-2024"/>
  </r>
  <r>
    <n v="11275"/>
    <n v="42"/>
    <x v="0"/>
    <x v="1"/>
    <x v="345"/>
    <d v="2025-12-23T00:00:00"/>
    <x v="1"/>
    <x v="1"/>
    <s v="Active"/>
    <n v="15600"/>
    <x v="1"/>
    <s v="Safe"/>
    <s v="Sep-2025"/>
  </r>
  <r>
    <n v="11276"/>
    <n v="35"/>
    <x v="0"/>
    <x v="2"/>
    <x v="508"/>
    <d v="2025-12-19T00:00:00"/>
    <x v="5"/>
    <x v="1"/>
    <s v="Active"/>
    <n v="4500"/>
    <x v="1"/>
    <s v="Safe"/>
    <s v="Nov-2024"/>
  </r>
  <r>
    <n v="11277"/>
    <n v="25"/>
    <x v="0"/>
    <x v="1"/>
    <x v="664"/>
    <d v="2026-01-06T00:00:00"/>
    <x v="3"/>
    <x v="0"/>
    <s v="Active"/>
    <n v="9600"/>
    <x v="2"/>
    <s v="Safe"/>
    <s v="May-2025"/>
  </r>
  <r>
    <n v="11278"/>
    <n v="25"/>
    <x v="0"/>
    <x v="0"/>
    <x v="527"/>
    <d v="2025-12-27T00:00:00"/>
    <x v="2"/>
    <x v="1"/>
    <s v="Active"/>
    <n v="1700"/>
    <x v="2"/>
    <s v="Safe"/>
    <s v="Aug-2023"/>
  </r>
  <r>
    <n v="11279"/>
    <n v="24"/>
    <x v="1"/>
    <x v="2"/>
    <x v="454"/>
    <d v="2026-01-02T00:00:00"/>
    <x v="4"/>
    <x v="0"/>
    <s v="Active"/>
    <n v="3000"/>
    <x v="0"/>
    <s v="Safe"/>
    <s v="Jun-2024"/>
  </r>
  <r>
    <n v="11280"/>
    <n v="25"/>
    <x v="0"/>
    <x v="0"/>
    <x v="636"/>
    <d v="2025-12-18T00:00:00"/>
    <x v="0"/>
    <x v="0"/>
    <s v="Active"/>
    <n v="1200"/>
    <x v="2"/>
    <s v="Safe"/>
    <s v="May-2024"/>
  </r>
  <r>
    <n v="11281"/>
    <n v="31"/>
    <x v="0"/>
    <x v="0"/>
    <x v="595"/>
    <d v="2025-12-22T00:00:00"/>
    <x v="0"/>
    <x v="0"/>
    <s v="Active"/>
    <n v="1200"/>
    <x v="2"/>
    <s v="Safe"/>
    <s v="Oct-2023"/>
  </r>
  <r>
    <n v="11282"/>
    <n v="36"/>
    <x v="0"/>
    <x v="2"/>
    <x v="665"/>
    <d v="2025-12-20T00:00:00"/>
    <x v="4"/>
    <x v="0"/>
    <s v="Active"/>
    <n v="3000"/>
    <x v="1"/>
    <s v="Safe"/>
    <s v="Mar-2025"/>
  </r>
  <r>
    <n v="11283"/>
    <n v="23"/>
    <x v="0"/>
    <x v="0"/>
    <x v="666"/>
    <d v="2025-12-24T00:00:00"/>
    <x v="2"/>
    <x v="1"/>
    <s v="Active"/>
    <n v="1700"/>
    <x v="0"/>
    <s v="Safe"/>
    <s v="Dec-2025"/>
  </r>
  <r>
    <n v="11284"/>
    <n v="18"/>
    <x v="1"/>
    <x v="2"/>
    <x v="154"/>
    <d v="2026-01-09T00:00:00"/>
    <x v="4"/>
    <x v="0"/>
    <s v="Active"/>
    <n v="3000"/>
    <x v="0"/>
    <s v="Safe"/>
    <s v="Sep-2023"/>
  </r>
  <r>
    <n v="11285"/>
    <n v="40"/>
    <x v="0"/>
    <x v="0"/>
    <x v="207"/>
    <d v="2026-01-05T00:00:00"/>
    <x v="2"/>
    <x v="1"/>
    <s v="Active"/>
    <n v="1700"/>
    <x v="1"/>
    <s v="Safe"/>
    <s v="Jan-2025"/>
  </r>
  <r>
    <n v="11286"/>
    <n v="32"/>
    <x v="0"/>
    <x v="0"/>
    <x v="189"/>
    <d v="2025-12-28T00:00:00"/>
    <x v="0"/>
    <x v="0"/>
    <s v="Active"/>
    <n v="1200"/>
    <x v="2"/>
    <s v="Safe"/>
    <s v="Sep-2023"/>
  </r>
  <r>
    <n v="11287"/>
    <n v="18"/>
    <x v="0"/>
    <x v="1"/>
    <x v="536"/>
    <d v="2026-01-09T00:00:00"/>
    <x v="1"/>
    <x v="1"/>
    <s v="Active"/>
    <n v="15600"/>
    <x v="0"/>
    <s v="Safe"/>
    <s v="Dec-2024"/>
  </r>
  <r>
    <n v="11288"/>
    <n v="42"/>
    <x v="0"/>
    <x v="0"/>
    <x v="195"/>
    <d v="2025-12-25T00:00:00"/>
    <x v="0"/>
    <x v="0"/>
    <s v="Active"/>
    <n v="1200"/>
    <x v="1"/>
    <s v="Safe"/>
    <s v="Jan-2025"/>
  </r>
  <r>
    <n v="11289"/>
    <n v="34"/>
    <x v="0"/>
    <x v="2"/>
    <x v="434"/>
    <d v="2026-01-10T00:00:00"/>
    <x v="4"/>
    <x v="0"/>
    <s v="Active"/>
    <n v="3000"/>
    <x v="2"/>
    <s v="Safe"/>
    <s v="May-2024"/>
  </r>
  <r>
    <n v="11290"/>
    <n v="18"/>
    <x v="1"/>
    <x v="2"/>
    <x v="667"/>
    <d v="2026-01-03T00:00:00"/>
    <x v="4"/>
    <x v="0"/>
    <s v="Active"/>
    <n v="3000"/>
    <x v="0"/>
    <s v="Safe"/>
    <s v="Apr-2025"/>
  </r>
  <r>
    <n v="11291"/>
    <n v="32"/>
    <x v="1"/>
    <x v="1"/>
    <x v="668"/>
    <d v="2025-10-04T00:00:00"/>
    <x v="3"/>
    <x v="0"/>
    <s v="Inactive"/>
    <n v="9600"/>
    <x v="2"/>
    <s v="High Risk"/>
    <s v="May-2024"/>
  </r>
  <r>
    <n v="11292"/>
    <n v="40"/>
    <x v="1"/>
    <x v="0"/>
    <x v="237"/>
    <d v="2026-01-08T00:00:00"/>
    <x v="0"/>
    <x v="0"/>
    <s v="Active"/>
    <n v="1200"/>
    <x v="1"/>
    <s v="Safe"/>
    <s v="Aug-2025"/>
  </r>
  <r>
    <n v="11293"/>
    <n v="19"/>
    <x v="0"/>
    <x v="2"/>
    <x v="264"/>
    <d v="2025-12-26T00:00:00"/>
    <x v="4"/>
    <x v="0"/>
    <s v="Active"/>
    <n v="3000"/>
    <x v="0"/>
    <s v="Safe"/>
    <s v="Jul-2024"/>
  </r>
  <r>
    <n v="11294"/>
    <n v="31"/>
    <x v="0"/>
    <x v="1"/>
    <x v="659"/>
    <d v="2026-01-03T00:00:00"/>
    <x v="3"/>
    <x v="0"/>
    <s v="Active"/>
    <n v="9600"/>
    <x v="2"/>
    <s v="Safe"/>
    <s v="Oct-2025"/>
  </r>
  <r>
    <n v="11295"/>
    <n v="38"/>
    <x v="0"/>
    <x v="2"/>
    <x v="468"/>
    <d v="2026-01-08T00:00:00"/>
    <x v="5"/>
    <x v="1"/>
    <s v="Active"/>
    <n v="4500"/>
    <x v="1"/>
    <s v="Safe"/>
    <s v="Jan-2024"/>
  </r>
  <r>
    <n v="11296"/>
    <n v="25"/>
    <x v="0"/>
    <x v="2"/>
    <x v="112"/>
    <d v="2026-01-06T00:00:00"/>
    <x v="4"/>
    <x v="0"/>
    <s v="Active"/>
    <n v="3000"/>
    <x v="2"/>
    <s v="Safe"/>
    <s v="Oct-2024"/>
  </r>
  <r>
    <n v="11297"/>
    <n v="25"/>
    <x v="1"/>
    <x v="2"/>
    <x v="89"/>
    <d v="2025-12-25T00:00:00"/>
    <x v="5"/>
    <x v="1"/>
    <s v="Active"/>
    <n v="4500"/>
    <x v="2"/>
    <s v="Safe"/>
    <s v="May-2024"/>
  </r>
  <r>
    <n v="11298"/>
    <n v="36"/>
    <x v="0"/>
    <x v="2"/>
    <x v="456"/>
    <d v="2025-12-24T00:00:00"/>
    <x v="5"/>
    <x v="1"/>
    <s v="Active"/>
    <n v="4500"/>
    <x v="1"/>
    <s v="Safe"/>
    <s v="Jan-2025"/>
  </r>
  <r>
    <n v="11299"/>
    <n v="24"/>
    <x v="1"/>
    <x v="2"/>
    <x v="193"/>
    <d v="2025-10-14T00:00:00"/>
    <x v="4"/>
    <x v="0"/>
    <s v="Inactive"/>
    <n v="3000"/>
    <x v="0"/>
    <s v="High Risk"/>
    <s v="Sep-2024"/>
  </r>
  <r>
    <n v="11300"/>
    <n v="36"/>
    <x v="1"/>
    <x v="0"/>
    <x v="669"/>
    <d v="2025-12-17T00:00:00"/>
    <x v="0"/>
    <x v="0"/>
    <s v="Active"/>
    <n v="1200"/>
    <x v="1"/>
    <s v="Safe"/>
    <s v="Aug-2023"/>
  </r>
  <r>
    <n v="11301"/>
    <n v="23"/>
    <x v="0"/>
    <x v="0"/>
    <x v="55"/>
    <d v="2025-12-17T00:00:00"/>
    <x v="0"/>
    <x v="0"/>
    <s v="Active"/>
    <n v="1200"/>
    <x v="0"/>
    <s v="Safe"/>
    <s v="Nov-2024"/>
  </r>
  <r>
    <n v="11302"/>
    <n v="23"/>
    <x v="0"/>
    <x v="1"/>
    <x v="670"/>
    <d v="2025-12-29T00:00:00"/>
    <x v="1"/>
    <x v="1"/>
    <s v="Active"/>
    <n v="15600"/>
    <x v="0"/>
    <s v="Safe"/>
    <s v="Sep-2023"/>
  </r>
  <r>
    <n v="11303"/>
    <n v="20"/>
    <x v="0"/>
    <x v="0"/>
    <x v="521"/>
    <d v="2025-11-02T00:00:00"/>
    <x v="0"/>
    <x v="0"/>
    <s v="Inactive"/>
    <n v="1200"/>
    <x v="0"/>
    <s v="High Risk"/>
    <s v="Oct-2023"/>
  </r>
  <r>
    <n v="11304"/>
    <n v="24"/>
    <x v="0"/>
    <x v="2"/>
    <x v="671"/>
    <d v="2026-01-02T00:00:00"/>
    <x v="5"/>
    <x v="1"/>
    <s v="Active"/>
    <n v="4500"/>
    <x v="0"/>
    <s v="Safe"/>
    <s v="Aug-2025"/>
  </r>
  <r>
    <n v="11305"/>
    <n v="36"/>
    <x v="1"/>
    <x v="0"/>
    <x v="315"/>
    <d v="2025-09-18T00:00:00"/>
    <x v="2"/>
    <x v="1"/>
    <s v="Inactive"/>
    <n v="1700"/>
    <x v="1"/>
    <s v="High Risk"/>
    <s v="Sep-2023"/>
  </r>
  <r>
    <n v="11306"/>
    <n v="25"/>
    <x v="0"/>
    <x v="2"/>
    <x v="277"/>
    <d v="2025-12-03T00:00:00"/>
    <x v="5"/>
    <x v="1"/>
    <s v="Inactive"/>
    <n v="4500"/>
    <x v="2"/>
    <s v="High Risk"/>
    <s v="Oct-2025"/>
  </r>
  <r>
    <n v="11307"/>
    <n v="27"/>
    <x v="0"/>
    <x v="0"/>
    <x v="672"/>
    <d v="2025-12-28T00:00:00"/>
    <x v="0"/>
    <x v="0"/>
    <s v="Active"/>
    <n v="1200"/>
    <x v="2"/>
    <s v="Safe"/>
    <s v="Jun-2025"/>
  </r>
  <r>
    <n v="11308"/>
    <n v="37"/>
    <x v="0"/>
    <x v="0"/>
    <x v="492"/>
    <d v="2025-12-31T00:00:00"/>
    <x v="0"/>
    <x v="0"/>
    <s v="Active"/>
    <n v="1200"/>
    <x v="1"/>
    <s v="Safe"/>
    <s v="Jul-2025"/>
  </r>
  <r>
    <n v="11309"/>
    <n v="32"/>
    <x v="1"/>
    <x v="1"/>
    <x v="185"/>
    <d v="2025-12-25T00:00:00"/>
    <x v="1"/>
    <x v="1"/>
    <s v="Active"/>
    <n v="15600"/>
    <x v="2"/>
    <s v="Safe"/>
    <s v="Jan-2025"/>
  </r>
  <r>
    <n v="11310"/>
    <n v="32"/>
    <x v="0"/>
    <x v="1"/>
    <x v="207"/>
    <d v="2025-12-26T00:00:00"/>
    <x v="3"/>
    <x v="0"/>
    <s v="Active"/>
    <n v="9600"/>
    <x v="2"/>
    <s v="Safe"/>
    <s v="Jan-2025"/>
  </r>
  <r>
    <n v="11311"/>
    <n v="18"/>
    <x v="1"/>
    <x v="2"/>
    <x v="276"/>
    <d v="2026-01-01T00:00:00"/>
    <x v="5"/>
    <x v="1"/>
    <s v="Active"/>
    <n v="4500"/>
    <x v="0"/>
    <s v="Safe"/>
    <s v="Jun-2024"/>
  </r>
  <r>
    <n v="11312"/>
    <n v="37"/>
    <x v="0"/>
    <x v="2"/>
    <x v="673"/>
    <d v="2026-01-10T00:00:00"/>
    <x v="4"/>
    <x v="0"/>
    <s v="Active"/>
    <n v="3000"/>
    <x v="1"/>
    <s v="Safe"/>
    <s v="Jan-2025"/>
  </r>
  <r>
    <n v="11313"/>
    <n v="24"/>
    <x v="1"/>
    <x v="2"/>
    <x v="392"/>
    <d v="2025-12-23T00:00:00"/>
    <x v="4"/>
    <x v="0"/>
    <s v="Active"/>
    <n v="3000"/>
    <x v="0"/>
    <s v="Safe"/>
    <s v="May-2024"/>
  </r>
  <r>
    <n v="11314"/>
    <n v="44"/>
    <x v="1"/>
    <x v="2"/>
    <x v="181"/>
    <d v="2026-01-08T00:00:00"/>
    <x v="4"/>
    <x v="0"/>
    <s v="Active"/>
    <n v="3000"/>
    <x v="1"/>
    <s v="Safe"/>
    <s v="Jun-2024"/>
  </r>
  <r>
    <n v="11315"/>
    <n v="21"/>
    <x v="0"/>
    <x v="2"/>
    <x v="322"/>
    <d v="2025-12-21T00:00:00"/>
    <x v="4"/>
    <x v="0"/>
    <s v="Active"/>
    <n v="3000"/>
    <x v="0"/>
    <s v="Safe"/>
    <s v="Sep-2024"/>
  </r>
  <r>
    <n v="11316"/>
    <n v="23"/>
    <x v="0"/>
    <x v="0"/>
    <x v="461"/>
    <d v="2026-01-03T00:00:00"/>
    <x v="0"/>
    <x v="0"/>
    <s v="Active"/>
    <n v="1200"/>
    <x v="0"/>
    <s v="Safe"/>
    <s v="Aug-2023"/>
  </r>
  <r>
    <n v="11317"/>
    <n v="42"/>
    <x v="1"/>
    <x v="2"/>
    <x v="674"/>
    <d v="2025-12-25T00:00:00"/>
    <x v="4"/>
    <x v="0"/>
    <s v="Active"/>
    <n v="3000"/>
    <x v="1"/>
    <s v="Safe"/>
    <s v="Apr-2024"/>
  </r>
  <r>
    <n v="11318"/>
    <n v="18"/>
    <x v="0"/>
    <x v="1"/>
    <x v="30"/>
    <d v="2026-01-01T00:00:00"/>
    <x v="3"/>
    <x v="0"/>
    <s v="Active"/>
    <n v="9600"/>
    <x v="0"/>
    <s v="Safe"/>
    <s v="Nov-2023"/>
  </r>
  <r>
    <n v="11319"/>
    <n v="22"/>
    <x v="1"/>
    <x v="1"/>
    <x v="420"/>
    <d v="2025-12-25T00:00:00"/>
    <x v="3"/>
    <x v="0"/>
    <s v="Active"/>
    <n v="9600"/>
    <x v="0"/>
    <s v="Safe"/>
    <s v="May-2024"/>
  </r>
  <r>
    <n v="11320"/>
    <n v="44"/>
    <x v="0"/>
    <x v="0"/>
    <x v="501"/>
    <d v="2025-12-27T00:00:00"/>
    <x v="0"/>
    <x v="0"/>
    <s v="Active"/>
    <n v="1200"/>
    <x v="1"/>
    <s v="Safe"/>
    <s v="Jun-2025"/>
  </r>
  <r>
    <n v="11321"/>
    <n v="40"/>
    <x v="1"/>
    <x v="2"/>
    <x v="675"/>
    <d v="2025-10-01T00:00:00"/>
    <x v="5"/>
    <x v="1"/>
    <s v="Inactive"/>
    <n v="4500"/>
    <x v="1"/>
    <s v="High Risk"/>
    <s v="Aug-2024"/>
  </r>
  <r>
    <n v="11322"/>
    <n v="18"/>
    <x v="1"/>
    <x v="2"/>
    <x v="17"/>
    <d v="2025-10-19T00:00:00"/>
    <x v="4"/>
    <x v="0"/>
    <s v="Inactive"/>
    <n v="3000"/>
    <x v="0"/>
    <s v="High Risk"/>
    <s v="Mar-2025"/>
  </r>
  <r>
    <n v="11323"/>
    <n v="21"/>
    <x v="1"/>
    <x v="0"/>
    <x v="74"/>
    <d v="2025-12-17T00:00:00"/>
    <x v="0"/>
    <x v="0"/>
    <s v="Active"/>
    <n v="1200"/>
    <x v="0"/>
    <s v="Safe"/>
    <s v="Oct-2025"/>
  </r>
  <r>
    <n v="11324"/>
    <n v="39"/>
    <x v="0"/>
    <x v="0"/>
    <x v="676"/>
    <d v="2026-01-05T00:00:00"/>
    <x v="2"/>
    <x v="1"/>
    <s v="Active"/>
    <n v="1700"/>
    <x v="1"/>
    <s v="Safe"/>
    <s v="Oct-2025"/>
  </r>
  <r>
    <n v="11325"/>
    <n v="19"/>
    <x v="0"/>
    <x v="0"/>
    <x v="177"/>
    <d v="2025-12-01T00:00:00"/>
    <x v="0"/>
    <x v="0"/>
    <s v="Inactive"/>
    <n v="1200"/>
    <x v="0"/>
    <s v="High Risk"/>
    <s v="Oct-2025"/>
  </r>
  <r>
    <n v="11326"/>
    <n v="27"/>
    <x v="0"/>
    <x v="0"/>
    <x v="677"/>
    <d v="2025-12-25T00:00:00"/>
    <x v="0"/>
    <x v="0"/>
    <s v="Active"/>
    <n v="1200"/>
    <x v="2"/>
    <s v="Safe"/>
    <s v="Feb-2025"/>
  </r>
  <r>
    <n v="11327"/>
    <n v="22"/>
    <x v="0"/>
    <x v="0"/>
    <x v="612"/>
    <d v="2025-12-17T00:00:00"/>
    <x v="0"/>
    <x v="0"/>
    <s v="Active"/>
    <n v="1200"/>
    <x v="0"/>
    <s v="Safe"/>
    <s v="Jun-2025"/>
  </r>
  <r>
    <n v="11328"/>
    <n v="44"/>
    <x v="0"/>
    <x v="2"/>
    <x v="613"/>
    <d v="2026-01-10T00:00:00"/>
    <x v="4"/>
    <x v="0"/>
    <s v="Active"/>
    <n v="3000"/>
    <x v="1"/>
    <s v="Safe"/>
    <s v="Mar-2024"/>
  </r>
  <r>
    <n v="11329"/>
    <n v="27"/>
    <x v="0"/>
    <x v="2"/>
    <x v="668"/>
    <d v="2025-10-24T00:00:00"/>
    <x v="4"/>
    <x v="0"/>
    <s v="Inactive"/>
    <n v="3000"/>
    <x v="2"/>
    <s v="High Risk"/>
    <s v="May-2024"/>
  </r>
  <r>
    <n v="11330"/>
    <n v="18"/>
    <x v="1"/>
    <x v="2"/>
    <x v="653"/>
    <d v="2025-10-01T00:00:00"/>
    <x v="4"/>
    <x v="0"/>
    <s v="Inactive"/>
    <n v="3000"/>
    <x v="0"/>
    <s v="High Risk"/>
    <s v="Nov-2025"/>
  </r>
  <r>
    <n v="11331"/>
    <n v="39"/>
    <x v="0"/>
    <x v="1"/>
    <x v="320"/>
    <d v="2025-12-17T00:00:00"/>
    <x v="3"/>
    <x v="0"/>
    <s v="Active"/>
    <n v="9600"/>
    <x v="1"/>
    <s v="Safe"/>
    <s v="Jun-2025"/>
  </r>
  <r>
    <n v="11332"/>
    <n v="23"/>
    <x v="0"/>
    <x v="0"/>
    <x v="403"/>
    <d v="2025-12-20T00:00:00"/>
    <x v="0"/>
    <x v="0"/>
    <s v="Active"/>
    <n v="1200"/>
    <x v="0"/>
    <s v="Safe"/>
    <s v="Oct-2024"/>
  </r>
  <r>
    <n v="11333"/>
    <n v="30"/>
    <x v="0"/>
    <x v="0"/>
    <x v="266"/>
    <d v="2025-12-27T00:00:00"/>
    <x v="0"/>
    <x v="0"/>
    <s v="Active"/>
    <n v="1200"/>
    <x v="2"/>
    <s v="Safe"/>
    <s v="Aug-2025"/>
  </r>
  <r>
    <n v="11334"/>
    <n v="32"/>
    <x v="0"/>
    <x v="2"/>
    <x v="176"/>
    <d v="2025-12-31T00:00:00"/>
    <x v="4"/>
    <x v="0"/>
    <s v="Active"/>
    <n v="3000"/>
    <x v="2"/>
    <s v="Safe"/>
    <s v="Apr-2025"/>
  </r>
  <r>
    <n v="11335"/>
    <n v="21"/>
    <x v="0"/>
    <x v="0"/>
    <x v="199"/>
    <d v="2026-01-05T00:00:00"/>
    <x v="0"/>
    <x v="0"/>
    <s v="Active"/>
    <n v="1200"/>
    <x v="0"/>
    <s v="Safe"/>
    <s v="Aug-2024"/>
  </r>
  <r>
    <n v="11336"/>
    <n v="30"/>
    <x v="1"/>
    <x v="0"/>
    <x v="678"/>
    <d v="2025-10-20T00:00:00"/>
    <x v="0"/>
    <x v="0"/>
    <s v="Inactive"/>
    <n v="1200"/>
    <x v="2"/>
    <s v="High Risk"/>
    <s v="Aug-2024"/>
  </r>
  <r>
    <n v="11337"/>
    <n v="41"/>
    <x v="1"/>
    <x v="0"/>
    <x v="185"/>
    <d v="2025-12-22T00:00:00"/>
    <x v="0"/>
    <x v="0"/>
    <s v="Active"/>
    <n v="1200"/>
    <x v="1"/>
    <s v="Safe"/>
    <s v="Jan-2025"/>
  </r>
  <r>
    <n v="11338"/>
    <n v="37"/>
    <x v="0"/>
    <x v="0"/>
    <x v="318"/>
    <d v="2025-12-19T00:00:00"/>
    <x v="2"/>
    <x v="1"/>
    <s v="Active"/>
    <n v="1700"/>
    <x v="1"/>
    <s v="Safe"/>
    <s v="Aug-2024"/>
  </r>
  <r>
    <n v="11339"/>
    <n v="41"/>
    <x v="0"/>
    <x v="1"/>
    <x v="649"/>
    <d v="2025-10-18T00:00:00"/>
    <x v="1"/>
    <x v="1"/>
    <s v="Inactive"/>
    <n v="15600"/>
    <x v="1"/>
    <s v="High Risk"/>
    <s v="Jul-2025"/>
  </r>
  <r>
    <n v="11340"/>
    <n v="32"/>
    <x v="1"/>
    <x v="0"/>
    <x v="85"/>
    <d v="2025-12-31T00:00:00"/>
    <x v="0"/>
    <x v="0"/>
    <s v="Active"/>
    <n v="1200"/>
    <x v="2"/>
    <s v="Safe"/>
    <s v="Mar-2024"/>
  </r>
  <r>
    <n v="11341"/>
    <n v="25"/>
    <x v="0"/>
    <x v="2"/>
    <x v="500"/>
    <d v="2026-01-10T00:00:00"/>
    <x v="4"/>
    <x v="0"/>
    <s v="Active"/>
    <n v="3000"/>
    <x v="2"/>
    <s v="Safe"/>
    <s v="Jan-2025"/>
  </r>
  <r>
    <n v="11342"/>
    <n v="22"/>
    <x v="0"/>
    <x v="0"/>
    <x v="582"/>
    <d v="2025-12-30T00:00:00"/>
    <x v="2"/>
    <x v="1"/>
    <s v="Active"/>
    <n v="1700"/>
    <x v="0"/>
    <s v="Safe"/>
    <s v="Oct-2025"/>
  </r>
  <r>
    <n v="11343"/>
    <n v="32"/>
    <x v="0"/>
    <x v="2"/>
    <x v="30"/>
    <d v="2026-01-01T00:00:00"/>
    <x v="5"/>
    <x v="1"/>
    <s v="Active"/>
    <n v="4500"/>
    <x v="2"/>
    <s v="Safe"/>
    <s v="Nov-2023"/>
  </r>
  <r>
    <n v="11344"/>
    <n v="21"/>
    <x v="0"/>
    <x v="0"/>
    <x v="679"/>
    <d v="2025-12-17T00:00:00"/>
    <x v="2"/>
    <x v="1"/>
    <s v="Active"/>
    <n v="1700"/>
    <x v="0"/>
    <s v="Safe"/>
    <s v="Jun-2024"/>
  </r>
  <r>
    <n v="11345"/>
    <n v="29"/>
    <x v="0"/>
    <x v="2"/>
    <x v="337"/>
    <d v="2025-11-27T00:00:00"/>
    <x v="4"/>
    <x v="0"/>
    <s v="Inactive"/>
    <n v="3000"/>
    <x v="2"/>
    <s v="High Risk"/>
    <s v="May-2025"/>
  </r>
  <r>
    <n v="11346"/>
    <n v="30"/>
    <x v="0"/>
    <x v="0"/>
    <x v="680"/>
    <d v="2026-01-02T00:00:00"/>
    <x v="2"/>
    <x v="1"/>
    <s v="Active"/>
    <n v="1700"/>
    <x v="2"/>
    <s v="Safe"/>
    <s v="Mar-2025"/>
  </r>
  <r>
    <n v="11347"/>
    <n v="19"/>
    <x v="0"/>
    <x v="0"/>
    <x v="681"/>
    <d v="2025-10-16T00:00:00"/>
    <x v="0"/>
    <x v="0"/>
    <s v="Inactive"/>
    <n v="1200"/>
    <x v="0"/>
    <s v="High Risk"/>
    <s v="Mar-2024"/>
  </r>
  <r>
    <n v="11348"/>
    <n v="44"/>
    <x v="1"/>
    <x v="2"/>
    <x v="86"/>
    <d v="2025-12-26T00:00:00"/>
    <x v="4"/>
    <x v="0"/>
    <s v="Active"/>
    <n v="3000"/>
    <x v="1"/>
    <s v="Safe"/>
    <s v="Jul-2024"/>
  </r>
  <r>
    <n v="11349"/>
    <n v="36"/>
    <x v="0"/>
    <x v="0"/>
    <x v="682"/>
    <d v="2026-01-04T00:00:00"/>
    <x v="0"/>
    <x v="0"/>
    <s v="Active"/>
    <n v="1200"/>
    <x v="1"/>
    <s v="Safe"/>
    <s v="Mar-2025"/>
  </r>
  <r>
    <n v="11350"/>
    <n v="36"/>
    <x v="1"/>
    <x v="0"/>
    <x v="533"/>
    <d v="2025-12-31T00:00:00"/>
    <x v="0"/>
    <x v="0"/>
    <s v="Active"/>
    <n v="1200"/>
    <x v="1"/>
    <s v="Safe"/>
    <s v="Jan-2024"/>
  </r>
  <r>
    <n v="11351"/>
    <n v="21"/>
    <x v="1"/>
    <x v="0"/>
    <x v="470"/>
    <d v="2025-12-26T00:00:00"/>
    <x v="2"/>
    <x v="1"/>
    <s v="Active"/>
    <n v="1700"/>
    <x v="0"/>
    <s v="Safe"/>
    <s v="Aug-2025"/>
  </r>
  <r>
    <n v="11352"/>
    <n v="21"/>
    <x v="0"/>
    <x v="1"/>
    <x v="364"/>
    <d v="2026-01-03T00:00:00"/>
    <x v="3"/>
    <x v="0"/>
    <s v="Active"/>
    <n v="9600"/>
    <x v="0"/>
    <s v="Safe"/>
    <s v="Nov-2025"/>
  </r>
  <r>
    <n v="11353"/>
    <n v="43"/>
    <x v="0"/>
    <x v="0"/>
    <x v="484"/>
    <d v="2025-11-10T00:00:00"/>
    <x v="0"/>
    <x v="0"/>
    <s v="Inactive"/>
    <n v="1200"/>
    <x v="1"/>
    <s v="High Risk"/>
    <s v="Jun-2025"/>
  </r>
  <r>
    <n v="11354"/>
    <n v="28"/>
    <x v="0"/>
    <x v="2"/>
    <x v="633"/>
    <d v="2026-01-09T00:00:00"/>
    <x v="4"/>
    <x v="0"/>
    <s v="Active"/>
    <n v="3000"/>
    <x v="2"/>
    <s v="Safe"/>
    <s v="Jan-2024"/>
  </r>
  <r>
    <n v="11355"/>
    <n v="44"/>
    <x v="0"/>
    <x v="0"/>
    <x v="683"/>
    <d v="2025-09-27T00:00:00"/>
    <x v="0"/>
    <x v="0"/>
    <s v="Inactive"/>
    <n v="1200"/>
    <x v="1"/>
    <s v="High Risk"/>
    <s v="Jan-2025"/>
  </r>
  <r>
    <n v="11356"/>
    <n v="22"/>
    <x v="1"/>
    <x v="0"/>
    <x v="684"/>
    <d v="2025-09-30T00:00:00"/>
    <x v="0"/>
    <x v="0"/>
    <s v="Inactive"/>
    <n v="1200"/>
    <x v="0"/>
    <s v="High Risk"/>
    <s v="May-2025"/>
  </r>
  <r>
    <n v="11357"/>
    <n v="37"/>
    <x v="0"/>
    <x v="0"/>
    <x v="685"/>
    <d v="2025-09-14T00:00:00"/>
    <x v="2"/>
    <x v="1"/>
    <s v="Inactive"/>
    <n v="1700"/>
    <x v="1"/>
    <s v="High Risk"/>
    <s v="Nov-2025"/>
  </r>
  <r>
    <n v="11358"/>
    <n v="28"/>
    <x v="1"/>
    <x v="1"/>
    <x v="686"/>
    <d v="2026-01-05T00:00:00"/>
    <x v="3"/>
    <x v="0"/>
    <s v="Active"/>
    <n v="9600"/>
    <x v="2"/>
    <s v="Safe"/>
    <s v="Apr-2025"/>
  </r>
  <r>
    <n v="11359"/>
    <n v="27"/>
    <x v="0"/>
    <x v="0"/>
    <x v="116"/>
    <d v="2025-12-19T00:00:00"/>
    <x v="2"/>
    <x v="1"/>
    <s v="Active"/>
    <n v="1700"/>
    <x v="2"/>
    <s v="Safe"/>
    <s v="Jun-2024"/>
  </r>
  <r>
    <n v="11360"/>
    <n v="25"/>
    <x v="0"/>
    <x v="0"/>
    <x v="18"/>
    <d v="2025-10-28T00:00:00"/>
    <x v="0"/>
    <x v="0"/>
    <s v="Inactive"/>
    <n v="1200"/>
    <x v="2"/>
    <s v="High Risk"/>
    <s v="Jun-2025"/>
  </r>
  <r>
    <n v="11361"/>
    <n v="23"/>
    <x v="0"/>
    <x v="0"/>
    <x v="4"/>
    <d v="2026-01-05T00:00:00"/>
    <x v="2"/>
    <x v="1"/>
    <s v="Active"/>
    <n v="1700"/>
    <x v="0"/>
    <s v="Safe"/>
    <s v="Feb-2024"/>
  </r>
  <r>
    <n v="11362"/>
    <n v="23"/>
    <x v="0"/>
    <x v="0"/>
    <x v="462"/>
    <d v="2026-01-05T00:00:00"/>
    <x v="2"/>
    <x v="1"/>
    <s v="Active"/>
    <n v="1700"/>
    <x v="0"/>
    <s v="Safe"/>
    <s v="Apr-2025"/>
  </r>
  <r>
    <n v="11363"/>
    <n v="25"/>
    <x v="0"/>
    <x v="0"/>
    <x v="483"/>
    <d v="2025-10-08T00:00:00"/>
    <x v="0"/>
    <x v="0"/>
    <s v="Inactive"/>
    <n v="1200"/>
    <x v="2"/>
    <s v="High Risk"/>
    <s v="Sep-2024"/>
  </r>
  <r>
    <n v="11364"/>
    <n v="40"/>
    <x v="0"/>
    <x v="2"/>
    <x v="482"/>
    <d v="2026-01-07T00:00:00"/>
    <x v="5"/>
    <x v="1"/>
    <s v="Active"/>
    <n v="4500"/>
    <x v="1"/>
    <s v="Safe"/>
    <s v="May-2025"/>
  </r>
  <r>
    <n v="11365"/>
    <n v="32"/>
    <x v="0"/>
    <x v="0"/>
    <x v="303"/>
    <d v="2025-10-27T00:00:00"/>
    <x v="0"/>
    <x v="0"/>
    <s v="Inactive"/>
    <n v="1200"/>
    <x v="2"/>
    <s v="High Risk"/>
    <s v="Oct-2023"/>
  </r>
  <r>
    <n v="11366"/>
    <n v="43"/>
    <x v="0"/>
    <x v="0"/>
    <x v="439"/>
    <d v="2025-12-24T00:00:00"/>
    <x v="2"/>
    <x v="1"/>
    <s v="Active"/>
    <n v="1700"/>
    <x v="1"/>
    <s v="Safe"/>
    <s v="Apr-2025"/>
  </r>
  <r>
    <n v="11367"/>
    <n v="31"/>
    <x v="1"/>
    <x v="2"/>
    <x v="687"/>
    <d v="2026-01-10T00:00:00"/>
    <x v="5"/>
    <x v="1"/>
    <s v="Active"/>
    <n v="4500"/>
    <x v="2"/>
    <s v="Safe"/>
    <s v="Oct-2023"/>
  </r>
  <r>
    <n v="11368"/>
    <n v="28"/>
    <x v="0"/>
    <x v="0"/>
    <x v="688"/>
    <d v="2025-11-18T00:00:00"/>
    <x v="0"/>
    <x v="0"/>
    <s v="Inactive"/>
    <n v="1200"/>
    <x v="2"/>
    <s v="High Risk"/>
    <s v="Nov-2025"/>
  </r>
  <r>
    <n v="11369"/>
    <n v="29"/>
    <x v="1"/>
    <x v="0"/>
    <x v="689"/>
    <d v="2025-12-24T00:00:00"/>
    <x v="0"/>
    <x v="0"/>
    <s v="Active"/>
    <n v="1200"/>
    <x v="2"/>
    <s v="Safe"/>
    <s v="Sep-2023"/>
  </r>
  <r>
    <n v="11370"/>
    <n v="43"/>
    <x v="1"/>
    <x v="0"/>
    <x v="372"/>
    <d v="2025-12-22T00:00:00"/>
    <x v="0"/>
    <x v="0"/>
    <s v="Active"/>
    <n v="1200"/>
    <x v="1"/>
    <s v="Safe"/>
    <s v="Oct-2023"/>
  </r>
  <r>
    <n v="11371"/>
    <n v="30"/>
    <x v="1"/>
    <x v="2"/>
    <x v="690"/>
    <d v="2026-01-04T00:00:00"/>
    <x v="5"/>
    <x v="1"/>
    <s v="Active"/>
    <n v="4500"/>
    <x v="2"/>
    <s v="Safe"/>
    <s v="Sep-2025"/>
  </r>
  <r>
    <n v="11372"/>
    <n v="25"/>
    <x v="0"/>
    <x v="0"/>
    <x v="691"/>
    <d v="2025-12-21T00:00:00"/>
    <x v="0"/>
    <x v="0"/>
    <s v="Active"/>
    <n v="1200"/>
    <x v="2"/>
    <s v="Safe"/>
    <s v="Sep-2023"/>
  </r>
  <r>
    <n v="11373"/>
    <n v="35"/>
    <x v="1"/>
    <x v="2"/>
    <x v="610"/>
    <d v="2025-12-27T00:00:00"/>
    <x v="4"/>
    <x v="0"/>
    <s v="Active"/>
    <n v="3000"/>
    <x v="1"/>
    <s v="Safe"/>
    <s v="Jan-2024"/>
  </r>
  <r>
    <n v="11374"/>
    <n v="42"/>
    <x v="0"/>
    <x v="0"/>
    <x v="692"/>
    <d v="2026-01-02T00:00:00"/>
    <x v="0"/>
    <x v="0"/>
    <s v="Active"/>
    <n v="1200"/>
    <x v="1"/>
    <s v="Safe"/>
    <s v="Jan-2025"/>
  </r>
  <r>
    <n v="11375"/>
    <n v="18"/>
    <x v="0"/>
    <x v="2"/>
    <x v="110"/>
    <d v="2025-12-19T00:00:00"/>
    <x v="4"/>
    <x v="0"/>
    <s v="Active"/>
    <n v="3000"/>
    <x v="0"/>
    <s v="Safe"/>
    <s v="Nov-2024"/>
  </r>
  <r>
    <n v="11376"/>
    <n v="32"/>
    <x v="0"/>
    <x v="0"/>
    <x v="693"/>
    <d v="2026-01-10T00:00:00"/>
    <x v="0"/>
    <x v="0"/>
    <s v="Active"/>
    <n v="1200"/>
    <x v="2"/>
    <s v="Safe"/>
    <s v="Nov-2023"/>
  </r>
  <r>
    <n v="11377"/>
    <n v="25"/>
    <x v="1"/>
    <x v="2"/>
    <x v="187"/>
    <d v="2026-01-03T00:00:00"/>
    <x v="4"/>
    <x v="0"/>
    <s v="Active"/>
    <n v="3000"/>
    <x v="2"/>
    <s v="Safe"/>
    <s v="Jan-2025"/>
  </r>
  <r>
    <n v="11378"/>
    <n v="45"/>
    <x v="0"/>
    <x v="1"/>
    <x v="643"/>
    <d v="2025-12-19T00:00:00"/>
    <x v="3"/>
    <x v="0"/>
    <s v="Active"/>
    <n v="9600"/>
    <x v="1"/>
    <s v="Safe"/>
    <s v="Jul-2024"/>
  </r>
  <r>
    <n v="11379"/>
    <n v="28"/>
    <x v="1"/>
    <x v="2"/>
    <x v="434"/>
    <d v="2026-01-09T00:00:00"/>
    <x v="4"/>
    <x v="0"/>
    <s v="Active"/>
    <n v="3000"/>
    <x v="2"/>
    <s v="Safe"/>
    <s v="May-2024"/>
  </r>
  <r>
    <n v="11380"/>
    <n v="29"/>
    <x v="0"/>
    <x v="0"/>
    <x v="444"/>
    <d v="2026-01-08T00:00:00"/>
    <x v="0"/>
    <x v="0"/>
    <s v="Active"/>
    <n v="1200"/>
    <x v="2"/>
    <s v="Safe"/>
    <s v="Sep-2024"/>
  </r>
  <r>
    <n v="11381"/>
    <n v="29"/>
    <x v="1"/>
    <x v="0"/>
    <x v="694"/>
    <d v="2025-12-24T00:00:00"/>
    <x v="2"/>
    <x v="1"/>
    <s v="Active"/>
    <n v="1700"/>
    <x v="2"/>
    <s v="Safe"/>
    <s v="Jan-2025"/>
  </r>
  <r>
    <n v="11382"/>
    <n v="21"/>
    <x v="1"/>
    <x v="0"/>
    <x v="695"/>
    <d v="2025-12-04T00:00:00"/>
    <x v="0"/>
    <x v="0"/>
    <s v="Inactive"/>
    <n v="1200"/>
    <x v="0"/>
    <s v="High Risk"/>
    <s v="May-2024"/>
  </r>
  <r>
    <n v="11383"/>
    <n v="33"/>
    <x v="0"/>
    <x v="0"/>
    <x v="442"/>
    <d v="2025-12-20T00:00:00"/>
    <x v="0"/>
    <x v="0"/>
    <s v="Active"/>
    <n v="1200"/>
    <x v="2"/>
    <s v="Safe"/>
    <s v="Oct-2023"/>
  </r>
  <r>
    <n v="11384"/>
    <n v="21"/>
    <x v="1"/>
    <x v="0"/>
    <x v="78"/>
    <d v="2026-01-02T00:00:00"/>
    <x v="2"/>
    <x v="1"/>
    <s v="Active"/>
    <n v="1700"/>
    <x v="0"/>
    <s v="Safe"/>
    <s v="Nov-2023"/>
  </r>
  <r>
    <n v="11385"/>
    <n v="22"/>
    <x v="0"/>
    <x v="1"/>
    <x v="206"/>
    <d v="2025-12-19T00:00:00"/>
    <x v="1"/>
    <x v="1"/>
    <s v="Active"/>
    <n v="15600"/>
    <x v="0"/>
    <s v="Safe"/>
    <s v="Aug-2024"/>
  </r>
  <r>
    <n v="11386"/>
    <n v="41"/>
    <x v="0"/>
    <x v="0"/>
    <x v="24"/>
    <d v="2025-09-15T00:00:00"/>
    <x v="2"/>
    <x v="1"/>
    <s v="Inactive"/>
    <n v="1700"/>
    <x v="1"/>
    <s v="High Risk"/>
    <s v="Nov-2025"/>
  </r>
  <r>
    <n v="11387"/>
    <n v="22"/>
    <x v="0"/>
    <x v="0"/>
    <x v="602"/>
    <d v="2025-11-15T00:00:00"/>
    <x v="2"/>
    <x v="1"/>
    <s v="Inactive"/>
    <n v="1700"/>
    <x v="0"/>
    <s v="High Risk"/>
    <s v="Nov-2024"/>
  </r>
  <r>
    <n v="11388"/>
    <n v="25"/>
    <x v="0"/>
    <x v="2"/>
    <x v="559"/>
    <d v="2026-01-06T00:00:00"/>
    <x v="4"/>
    <x v="0"/>
    <s v="Active"/>
    <n v="3000"/>
    <x v="2"/>
    <s v="Safe"/>
    <s v="Dec-2025"/>
  </r>
  <r>
    <n v="11389"/>
    <n v="27"/>
    <x v="0"/>
    <x v="2"/>
    <x v="550"/>
    <d v="2025-12-26T00:00:00"/>
    <x v="4"/>
    <x v="0"/>
    <s v="Active"/>
    <n v="3000"/>
    <x v="2"/>
    <s v="Safe"/>
    <s v="Jun-2024"/>
  </r>
  <r>
    <n v="11390"/>
    <n v="34"/>
    <x v="0"/>
    <x v="0"/>
    <x v="460"/>
    <d v="2025-12-31T00:00:00"/>
    <x v="0"/>
    <x v="0"/>
    <s v="Active"/>
    <n v="1200"/>
    <x v="2"/>
    <s v="Safe"/>
    <s v="Nov-2023"/>
  </r>
  <r>
    <n v="11391"/>
    <n v="45"/>
    <x v="0"/>
    <x v="1"/>
    <x v="629"/>
    <d v="2025-11-24T00:00:00"/>
    <x v="1"/>
    <x v="1"/>
    <s v="Inactive"/>
    <n v="15600"/>
    <x v="1"/>
    <s v="High Risk"/>
    <s v="Dec-2024"/>
  </r>
  <r>
    <n v="11392"/>
    <n v="43"/>
    <x v="1"/>
    <x v="0"/>
    <x v="666"/>
    <d v="2025-10-13T00:00:00"/>
    <x v="0"/>
    <x v="0"/>
    <s v="Inactive"/>
    <n v="1200"/>
    <x v="1"/>
    <s v="High Risk"/>
    <s v="Dec-2025"/>
  </r>
  <r>
    <n v="11393"/>
    <n v="26"/>
    <x v="1"/>
    <x v="2"/>
    <x v="456"/>
    <d v="2026-01-07T00:00:00"/>
    <x v="4"/>
    <x v="0"/>
    <s v="Active"/>
    <n v="3000"/>
    <x v="2"/>
    <s v="Safe"/>
    <s v="Jan-2025"/>
  </r>
  <r>
    <n v="11394"/>
    <n v="39"/>
    <x v="1"/>
    <x v="1"/>
    <x v="696"/>
    <d v="2025-10-22T00:00:00"/>
    <x v="3"/>
    <x v="0"/>
    <s v="Inactive"/>
    <n v="9600"/>
    <x v="1"/>
    <s v="High Risk"/>
    <s v="May-2024"/>
  </r>
  <r>
    <n v="11395"/>
    <n v="36"/>
    <x v="1"/>
    <x v="2"/>
    <x v="483"/>
    <d v="2025-10-30T00:00:00"/>
    <x v="4"/>
    <x v="0"/>
    <s v="Inactive"/>
    <n v="3000"/>
    <x v="1"/>
    <s v="High Risk"/>
    <s v="Sep-2024"/>
  </r>
  <r>
    <n v="11396"/>
    <n v="31"/>
    <x v="1"/>
    <x v="2"/>
    <x v="148"/>
    <d v="2025-11-21T00:00:00"/>
    <x v="5"/>
    <x v="1"/>
    <s v="Inactive"/>
    <n v="4500"/>
    <x v="2"/>
    <s v="High Risk"/>
    <s v="Dec-2024"/>
  </r>
  <r>
    <n v="11397"/>
    <n v="25"/>
    <x v="0"/>
    <x v="0"/>
    <x v="390"/>
    <d v="2025-11-16T00:00:00"/>
    <x v="0"/>
    <x v="0"/>
    <s v="Inactive"/>
    <n v="1200"/>
    <x v="2"/>
    <s v="High Risk"/>
    <s v="Mar-2024"/>
  </r>
  <r>
    <n v="11398"/>
    <n v="26"/>
    <x v="0"/>
    <x v="0"/>
    <x v="22"/>
    <d v="2025-12-23T00:00:00"/>
    <x v="0"/>
    <x v="0"/>
    <s v="Active"/>
    <n v="1200"/>
    <x v="2"/>
    <s v="Safe"/>
    <s v="Apr-2024"/>
  </r>
  <r>
    <n v="11399"/>
    <n v="39"/>
    <x v="1"/>
    <x v="2"/>
    <x v="697"/>
    <d v="2026-01-03T00:00:00"/>
    <x v="4"/>
    <x v="0"/>
    <s v="Active"/>
    <n v="3000"/>
    <x v="1"/>
    <s v="Safe"/>
    <s v="May-2024"/>
  </r>
  <r>
    <n v="11400"/>
    <n v="28"/>
    <x v="0"/>
    <x v="0"/>
    <x v="698"/>
    <d v="2025-12-22T00:00:00"/>
    <x v="0"/>
    <x v="0"/>
    <s v="Active"/>
    <n v="1200"/>
    <x v="2"/>
    <s v="Safe"/>
    <s v="Nov-2023"/>
  </r>
  <r>
    <n v="11401"/>
    <n v="40"/>
    <x v="0"/>
    <x v="1"/>
    <x v="415"/>
    <d v="2025-10-20T00:00:00"/>
    <x v="1"/>
    <x v="1"/>
    <s v="Inactive"/>
    <n v="15600"/>
    <x v="1"/>
    <s v="High Risk"/>
    <s v="Jun-2024"/>
  </r>
  <r>
    <n v="11402"/>
    <n v="18"/>
    <x v="0"/>
    <x v="0"/>
    <x v="74"/>
    <d v="2025-12-02T00:00:00"/>
    <x v="0"/>
    <x v="0"/>
    <s v="Inactive"/>
    <n v="1200"/>
    <x v="0"/>
    <s v="High Risk"/>
    <s v="Oct-2025"/>
  </r>
  <r>
    <n v="11403"/>
    <n v="31"/>
    <x v="0"/>
    <x v="0"/>
    <x v="447"/>
    <d v="2025-10-24T00:00:00"/>
    <x v="0"/>
    <x v="0"/>
    <s v="Inactive"/>
    <n v="1200"/>
    <x v="2"/>
    <s v="High Risk"/>
    <s v="May-2024"/>
  </r>
  <r>
    <n v="11404"/>
    <n v="22"/>
    <x v="0"/>
    <x v="0"/>
    <x v="587"/>
    <d v="2026-01-03T00:00:00"/>
    <x v="2"/>
    <x v="1"/>
    <s v="Active"/>
    <n v="1700"/>
    <x v="0"/>
    <s v="Safe"/>
    <s v="Jul-2024"/>
  </r>
  <r>
    <n v="11405"/>
    <n v="38"/>
    <x v="0"/>
    <x v="0"/>
    <x v="143"/>
    <d v="2025-12-31T00:00:00"/>
    <x v="0"/>
    <x v="0"/>
    <s v="Active"/>
    <n v="1200"/>
    <x v="1"/>
    <s v="Safe"/>
    <s v="Oct-2025"/>
  </r>
  <r>
    <n v="11406"/>
    <n v="43"/>
    <x v="0"/>
    <x v="2"/>
    <x v="293"/>
    <d v="2025-09-17T00:00:00"/>
    <x v="5"/>
    <x v="1"/>
    <s v="Inactive"/>
    <n v="4500"/>
    <x v="1"/>
    <s v="High Risk"/>
    <s v="Oct-2023"/>
  </r>
  <r>
    <n v="11407"/>
    <n v="31"/>
    <x v="0"/>
    <x v="2"/>
    <x v="699"/>
    <d v="2025-12-31T00:00:00"/>
    <x v="5"/>
    <x v="1"/>
    <s v="Active"/>
    <n v="4500"/>
    <x v="2"/>
    <s v="Safe"/>
    <s v="Dec-2024"/>
  </r>
  <r>
    <n v="11408"/>
    <n v="21"/>
    <x v="0"/>
    <x v="2"/>
    <x v="521"/>
    <d v="2026-01-04T00:00:00"/>
    <x v="5"/>
    <x v="1"/>
    <s v="Active"/>
    <n v="4500"/>
    <x v="0"/>
    <s v="Safe"/>
    <s v="Oct-2023"/>
  </r>
  <r>
    <n v="11409"/>
    <n v="39"/>
    <x v="0"/>
    <x v="1"/>
    <x v="654"/>
    <d v="2025-11-12T00:00:00"/>
    <x v="1"/>
    <x v="1"/>
    <s v="Inactive"/>
    <n v="15600"/>
    <x v="1"/>
    <s v="High Risk"/>
    <s v="Mar-2024"/>
  </r>
  <r>
    <n v="11410"/>
    <n v="40"/>
    <x v="1"/>
    <x v="1"/>
    <x v="125"/>
    <d v="2026-01-10T00:00:00"/>
    <x v="3"/>
    <x v="0"/>
    <s v="Active"/>
    <n v="9600"/>
    <x v="1"/>
    <s v="Safe"/>
    <s v="May-2024"/>
  </r>
  <r>
    <n v="11411"/>
    <n v="42"/>
    <x v="0"/>
    <x v="1"/>
    <x v="9"/>
    <d v="2025-11-01T00:00:00"/>
    <x v="1"/>
    <x v="1"/>
    <s v="Inactive"/>
    <n v="15600"/>
    <x v="1"/>
    <s v="High Risk"/>
    <s v="Feb-2025"/>
  </r>
  <r>
    <n v="11412"/>
    <n v="18"/>
    <x v="0"/>
    <x v="0"/>
    <x v="435"/>
    <d v="2025-11-29T00:00:00"/>
    <x v="2"/>
    <x v="1"/>
    <s v="Inactive"/>
    <n v="1700"/>
    <x v="0"/>
    <s v="High Risk"/>
    <s v="Oct-2023"/>
  </r>
  <r>
    <n v="11413"/>
    <n v="39"/>
    <x v="1"/>
    <x v="2"/>
    <x v="700"/>
    <d v="2025-11-28T00:00:00"/>
    <x v="4"/>
    <x v="0"/>
    <s v="Inactive"/>
    <n v="3000"/>
    <x v="1"/>
    <s v="High Risk"/>
    <s v="Apr-2025"/>
  </r>
  <r>
    <n v="11414"/>
    <n v="40"/>
    <x v="0"/>
    <x v="0"/>
    <x v="114"/>
    <d v="2025-11-08T00:00:00"/>
    <x v="0"/>
    <x v="0"/>
    <s v="Inactive"/>
    <n v="1200"/>
    <x v="1"/>
    <s v="High Risk"/>
    <s v="Nov-2024"/>
  </r>
  <r>
    <n v="11415"/>
    <n v="36"/>
    <x v="0"/>
    <x v="0"/>
    <x v="660"/>
    <d v="2025-12-26T00:00:00"/>
    <x v="0"/>
    <x v="0"/>
    <s v="Active"/>
    <n v="1200"/>
    <x v="1"/>
    <s v="Safe"/>
    <s v="Feb-2024"/>
  </r>
  <r>
    <n v="11416"/>
    <n v="25"/>
    <x v="0"/>
    <x v="2"/>
    <x v="657"/>
    <d v="2025-12-26T00:00:00"/>
    <x v="4"/>
    <x v="0"/>
    <s v="Active"/>
    <n v="3000"/>
    <x v="2"/>
    <s v="Safe"/>
    <s v="Dec-2024"/>
  </r>
  <r>
    <n v="11417"/>
    <n v="32"/>
    <x v="1"/>
    <x v="0"/>
    <x v="349"/>
    <d v="2025-12-28T00:00:00"/>
    <x v="0"/>
    <x v="0"/>
    <s v="Active"/>
    <n v="1200"/>
    <x v="2"/>
    <s v="Safe"/>
    <s v="Apr-2025"/>
  </r>
  <r>
    <n v="11418"/>
    <n v="38"/>
    <x v="0"/>
    <x v="0"/>
    <x v="477"/>
    <d v="2025-12-23T00:00:00"/>
    <x v="2"/>
    <x v="1"/>
    <s v="Active"/>
    <n v="1700"/>
    <x v="1"/>
    <s v="Safe"/>
    <s v="Nov-2025"/>
  </r>
  <r>
    <n v="11419"/>
    <n v="32"/>
    <x v="0"/>
    <x v="0"/>
    <x v="461"/>
    <d v="2025-12-27T00:00:00"/>
    <x v="0"/>
    <x v="0"/>
    <s v="Active"/>
    <n v="1200"/>
    <x v="2"/>
    <s v="Safe"/>
    <s v="Aug-2023"/>
  </r>
  <r>
    <n v="11420"/>
    <n v="26"/>
    <x v="1"/>
    <x v="0"/>
    <x v="573"/>
    <d v="2025-12-18T00:00:00"/>
    <x v="2"/>
    <x v="1"/>
    <s v="Active"/>
    <n v="1700"/>
    <x v="2"/>
    <s v="Safe"/>
    <s v="Nov-2023"/>
  </r>
  <r>
    <n v="11421"/>
    <n v="38"/>
    <x v="0"/>
    <x v="1"/>
    <x v="109"/>
    <d v="2025-12-22T00:00:00"/>
    <x v="3"/>
    <x v="0"/>
    <s v="Active"/>
    <n v="9600"/>
    <x v="1"/>
    <s v="Safe"/>
    <s v="May-2024"/>
  </r>
  <r>
    <n v="11422"/>
    <n v="26"/>
    <x v="0"/>
    <x v="0"/>
    <x v="20"/>
    <d v="2026-01-02T00:00:00"/>
    <x v="2"/>
    <x v="1"/>
    <s v="Active"/>
    <n v="1700"/>
    <x v="2"/>
    <s v="Safe"/>
    <s v="May-2024"/>
  </r>
  <r>
    <n v="11423"/>
    <n v="27"/>
    <x v="0"/>
    <x v="0"/>
    <x v="701"/>
    <d v="2026-01-06T00:00:00"/>
    <x v="0"/>
    <x v="0"/>
    <s v="Active"/>
    <n v="1200"/>
    <x v="2"/>
    <s v="Safe"/>
    <s v="Jul-2025"/>
  </r>
  <r>
    <n v="11424"/>
    <n v="37"/>
    <x v="0"/>
    <x v="0"/>
    <x v="702"/>
    <d v="2026-01-03T00:00:00"/>
    <x v="0"/>
    <x v="0"/>
    <s v="Active"/>
    <n v="1200"/>
    <x v="1"/>
    <s v="Safe"/>
    <s v="Mar-2024"/>
  </r>
  <r>
    <n v="11425"/>
    <n v="42"/>
    <x v="0"/>
    <x v="0"/>
    <x v="411"/>
    <d v="2026-01-02T00:00:00"/>
    <x v="0"/>
    <x v="0"/>
    <s v="Active"/>
    <n v="1200"/>
    <x v="1"/>
    <s v="Safe"/>
    <s v="Jan-2024"/>
  </r>
  <r>
    <n v="11426"/>
    <n v="38"/>
    <x v="0"/>
    <x v="1"/>
    <x v="703"/>
    <d v="2025-12-29T00:00:00"/>
    <x v="1"/>
    <x v="1"/>
    <s v="Active"/>
    <n v="15600"/>
    <x v="1"/>
    <s v="Safe"/>
    <s v="Jun-2025"/>
  </r>
  <r>
    <n v="11427"/>
    <n v="43"/>
    <x v="1"/>
    <x v="0"/>
    <x v="704"/>
    <d v="2025-12-31T00:00:00"/>
    <x v="0"/>
    <x v="0"/>
    <s v="Active"/>
    <n v="1200"/>
    <x v="1"/>
    <s v="Safe"/>
    <s v="Aug-2023"/>
  </r>
  <r>
    <n v="11428"/>
    <n v="26"/>
    <x v="0"/>
    <x v="2"/>
    <x v="496"/>
    <d v="2025-12-17T00:00:00"/>
    <x v="4"/>
    <x v="0"/>
    <s v="Active"/>
    <n v="3000"/>
    <x v="2"/>
    <s v="Safe"/>
    <s v="Nov-2025"/>
  </r>
  <r>
    <n v="11429"/>
    <n v="20"/>
    <x v="0"/>
    <x v="2"/>
    <x v="423"/>
    <d v="2025-12-30T00:00:00"/>
    <x v="4"/>
    <x v="0"/>
    <s v="Active"/>
    <n v="3000"/>
    <x v="0"/>
    <s v="Safe"/>
    <s v="Apr-2025"/>
  </r>
  <r>
    <n v="11430"/>
    <n v="37"/>
    <x v="0"/>
    <x v="1"/>
    <x v="223"/>
    <d v="2025-10-05T00:00:00"/>
    <x v="1"/>
    <x v="1"/>
    <s v="Inactive"/>
    <n v="15600"/>
    <x v="1"/>
    <s v="High Risk"/>
    <s v="Aug-2025"/>
  </r>
  <r>
    <n v="11431"/>
    <n v="42"/>
    <x v="0"/>
    <x v="2"/>
    <x v="705"/>
    <d v="2025-12-20T00:00:00"/>
    <x v="4"/>
    <x v="0"/>
    <s v="Active"/>
    <n v="3000"/>
    <x v="1"/>
    <s v="Safe"/>
    <s v="Jan-2024"/>
  </r>
  <r>
    <n v="11432"/>
    <n v="43"/>
    <x v="0"/>
    <x v="1"/>
    <x v="349"/>
    <d v="2025-12-17T00:00:00"/>
    <x v="3"/>
    <x v="0"/>
    <s v="Active"/>
    <n v="9600"/>
    <x v="1"/>
    <s v="Safe"/>
    <s v="Apr-2025"/>
  </r>
  <r>
    <n v="11433"/>
    <n v="28"/>
    <x v="1"/>
    <x v="0"/>
    <x v="577"/>
    <d v="2025-10-29T00:00:00"/>
    <x v="0"/>
    <x v="0"/>
    <s v="Inactive"/>
    <n v="1200"/>
    <x v="2"/>
    <s v="High Risk"/>
    <s v="Jul-2025"/>
  </r>
  <r>
    <n v="11434"/>
    <n v="23"/>
    <x v="0"/>
    <x v="0"/>
    <x v="574"/>
    <d v="2026-01-06T00:00:00"/>
    <x v="0"/>
    <x v="0"/>
    <s v="Active"/>
    <n v="1200"/>
    <x v="0"/>
    <s v="Safe"/>
    <s v="Dec-2024"/>
  </r>
  <r>
    <n v="11435"/>
    <n v="19"/>
    <x v="1"/>
    <x v="0"/>
    <x v="706"/>
    <d v="2025-12-27T00:00:00"/>
    <x v="0"/>
    <x v="0"/>
    <s v="Active"/>
    <n v="1200"/>
    <x v="0"/>
    <s v="Safe"/>
    <s v="Aug-2024"/>
  </r>
  <r>
    <n v="11436"/>
    <n v="24"/>
    <x v="1"/>
    <x v="1"/>
    <x v="337"/>
    <d v="2026-01-03T00:00:00"/>
    <x v="3"/>
    <x v="0"/>
    <s v="Active"/>
    <n v="9600"/>
    <x v="0"/>
    <s v="Safe"/>
    <s v="May-2025"/>
  </r>
  <r>
    <n v="11437"/>
    <n v="35"/>
    <x v="0"/>
    <x v="0"/>
    <x v="161"/>
    <d v="2025-12-26T00:00:00"/>
    <x v="0"/>
    <x v="0"/>
    <s v="Active"/>
    <n v="1200"/>
    <x v="1"/>
    <s v="Safe"/>
    <s v="Sep-2023"/>
  </r>
  <r>
    <n v="11438"/>
    <n v="44"/>
    <x v="1"/>
    <x v="0"/>
    <x v="360"/>
    <d v="2025-12-23T00:00:00"/>
    <x v="0"/>
    <x v="0"/>
    <s v="Active"/>
    <n v="1200"/>
    <x v="1"/>
    <s v="Safe"/>
    <s v="Apr-2024"/>
  </r>
  <r>
    <n v="11439"/>
    <n v="19"/>
    <x v="0"/>
    <x v="0"/>
    <x v="192"/>
    <d v="2025-12-27T00:00:00"/>
    <x v="2"/>
    <x v="1"/>
    <s v="Active"/>
    <n v="1700"/>
    <x v="0"/>
    <s v="Safe"/>
    <s v="Jun-2025"/>
  </r>
  <r>
    <n v="11440"/>
    <n v="44"/>
    <x v="0"/>
    <x v="0"/>
    <x v="707"/>
    <d v="2026-01-09T00:00:00"/>
    <x v="0"/>
    <x v="0"/>
    <s v="Active"/>
    <n v="1200"/>
    <x v="1"/>
    <s v="Safe"/>
    <s v="Mar-2024"/>
  </r>
  <r>
    <n v="11441"/>
    <n v="34"/>
    <x v="0"/>
    <x v="0"/>
    <x v="238"/>
    <d v="2025-12-19T00:00:00"/>
    <x v="2"/>
    <x v="1"/>
    <s v="Active"/>
    <n v="1700"/>
    <x v="2"/>
    <s v="Safe"/>
    <s v="Mar-2024"/>
  </r>
  <r>
    <n v="11442"/>
    <n v="28"/>
    <x v="0"/>
    <x v="1"/>
    <x v="473"/>
    <d v="2025-12-22T00:00:00"/>
    <x v="1"/>
    <x v="1"/>
    <s v="Active"/>
    <n v="15600"/>
    <x v="2"/>
    <s v="Safe"/>
    <s v="Sep-2025"/>
  </r>
  <r>
    <n v="11443"/>
    <n v="44"/>
    <x v="0"/>
    <x v="0"/>
    <x v="592"/>
    <d v="2025-10-16T00:00:00"/>
    <x v="0"/>
    <x v="0"/>
    <s v="Inactive"/>
    <n v="1200"/>
    <x v="1"/>
    <s v="High Risk"/>
    <s v="Dec-2023"/>
  </r>
  <r>
    <n v="11444"/>
    <n v="29"/>
    <x v="0"/>
    <x v="2"/>
    <x v="130"/>
    <d v="2025-11-14T00:00:00"/>
    <x v="5"/>
    <x v="1"/>
    <s v="Inactive"/>
    <n v="4500"/>
    <x v="2"/>
    <s v="High Risk"/>
    <s v="Dec-2023"/>
  </r>
  <r>
    <n v="11445"/>
    <n v="44"/>
    <x v="0"/>
    <x v="2"/>
    <x v="483"/>
    <d v="2026-01-04T00:00:00"/>
    <x v="4"/>
    <x v="0"/>
    <s v="Active"/>
    <n v="3000"/>
    <x v="1"/>
    <s v="Safe"/>
    <s v="Sep-2024"/>
  </r>
  <r>
    <n v="11446"/>
    <n v="36"/>
    <x v="0"/>
    <x v="0"/>
    <x v="440"/>
    <d v="2026-01-02T00:00:00"/>
    <x v="0"/>
    <x v="0"/>
    <s v="Active"/>
    <n v="1200"/>
    <x v="1"/>
    <s v="Safe"/>
    <s v="Nov-2024"/>
  </r>
  <r>
    <n v="11447"/>
    <n v="39"/>
    <x v="0"/>
    <x v="0"/>
    <x v="658"/>
    <d v="2025-10-13T00:00:00"/>
    <x v="0"/>
    <x v="0"/>
    <s v="Inactive"/>
    <n v="1200"/>
    <x v="1"/>
    <s v="High Risk"/>
    <s v="Sep-2023"/>
  </r>
  <r>
    <n v="11448"/>
    <n v="41"/>
    <x v="1"/>
    <x v="0"/>
    <x v="216"/>
    <d v="2025-12-27T00:00:00"/>
    <x v="0"/>
    <x v="0"/>
    <s v="Active"/>
    <n v="1200"/>
    <x v="1"/>
    <s v="Safe"/>
    <s v="Feb-2024"/>
  </r>
  <r>
    <n v="11449"/>
    <n v="42"/>
    <x v="1"/>
    <x v="0"/>
    <x v="671"/>
    <d v="2025-10-13T00:00:00"/>
    <x v="0"/>
    <x v="0"/>
    <s v="Inactive"/>
    <n v="1200"/>
    <x v="1"/>
    <s v="High Risk"/>
    <s v="Aug-2025"/>
  </r>
  <r>
    <n v="11450"/>
    <n v="24"/>
    <x v="0"/>
    <x v="2"/>
    <x v="708"/>
    <d v="2025-11-18T00:00:00"/>
    <x v="5"/>
    <x v="1"/>
    <s v="Inactive"/>
    <n v="4500"/>
    <x v="0"/>
    <s v="High Risk"/>
    <s v="Feb-2025"/>
  </r>
  <r>
    <n v="11451"/>
    <n v="37"/>
    <x v="0"/>
    <x v="0"/>
    <x v="273"/>
    <d v="2026-01-01T00:00:00"/>
    <x v="0"/>
    <x v="0"/>
    <s v="Active"/>
    <n v="1200"/>
    <x v="1"/>
    <s v="Safe"/>
    <s v="Oct-2023"/>
  </r>
  <r>
    <n v="11452"/>
    <n v="23"/>
    <x v="1"/>
    <x v="0"/>
    <x v="505"/>
    <d v="2026-01-09T00:00:00"/>
    <x v="0"/>
    <x v="0"/>
    <s v="Active"/>
    <n v="1200"/>
    <x v="0"/>
    <s v="Safe"/>
    <s v="Jun-2025"/>
  </r>
  <r>
    <n v="11453"/>
    <n v="38"/>
    <x v="1"/>
    <x v="2"/>
    <x v="108"/>
    <d v="2025-10-14T00:00:00"/>
    <x v="4"/>
    <x v="0"/>
    <s v="Inactive"/>
    <n v="3000"/>
    <x v="1"/>
    <s v="High Risk"/>
    <s v="Aug-2023"/>
  </r>
  <r>
    <n v="11454"/>
    <n v="41"/>
    <x v="1"/>
    <x v="1"/>
    <x v="567"/>
    <d v="2025-09-27T00:00:00"/>
    <x v="3"/>
    <x v="0"/>
    <s v="Inactive"/>
    <n v="9600"/>
    <x v="1"/>
    <s v="High Risk"/>
    <s v="Oct-2025"/>
  </r>
  <r>
    <n v="11455"/>
    <n v="18"/>
    <x v="0"/>
    <x v="1"/>
    <x v="187"/>
    <d v="2026-01-03T00:00:00"/>
    <x v="3"/>
    <x v="0"/>
    <s v="Active"/>
    <n v="9600"/>
    <x v="0"/>
    <s v="Safe"/>
    <s v="Jan-2025"/>
  </r>
  <r>
    <n v="11456"/>
    <n v="34"/>
    <x v="0"/>
    <x v="1"/>
    <x v="437"/>
    <d v="2025-12-31T00:00:00"/>
    <x v="1"/>
    <x v="1"/>
    <s v="Active"/>
    <n v="15600"/>
    <x v="2"/>
    <s v="Safe"/>
    <s v="Jul-2025"/>
  </r>
  <r>
    <n v="11457"/>
    <n v="28"/>
    <x v="0"/>
    <x v="1"/>
    <x v="385"/>
    <d v="2025-09-15T00:00:00"/>
    <x v="3"/>
    <x v="0"/>
    <s v="Inactive"/>
    <n v="9600"/>
    <x v="2"/>
    <s v="High Risk"/>
    <s v="Aug-2023"/>
  </r>
  <r>
    <n v="11458"/>
    <n v="39"/>
    <x v="0"/>
    <x v="0"/>
    <x v="643"/>
    <d v="2025-10-01T00:00:00"/>
    <x v="0"/>
    <x v="0"/>
    <s v="Inactive"/>
    <n v="1200"/>
    <x v="1"/>
    <s v="High Risk"/>
    <s v="Jul-2024"/>
  </r>
  <r>
    <n v="11459"/>
    <n v="43"/>
    <x v="1"/>
    <x v="1"/>
    <x v="14"/>
    <d v="2026-01-08T00:00:00"/>
    <x v="1"/>
    <x v="1"/>
    <s v="Active"/>
    <n v="15600"/>
    <x v="1"/>
    <s v="Safe"/>
    <s v="Jan-2024"/>
  </r>
  <r>
    <n v="11460"/>
    <n v="45"/>
    <x v="1"/>
    <x v="0"/>
    <x v="709"/>
    <d v="2025-12-30T00:00:00"/>
    <x v="0"/>
    <x v="0"/>
    <s v="Active"/>
    <n v="1200"/>
    <x v="1"/>
    <s v="Safe"/>
    <s v="Aug-2023"/>
  </r>
  <r>
    <n v="11461"/>
    <n v="35"/>
    <x v="0"/>
    <x v="2"/>
    <x v="513"/>
    <d v="2026-01-06T00:00:00"/>
    <x v="4"/>
    <x v="0"/>
    <s v="Active"/>
    <n v="3000"/>
    <x v="1"/>
    <s v="Safe"/>
    <s v="Dec-2024"/>
  </r>
  <r>
    <n v="11462"/>
    <n v="38"/>
    <x v="1"/>
    <x v="2"/>
    <x v="277"/>
    <d v="2025-12-30T00:00:00"/>
    <x v="4"/>
    <x v="0"/>
    <s v="Active"/>
    <n v="3000"/>
    <x v="1"/>
    <s v="Safe"/>
    <s v="Oct-2025"/>
  </r>
  <r>
    <n v="11463"/>
    <n v="34"/>
    <x v="0"/>
    <x v="0"/>
    <x v="710"/>
    <d v="2026-01-01T00:00:00"/>
    <x v="2"/>
    <x v="1"/>
    <s v="Active"/>
    <n v="1700"/>
    <x v="2"/>
    <s v="Safe"/>
    <s v="Jun-2025"/>
  </r>
  <r>
    <n v="11464"/>
    <n v="24"/>
    <x v="0"/>
    <x v="1"/>
    <x v="130"/>
    <d v="2025-12-19T00:00:00"/>
    <x v="1"/>
    <x v="1"/>
    <s v="Active"/>
    <n v="15600"/>
    <x v="0"/>
    <s v="Safe"/>
    <s v="Dec-2023"/>
  </r>
  <r>
    <n v="11465"/>
    <n v="34"/>
    <x v="0"/>
    <x v="1"/>
    <x v="56"/>
    <d v="2025-12-19T00:00:00"/>
    <x v="3"/>
    <x v="0"/>
    <s v="Active"/>
    <n v="9600"/>
    <x v="2"/>
    <s v="Safe"/>
    <s v="Dec-2024"/>
  </r>
  <r>
    <n v="11466"/>
    <n v="37"/>
    <x v="1"/>
    <x v="0"/>
    <x v="623"/>
    <d v="2026-01-10T00:00:00"/>
    <x v="2"/>
    <x v="1"/>
    <s v="Active"/>
    <n v="1700"/>
    <x v="1"/>
    <s v="Safe"/>
    <s v="Jun-2025"/>
  </r>
  <r>
    <n v="11467"/>
    <n v="26"/>
    <x v="0"/>
    <x v="1"/>
    <x v="209"/>
    <d v="2026-01-03T00:00:00"/>
    <x v="3"/>
    <x v="0"/>
    <s v="Active"/>
    <n v="9600"/>
    <x v="2"/>
    <s v="Safe"/>
    <s v="Nov-2025"/>
  </r>
  <r>
    <n v="11468"/>
    <n v="34"/>
    <x v="1"/>
    <x v="0"/>
    <x v="390"/>
    <d v="2026-01-01T00:00:00"/>
    <x v="0"/>
    <x v="0"/>
    <s v="Active"/>
    <n v="1200"/>
    <x v="2"/>
    <s v="Safe"/>
    <s v="Mar-2024"/>
  </r>
  <r>
    <n v="11469"/>
    <n v="37"/>
    <x v="1"/>
    <x v="2"/>
    <x v="396"/>
    <d v="2025-12-20T00:00:00"/>
    <x v="4"/>
    <x v="0"/>
    <s v="Active"/>
    <n v="3000"/>
    <x v="1"/>
    <s v="Safe"/>
    <s v="Nov-2024"/>
  </r>
  <r>
    <n v="11470"/>
    <n v="39"/>
    <x v="0"/>
    <x v="2"/>
    <x v="488"/>
    <d v="2026-01-10T00:00:00"/>
    <x v="4"/>
    <x v="0"/>
    <s v="Active"/>
    <n v="3000"/>
    <x v="1"/>
    <s v="Safe"/>
    <s v="Dec-2023"/>
  </r>
  <r>
    <n v="11471"/>
    <n v="39"/>
    <x v="0"/>
    <x v="2"/>
    <x v="334"/>
    <d v="2026-01-08T00:00:00"/>
    <x v="4"/>
    <x v="0"/>
    <s v="Active"/>
    <n v="3000"/>
    <x v="1"/>
    <s v="Safe"/>
    <s v="Mar-2025"/>
  </r>
  <r>
    <n v="11472"/>
    <n v="45"/>
    <x v="1"/>
    <x v="1"/>
    <x v="22"/>
    <d v="2025-12-11T00:00:00"/>
    <x v="1"/>
    <x v="1"/>
    <s v="Inactive"/>
    <n v="15600"/>
    <x v="1"/>
    <s v="High Risk"/>
    <s v="Apr-2024"/>
  </r>
  <r>
    <n v="11473"/>
    <n v="25"/>
    <x v="0"/>
    <x v="1"/>
    <x v="218"/>
    <d v="2026-01-06T00:00:00"/>
    <x v="1"/>
    <x v="1"/>
    <s v="Active"/>
    <n v="15600"/>
    <x v="2"/>
    <s v="Safe"/>
    <s v="Aug-2025"/>
  </r>
  <r>
    <n v="11474"/>
    <n v="34"/>
    <x v="1"/>
    <x v="1"/>
    <x v="345"/>
    <d v="2026-01-08T00:00:00"/>
    <x v="3"/>
    <x v="0"/>
    <s v="Active"/>
    <n v="9600"/>
    <x v="2"/>
    <s v="Safe"/>
    <s v="Sep-2025"/>
  </r>
  <r>
    <n v="11475"/>
    <n v="24"/>
    <x v="1"/>
    <x v="0"/>
    <x v="537"/>
    <d v="2026-01-04T00:00:00"/>
    <x v="0"/>
    <x v="0"/>
    <s v="Active"/>
    <n v="1200"/>
    <x v="0"/>
    <s v="Safe"/>
    <s v="Aug-2025"/>
  </r>
  <r>
    <n v="11476"/>
    <n v="18"/>
    <x v="0"/>
    <x v="1"/>
    <x v="329"/>
    <d v="2026-01-04T00:00:00"/>
    <x v="3"/>
    <x v="0"/>
    <s v="Active"/>
    <n v="9600"/>
    <x v="0"/>
    <s v="Safe"/>
    <s v="Sep-2025"/>
  </r>
  <r>
    <n v="11477"/>
    <n v="30"/>
    <x v="0"/>
    <x v="0"/>
    <x v="711"/>
    <d v="2026-01-10T00:00:00"/>
    <x v="0"/>
    <x v="0"/>
    <s v="Active"/>
    <n v="1200"/>
    <x v="2"/>
    <s v="Safe"/>
    <s v="Aug-2023"/>
  </r>
  <r>
    <n v="11478"/>
    <n v="40"/>
    <x v="1"/>
    <x v="1"/>
    <x v="712"/>
    <d v="2025-10-30T00:00:00"/>
    <x v="3"/>
    <x v="0"/>
    <s v="Inactive"/>
    <n v="9600"/>
    <x v="1"/>
    <s v="High Risk"/>
    <s v="Oct-2023"/>
  </r>
  <r>
    <n v="11479"/>
    <n v="36"/>
    <x v="0"/>
    <x v="0"/>
    <x v="630"/>
    <d v="2025-11-20T00:00:00"/>
    <x v="2"/>
    <x v="1"/>
    <s v="Inactive"/>
    <n v="1700"/>
    <x v="1"/>
    <s v="High Risk"/>
    <s v="Oct-2025"/>
  </r>
  <r>
    <n v="11480"/>
    <n v="44"/>
    <x v="0"/>
    <x v="0"/>
    <x v="713"/>
    <d v="2025-12-30T00:00:00"/>
    <x v="2"/>
    <x v="1"/>
    <s v="Active"/>
    <n v="1700"/>
    <x v="1"/>
    <s v="Safe"/>
    <s v="Mar-2024"/>
  </r>
  <r>
    <n v="11481"/>
    <n v="41"/>
    <x v="0"/>
    <x v="2"/>
    <x v="310"/>
    <d v="2025-10-25T00:00:00"/>
    <x v="5"/>
    <x v="1"/>
    <s v="Inactive"/>
    <n v="4500"/>
    <x v="1"/>
    <s v="High Risk"/>
    <s v="Aug-2024"/>
  </r>
  <r>
    <n v="11482"/>
    <n v="36"/>
    <x v="0"/>
    <x v="0"/>
    <x v="714"/>
    <d v="2025-12-31T00:00:00"/>
    <x v="0"/>
    <x v="0"/>
    <s v="Active"/>
    <n v="1200"/>
    <x v="1"/>
    <s v="Safe"/>
    <s v="Aug-2024"/>
  </r>
  <r>
    <n v="11483"/>
    <n v="34"/>
    <x v="1"/>
    <x v="0"/>
    <x v="661"/>
    <d v="2025-10-15T00:00:00"/>
    <x v="0"/>
    <x v="0"/>
    <s v="Inactive"/>
    <n v="1200"/>
    <x v="2"/>
    <s v="High Risk"/>
    <s v="Jan-2025"/>
  </r>
  <r>
    <n v="11484"/>
    <n v="30"/>
    <x v="1"/>
    <x v="0"/>
    <x v="270"/>
    <d v="2026-01-07T00:00:00"/>
    <x v="0"/>
    <x v="0"/>
    <s v="Active"/>
    <n v="1200"/>
    <x v="2"/>
    <s v="Safe"/>
    <s v="Jul-2024"/>
  </r>
  <r>
    <n v="11485"/>
    <n v="33"/>
    <x v="0"/>
    <x v="0"/>
    <x v="564"/>
    <d v="2026-01-02T00:00:00"/>
    <x v="0"/>
    <x v="0"/>
    <s v="Active"/>
    <n v="1200"/>
    <x v="2"/>
    <s v="Safe"/>
    <s v="Jun-2024"/>
  </r>
  <r>
    <n v="11486"/>
    <n v="25"/>
    <x v="0"/>
    <x v="0"/>
    <x v="538"/>
    <d v="2025-12-29T00:00:00"/>
    <x v="0"/>
    <x v="0"/>
    <s v="Active"/>
    <n v="1200"/>
    <x v="2"/>
    <s v="Safe"/>
    <s v="Mar-2025"/>
  </r>
  <r>
    <n v="11487"/>
    <n v="36"/>
    <x v="0"/>
    <x v="0"/>
    <x v="53"/>
    <d v="2026-01-08T00:00:00"/>
    <x v="0"/>
    <x v="0"/>
    <s v="Active"/>
    <n v="1200"/>
    <x v="1"/>
    <s v="Safe"/>
    <s v="Mar-2025"/>
  </r>
  <r>
    <n v="11488"/>
    <n v="35"/>
    <x v="1"/>
    <x v="0"/>
    <x v="486"/>
    <d v="2025-11-11T00:00:00"/>
    <x v="2"/>
    <x v="1"/>
    <s v="Inactive"/>
    <n v="1700"/>
    <x v="1"/>
    <s v="High Risk"/>
    <s v="Aug-2023"/>
  </r>
  <r>
    <n v="11489"/>
    <n v="18"/>
    <x v="0"/>
    <x v="0"/>
    <x v="40"/>
    <d v="2025-12-21T00:00:00"/>
    <x v="0"/>
    <x v="0"/>
    <s v="Active"/>
    <n v="1200"/>
    <x v="0"/>
    <s v="Safe"/>
    <s v="Jun-2024"/>
  </r>
  <r>
    <n v="11490"/>
    <n v="31"/>
    <x v="0"/>
    <x v="2"/>
    <x v="452"/>
    <d v="2025-12-24T00:00:00"/>
    <x v="4"/>
    <x v="0"/>
    <s v="Active"/>
    <n v="3000"/>
    <x v="2"/>
    <s v="Safe"/>
    <s v="Aug-2024"/>
  </r>
  <r>
    <n v="11491"/>
    <n v="36"/>
    <x v="0"/>
    <x v="0"/>
    <x v="547"/>
    <d v="2025-12-28T00:00:00"/>
    <x v="2"/>
    <x v="1"/>
    <s v="Active"/>
    <n v="1700"/>
    <x v="1"/>
    <s v="Safe"/>
    <s v="Mar-2024"/>
  </r>
  <r>
    <n v="11492"/>
    <n v="32"/>
    <x v="0"/>
    <x v="1"/>
    <x v="423"/>
    <d v="2025-12-19T00:00:00"/>
    <x v="3"/>
    <x v="0"/>
    <s v="Active"/>
    <n v="9600"/>
    <x v="2"/>
    <s v="Safe"/>
    <s v="Apr-2025"/>
  </r>
  <r>
    <n v="11493"/>
    <n v="35"/>
    <x v="1"/>
    <x v="1"/>
    <x v="671"/>
    <d v="2025-12-20T00:00:00"/>
    <x v="3"/>
    <x v="0"/>
    <s v="Active"/>
    <n v="9600"/>
    <x v="1"/>
    <s v="Safe"/>
    <s v="Aug-2025"/>
  </r>
  <r>
    <n v="11494"/>
    <n v="19"/>
    <x v="0"/>
    <x v="0"/>
    <x v="715"/>
    <d v="2025-12-25T00:00:00"/>
    <x v="2"/>
    <x v="1"/>
    <s v="Active"/>
    <n v="1700"/>
    <x v="0"/>
    <s v="Safe"/>
    <s v="May-2025"/>
  </r>
  <r>
    <n v="11495"/>
    <n v="39"/>
    <x v="0"/>
    <x v="1"/>
    <x v="596"/>
    <d v="2025-09-29T00:00:00"/>
    <x v="3"/>
    <x v="0"/>
    <s v="Inactive"/>
    <n v="9600"/>
    <x v="1"/>
    <s v="High Risk"/>
    <s v="Mar-2025"/>
  </r>
  <r>
    <n v="11496"/>
    <n v="45"/>
    <x v="0"/>
    <x v="1"/>
    <x v="329"/>
    <d v="2026-01-04T00:00:00"/>
    <x v="3"/>
    <x v="0"/>
    <s v="Active"/>
    <n v="9600"/>
    <x v="1"/>
    <s v="Safe"/>
    <s v="Sep-2025"/>
  </r>
  <r>
    <n v="11497"/>
    <n v="34"/>
    <x v="1"/>
    <x v="1"/>
    <x v="300"/>
    <d v="2026-01-01T00:00:00"/>
    <x v="1"/>
    <x v="1"/>
    <s v="Active"/>
    <n v="15600"/>
    <x v="2"/>
    <s v="Safe"/>
    <s v="Oct-2024"/>
  </r>
  <r>
    <n v="11498"/>
    <n v="35"/>
    <x v="0"/>
    <x v="2"/>
    <x v="330"/>
    <d v="2026-01-07T00:00:00"/>
    <x v="4"/>
    <x v="0"/>
    <s v="Active"/>
    <n v="3000"/>
    <x v="1"/>
    <s v="Safe"/>
    <s v="Feb-2024"/>
  </r>
  <r>
    <n v="11499"/>
    <n v="23"/>
    <x v="0"/>
    <x v="0"/>
    <x v="340"/>
    <d v="2026-01-04T00:00:00"/>
    <x v="2"/>
    <x v="1"/>
    <s v="Active"/>
    <n v="1700"/>
    <x v="0"/>
    <s v="Safe"/>
    <s v="Feb-2025"/>
  </r>
  <r>
    <n v="11500"/>
    <n v="36"/>
    <x v="0"/>
    <x v="2"/>
    <x v="716"/>
    <d v="2025-12-18T00:00:00"/>
    <x v="4"/>
    <x v="0"/>
    <s v="Active"/>
    <n v="3000"/>
    <x v="1"/>
    <s v="Safe"/>
    <s v="Jan-2025"/>
  </r>
  <r>
    <n v="11501"/>
    <n v="21"/>
    <x v="1"/>
    <x v="2"/>
    <x v="132"/>
    <d v="2026-01-04T00:00:00"/>
    <x v="5"/>
    <x v="1"/>
    <s v="Active"/>
    <n v="4500"/>
    <x v="0"/>
    <s v="Safe"/>
    <s v="Sep-2024"/>
  </r>
  <r>
    <n v="11502"/>
    <n v="18"/>
    <x v="0"/>
    <x v="2"/>
    <x v="191"/>
    <d v="2025-10-01T00:00:00"/>
    <x v="4"/>
    <x v="0"/>
    <s v="Inactive"/>
    <n v="3000"/>
    <x v="0"/>
    <s v="High Risk"/>
    <s v="Oct-2023"/>
  </r>
  <r>
    <n v="11503"/>
    <n v="25"/>
    <x v="0"/>
    <x v="0"/>
    <x v="575"/>
    <d v="2026-01-09T00:00:00"/>
    <x v="0"/>
    <x v="0"/>
    <s v="Active"/>
    <n v="1200"/>
    <x v="2"/>
    <s v="Safe"/>
    <s v="Oct-2024"/>
  </r>
  <r>
    <n v="11504"/>
    <n v="40"/>
    <x v="0"/>
    <x v="1"/>
    <x v="717"/>
    <d v="2025-12-26T00:00:00"/>
    <x v="1"/>
    <x v="1"/>
    <s v="Active"/>
    <n v="15600"/>
    <x v="1"/>
    <s v="Safe"/>
    <s v="Oct-2025"/>
  </r>
  <r>
    <n v="11505"/>
    <n v="24"/>
    <x v="1"/>
    <x v="1"/>
    <x v="113"/>
    <d v="2026-01-10T00:00:00"/>
    <x v="3"/>
    <x v="0"/>
    <s v="Active"/>
    <n v="9600"/>
    <x v="0"/>
    <s v="Safe"/>
    <s v="Feb-2025"/>
  </r>
  <r>
    <n v="11506"/>
    <n v="20"/>
    <x v="0"/>
    <x v="0"/>
    <x v="28"/>
    <d v="2026-01-09T00:00:00"/>
    <x v="0"/>
    <x v="0"/>
    <s v="Active"/>
    <n v="1200"/>
    <x v="0"/>
    <s v="Safe"/>
    <s v="Mar-2024"/>
  </r>
  <r>
    <n v="11507"/>
    <n v="27"/>
    <x v="1"/>
    <x v="0"/>
    <x v="708"/>
    <d v="2026-01-08T00:00:00"/>
    <x v="0"/>
    <x v="0"/>
    <s v="Active"/>
    <n v="1200"/>
    <x v="2"/>
    <s v="Safe"/>
    <s v="Feb-2025"/>
  </r>
  <r>
    <n v="11508"/>
    <n v="27"/>
    <x v="0"/>
    <x v="0"/>
    <x v="449"/>
    <d v="2025-09-22T00:00:00"/>
    <x v="0"/>
    <x v="0"/>
    <s v="Inactive"/>
    <n v="1200"/>
    <x v="2"/>
    <s v="High Risk"/>
    <s v="Aug-2023"/>
  </r>
  <r>
    <n v="11509"/>
    <n v="36"/>
    <x v="0"/>
    <x v="1"/>
    <x v="485"/>
    <d v="2026-01-04T00:00:00"/>
    <x v="3"/>
    <x v="0"/>
    <s v="Active"/>
    <n v="9600"/>
    <x v="1"/>
    <s v="Safe"/>
    <s v="Oct-2024"/>
  </r>
  <r>
    <n v="11510"/>
    <n v="31"/>
    <x v="0"/>
    <x v="2"/>
    <x v="121"/>
    <d v="2026-01-03T00:00:00"/>
    <x v="5"/>
    <x v="1"/>
    <s v="Active"/>
    <n v="4500"/>
    <x v="2"/>
    <s v="Safe"/>
    <s v="Jul-2023"/>
  </r>
  <r>
    <n v="11511"/>
    <n v="19"/>
    <x v="1"/>
    <x v="2"/>
    <x v="594"/>
    <d v="2026-01-02T00:00:00"/>
    <x v="5"/>
    <x v="1"/>
    <s v="Active"/>
    <n v="4500"/>
    <x v="0"/>
    <s v="Safe"/>
    <s v="Nov-2024"/>
  </r>
  <r>
    <n v="11512"/>
    <n v="45"/>
    <x v="0"/>
    <x v="0"/>
    <x v="362"/>
    <d v="2026-01-02T00:00:00"/>
    <x v="0"/>
    <x v="0"/>
    <s v="Active"/>
    <n v="1200"/>
    <x v="1"/>
    <s v="Safe"/>
    <s v="Jun-2024"/>
  </r>
  <r>
    <n v="11513"/>
    <n v="18"/>
    <x v="1"/>
    <x v="2"/>
    <x v="718"/>
    <d v="2025-12-22T00:00:00"/>
    <x v="4"/>
    <x v="0"/>
    <s v="Active"/>
    <n v="3000"/>
    <x v="0"/>
    <s v="Safe"/>
    <s v="Aug-2025"/>
  </r>
  <r>
    <n v="11514"/>
    <n v="40"/>
    <x v="1"/>
    <x v="0"/>
    <x v="609"/>
    <d v="2026-01-02T00:00:00"/>
    <x v="0"/>
    <x v="0"/>
    <s v="Active"/>
    <n v="1200"/>
    <x v="1"/>
    <s v="Safe"/>
    <s v="Jun-2024"/>
  </r>
  <r>
    <n v="11515"/>
    <n v="40"/>
    <x v="0"/>
    <x v="2"/>
    <x v="595"/>
    <d v="2025-12-22T00:00:00"/>
    <x v="4"/>
    <x v="0"/>
    <s v="Active"/>
    <n v="3000"/>
    <x v="1"/>
    <s v="Safe"/>
    <s v="Oct-2023"/>
  </r>
  <r>
    <n v="11516"/>
    <n v="45"/>
    <x v="1"/>
    <x v="1"/>
    <x v="171"/>
    <d v="2026-01-09T00:00:00"/>
    <x v="3"/>
    <x v="0"/>
    <s v="Active"/>
    <n v="9600"/>
    <x v="1"/>
    <s v="Safe"/>
    <s v="Jun-2025"/>
  </r>
  <r>
    <n v="11517"/>
    <n v="35"/>
    <x v="1"/>
    <x v="1"/>
    <x v="147"/>
    <d v="2025-09-13T00:00:00"/>
    <x v="3"/>
    <x v="0"/>
    <s v="Inactive"/>
    <n v="9600"/>
    <x v="1"/>
    <s v="High Risk"/>
    <s v="Feb-2024"/>
  </r>
  <r>
    <n v="11518"/>
    <n v="24"/>
    <x v="0"/>
    <x v="1"/>
    <x v="719"/>
    <d v="2025-12-30T00:00:00"/>
    <x v="1"/>
    <x v="1"/>
    <s v="Active"/>
    <n v="15600"/>
    <x v="0"/>
    <s v="Safe"/>
    <s v="Aug-2024"/>
  </r>
  <r>
    <n v="11519"/>
    <n v="25"/>
    <x v="0"/>
    <x v="1"/>
    <x v="248"/>
    <d v="2025-10-01T00:00:00"/>
    <x v="1"/>
    <x v="1"/>
    <s v="Inactive"/>
    <n v="15600"/>
    <x v="2"/>
    <s v="High Risk"/>
    <s v="Nov-2023"/>
  </r>
  <r>
    <n v="11520"/>
    <n v="18"/>
    <x v="1"/>
    <x v="0"/>
    <x v="593"/>
    <d v="2025-12-28T00:00:00"/>
    <x v="0"/>
    <x v="0"/>
    <s v="Active"/>
    <n v="1200"/>
    <x v="0"/>
    <s v="Safe"/>
    <s v="Jul-2025"/>
  </r>
  <r>
    <n v="11521"/>
    <n v="42"/>
    <x v="0"/>
    <x v="2"/>
    <x v="720"/>
    <d v="2025-12-28T00:00:00"/>
    <x v="4"/>
    <x v="0"/>
    <s v="Active"/>
    <n v="3000"/>
    <x v="1"/>
    <s v="Safe"/>
    <s v="Dec-2023"/>
  </r>
  <r>
    <n v="11522"/>
    <n v="40"/>
    <x v="1"/>
    <x v="2"/>
    <x v="241"/>
    <d v="2025-12-28T00:00:00"/>
    <x v="4"/>
    <x v="0"/>
    <s v="Active"/>
    <n v="3000"/>
    <x v="1"/>
    <s v="Safe"/>
    <s v="Jul-2024"/>
  </r>
  <r>
    <n v="11523"/>
    <n v="20"/>
    <x v="1"/>
    <x v="1"/>
    <x v="685"/>
    <d v="2025-12-30T00:00:00"/>
    <x v="1"/>
    <x v="1"/>
    <s v="Active"/>
    <n v="15600"/>
    <x v="0"/>
    <s v="Safe"/>
    <s v="Nov-2025"/>
  </r>
  <r>
    <n v="11524"/>
    <n v="41"/>
    <x v="0"/>
    <x v="0"/>
    <x v="181"/>
    <d v="2025-12-29T00:00:00"/>
    <x v="0"/>
    <x v="0"/>
    <s v="Active"/>
    <n v="1200"/>
    <x v="1"/>
    <s v="Safe"/>
    <s v="Jun-2024"/>
  </r>
  <r>
    <n v="11525"/>
    <n v="40"/>
    <x v="0"/>
    <x v="0"/>
    <x v="58"/>
    <d v="2025-12-17T00:00:00"/>
    <x v="0"/>
    <x v="0"/>
    <s v="Active"/>
    <n v="1200"/>
    <x v="1"/>
    <s v="Safe"/>
    <s v="Sep-2025"/>
  </r>
  <r>
    <n v="11526"/>
    <n v="44"/>
    <x v="0"/>
    <x v="0"/>
    <x v="463"/>
    <d v="2025-12-27T00:00:00"/>
    <x v="2"/>
    <x v="1"/>
    <s v="Active"/>
    <n v="1700"/>
    <x v="1"/>
    <s v="Safe"/>
    <s v="Dec-2024"/>
  </r>
  <r>
    <n v="11527"/>
    <n v="25"/>
    <x v="0"/>
    <x v="2"/>
    <x v="41"/>
    <d v="2025-09-28T00:00:00"/>
    <x v="4"/>
    <x v="0"/>
    <s v="Inactive"/>
    <n v="3000"/>
    <x v="2"/>
    <s v="High Risk"/>
    <s v="Sep-2023"/>
  </r>
  <r>
    <n v="11528"/>
    <n v="39"/>
    <x v="0"/>
    <x v="0"/>
    <x v="554"/>
    <d v="2025-11-03T00:00:00"/>
    <x v="0"/>
    <x v="0"/>
    <s v="Inactive"/>
    <n v="1200"/>
    <x v="1"/>
    <s v="High Risk"/>
    <s v="Jan-2024"/>
  </r>
  <r>
    <n v="11529"/>
    <n v="42"/>
    <x v="0"/>
    <x v="0"/>
    <x v="487"/>
    <d v="2025-09-29T00:00:00"/>
    <x v="0"/>
    <x v="0"/>
    <s v="Inactive"/>
    <n v="1200"/>
    <x v="1"/>
    <s v="High Risk"/>
    <s v="May-2025"/>
  </r>
  <r>
    <n v="11530"/>
    <n v="32"/>
    <x v="0"/>
    <x v="0"/>
    <x v="396"/>
    <d v="2026-01-06T00:00:00"/>
    <x v="0"/>
    <x v="0"/>
    <s v="Active"/>
    <n v="1200"/>
    <x v="2"/>
    <s v="Safe"/>
    <s v="Nov-2024"/>
  </r>
  <r>
    <n v="11531"/>
    <n v="22"/>
    <x v="1"/>
    <x v="0"/>
    <x v="555"/>
    <d v="2026-01-10T00:00:00"/>
    <x v="0"/>
    <x v="0"/>
    <s v="Active"/>
    <n v="1200"/>
    <x v="0"/>
    <s v="Safe"/>
    <s v="Dec-2024"/>
  </r>
  <r>
    <n v="11532"/>
    <n v="20"/>
    <x v="1"/>
    <x v="1"/>
    <x v="195"/>
    <d v="2025-12-21T00:00:00"/>
    <x v="1"/>
    <x v="1"/>
    <s v="Active"/>
    <n v="15600"/>
    <x v="0"/>
    <s v="Safe"/>
    <s v="Jan-2025"/>
  </r>
  <r>
    <n v="11533"/>
    <n v="36"/>
    <x v="0"/>
    <x v="0"/>
    <x v="721"/>
    <d v="2025-12-06T00:00:00"/>
    <x v="2"/>
    <x v="1"/>
    <s v="Inactive"/>
    <n v="1700"/>
    <x v="1"/>
    <s v="High Risk"/>
    <s v="Oct-2024"/>
  </r>
  <r>
    <n v="11534"/>
    <n v="18"/>
    <x v="0"/>
    <x v="2"/>
    <x v="558"/>
    <d v="2025-11-05T00:00:00"/>
    <x v="4"/>
    <x v="0"/>
    <s v="Inactive"/>
    <n v="3000"/>
    <x v="0"/>
    <s v="High Risk"/>
    <s v="Aug-2025"/>
  </r>
  <r>
    <n v="11535"/>
    <n v="45"/>
    <x v="0"/>
    <x v="2"/>
    <x v="290"/>
    <d v="2025-10-29T00:00:00"/>
    <x v="4"/>
    <x v="0"/>
    <s v="Inactive"/>
    <n v="3000"/>
    <x v="1"/>
    <s v="High Risk"/>
    <s v="Apr-2025"/>
  </r>
  <r>
    <n v="11536"/>
    <n v="32"/>
    <x v="0"/>
    <x v="1"/>
    <x v="183"/>
    <d v="2025-12-29T00:00:00"/>
    <x v="1"/>
    <x v="1"/>
    <s v="Active"/>
    <n v="15600"/>
    <x v="2"/>
    <s v="Safe"/>
    <s v="Sep-2023"/>
  </r>
  <r>
    <n v="11537"/>
    <n v="25"/>
    <x v="1"/>
    <x v="0"/>
    <x v="68"/>
    <d v="2026-01-08T00:00:00"/>
    <x v="0"/>
    <x v="0"/>
    <s v="Active"/>
    <n v="1200"/>
    <x v="2"/>
    <s v="Safe"/>
    <s v="Dec-2023"/>
  </r>
  <r>
    <n v="11538"/>
    <n v="19"/>
    <x v="1"/>
    <x v="1"/>
    <x v="436"/>
    <d v="2026-01-02T00:00:00"/>
    <x v="3"/>
    <x v="0"/>
    <s v="Active"/>
    <n v="9600"/>
    <x v="0"/>
    <s v="Safe"/>
    <s v="Jul-2025"/>
  </r>
  <r>
    <n v="11539"/>
    <n v="20"/>
    <x v="1"/>
    <x v="2"/>
    <x v="106"/>
    <d v="2026-01-05T00:00:00"/>
    <x v="4"/>
    <x v="0"/>
    <s v="Active"/>
    <n v="3000"/>
    <x v="0"/>
    <s v="Safe"/>
    <s v="Sep-2023"/>
  </r>
  <r>
    <n v="11540"/>
    <n v="41"/>
    <x v="1"/>
    <x v="1"/>
    <x v="550"/>
    <d v="2025-12-31T00:00:00"/>
    <x v="1"/>
    <x v="1"/>
    <s v="Active"/>
    <n v="15600"/>
    <x v="1"/>
    <s v="Safe"/>
    <s v="Jun-2024"/>
  </r>
  <r>
    <n v="11541"/>
    <n v="31"/>
    <x v="0"/>
    <x v="1"/>
    <x v="67"/>
    <d v="2026-01-07T00:00:00"/>
    <x v="3"/>
    <x v="0"/>
    <s v="Active"/>
    <n v="9600"/>
    <x v="2"/>
    <s v="Safe"/>
    <s v="Sep-2023"/>
  </r>
  <r>
    <n v="11542"/>
    <n v="41"/>
    <x v="1"/>
    <x v="0"/>
    <x v="448"/>
    <d v="2026-01-02T00:00:00"/>
    <x v="2"/>
    <x v="1"/>
    <s v="Active"/>
    <n v="1700"/>
    <x v="1"/>
    <s v="Safe"/>
    <s v="Jan-2024"/>
  </r>
  <r>
    <n v="11543"/>
    <n v="31"/>
    <x v="0"/>
    <x v="0"/>
    <x v="399"/>
    <d v="2026-01-09T00:00:00"/>
    <x v="0"/>
    <x v="0"/>
    <s v="Active"/>
    <n v="1200"/>
    <x v="2"/>
    <s v="Safe"/>
    <s v="Jun-2025"/>
  </r>
  <r>
    <n v="11544"/>
    <n v="28"/>
    <x v="1"/>
    <x v="0"/>
    <x v="168"/>
    <d v="2025-12-21T00:00:00"/>
    <x v="0"/>
    <x v="0"/>
    <s v="Active"/>
    <n v="1200"/>
    <x v="2"/>
    <s v="Safe"/>
    <s v="Jul-2024"/>
  </r>
  <r>
    <n v="11545"/>
    <n v="33"/>
    <x v="0"/>
    <x v="2"/>
    <x v="722"/>
    <d v="2025-10-03T00:00:00"/>
    <x v="4"/>
    <x v="0"/>
    <s v="Inactive"/>
    <n v="3000"/>
    <x v="2"/>
    <s v="High Risk"/>
    <s v="Mar-2024"/>
  </r>
  <r>
    <n v="11546"/>
    <n v="21"/>
    <x v="1"/>
    <x v="0"/>
    <x v="567"/>
    <d v="2026-01-04T00:00:00"/>
    <x v="2"/>
    <x v="1"/>
    <s v="Active"/>
    <n v="1700"/>
    <x v="0"/>
    <s v="Safe"/>
    <s v="Oct-2025"/>
  </r>
  <r>
    <n v="11547"/>
    <n v="37"/>
    <x v="1"/>
    <x v="0"/>
    <x v="412"/>
    <d v="2026-01-06T00:00:00"/>
    <x v="2"/>
    <x v="1"/>
    <s v="Active"/>
    <n v="1700"/>
    <x v="1"/>
    <s v="Safe"/>
    <s v="Aug-2024"/>
  </r>
  <r>
    <n v="11548"/>
    <n v="22"/>
    <x v="0"/>
    <x v="2"/>
    <x v="2"/>
    <d v="2025-12-24T00:00:00"/>
    <x v="4"/>
    <x v="0"/>
    <s v="Active"/>
    <n v="3000"/>
    <x v="0"/>
    <s v="Safe"/>
    <s v="May-2025"/>
  </r>
  <r>
    <n v="11549"/>
    <n v="39"/>
    <x v="0"/>
    <x v="0"/>
    <x v="148"/>
    <d v="2025-12-24T00:00:00"/>
    <x v="0"/>
    <x v="0"/>
    <s v="Active"/>
    <n v="1200"/>
    <x v="1"/>
    <s v="Safe"/>
    <s v="Dec-2024"/>
  </r>
  <r>
    <n v="11550"/>
    <n v="38"/>
    <x v="1"/>
    <x v="0"/>
    <x v="185"/>
    <d v="2025-12-27T00:00:00"/>
    <x v="0"/>
    <x v="0"/>
    <s v="Active"/>
    <n v="1200"/>
    <x v="1"/>
    <s v="Safe"/>
    <s v="Jan-2025"/>
  </r>
  <r>
    <n v="11551"/>
    <n v="31"/>
    <x v="0"/>
    <x v="0"/>
    <x v="506"/>
    <d v="2026-01-09T00:00:00"/>
    <x v="0"/>
    <x v="0"/>
    <s v="Active"/>
    <n v="1200"/>
    <x v="2"/>
    <s v="Safe"/>
    <s v="May-2024"/>
  </r>
  <r>
    <n v="11552"/>
    <n v="40"/>
    <x v="0"/>
    <x v="0"/>
    <x v="230"/>
    <d v="2026-01-03T00:00:00"/>
    <x v="0"/>
    <x v="0"/>
    <s v="Active"/>
    <n v="1200"/>
    <x v="1"/>
    <s v="Safe"/>
    <s v="Dec-2025"/>
  </r>
  <r>
    <n v="11553"/>
    <n v="33"/>
    <x v="0"/>
    <x v="0"/>
    <x v="375"/>
    <d v="2025-12-30T00:00:00"/>
    <x v="2"/>
    <x v="1"/>
    <s v="Active"/>
    <n v="1700"/>
    <x v="2"/>
    <s v="Safe"/>
    <s v="Nov-2023"/>
  </r>
  <r>
    <n v="11554"/>
    <n v="35"/>
    <x v="0"/>
    <x v="2"/>
    <x v="723"/>
    <d v="2026-01-02T00:00:00"/>
    <x v="5"/>
    <x v="1"/>
    <s v="Active"/>
    <n v="4500"/>
    <x v="1"/>
    <s v="Safe"/>
    <s v="Jul-2024"/>
  </r>
  <r>
    <n v="11555"/>
    <n v="24"/>
    <x v="1"/>
    <x v="2"/>
    <x v="189"/>
    <d v="2026-01-09T00:00:00"/>
    <x v="5"/>
    <x v="1"/>
    <s v="Active"/>
    <n v="4500"/>
    <x v="0"/>
    <s v="Safe"/>
    <s v="Sep-2023"/>
  </r>
  <r>
    <n v="11556"/>
    <n v="27"/>
    <x v="0"/>
    <x v="1"/>
    <x v="684"/>
    <d v="2025-12-29T00:00:00"/>
    <x v="1"/>
    <x v="1"/>
    <s v="Active"/>
    <n v="15600"/>
    <x v="2"/>
    <s v="Safe"/>
    <s v="May-2025"/>
  </r>
  <r>
    <n v="11557"/>
    <n v="24"/>
    <x v="0"/>
    <x v="2"/>
    <x v="686"/>
    <d v="2025-12-26T00:00:00"/>
    <x v="4"/>
    <x v="0"/>
    <s v="Active"/>
    <n v="3000"/>
    <x v="0"/>
    <s v="Safe"/>
    <s v="Apr-2025"/>
  </r>
  <r>
    <n v="11558"/>
    <n v="18"/>
    <x v="0"/>
    <x v="2"/>
    <x v="688"/>
    <d v="2026-01-08T00:00:00"/>
    <x v="4"/>
    <x v="0"/>
    <s v="Active"/>
    <n v="3000"/>
    <x v="0"/>
    <s v="Safe"/>
    <s v="Nov-2025"/>
  </r>
  <r>
    <n v="11559"/>
    <n v="40"/>
    <x v="0"/>
    <x v="0"/>
    <x v="700"/>
    <d v="2025-12-31T00:00:00"/>
    <x v="0"/>
    <x v="0"/>
    <s v="Active"/>
    <n v="1200"/>
    <x v="1"/>
    <s v="Safe"/>
    <s v="Apr-2025"/>
  </r>
  <r>
    <n v="11560"/>
    <n v="38"/>
    <x v="0"/>
    <x v="1"/>
    <x v="286"/>
    <d v="2026-01-02T00:00:00"/>
    <x v="1"/>
    <x v="1"/>
    <s v="Active"/>
    <n v="15600"/>
    <x v="1"/>
    <s v="Safe"/>
    <s v="Oct-2023"/>
  </r>
  <r>
    <n v="11561"/>
    <n v="36"/>
    <x v="0"/>
    <x v="1"/>
    <x v="300"/>
    <d v="2025-12-19T00:00:00"/>
    <x v="1"/>
    <x v="1"/>
    <s v="Active"/>
    <n v="15600"/>
    <x v="1"/>
    <s v="Safe"/>
    <s v="Oct-2024"/>
  </r>
  <r>
    <n v="11562"/>
    <n v="33"/>
    <x v="0"/>
    <x v="1"/>
    <x v="177"/>
    <d v="2025-12-18T00:00:00"/>
    <x v="1"/>
    <x v="1"/>
    <s v="Active"/>
    <n v="15600"/>
    <x v="2"/>
    <s v="Safe"/>
    <s v="Oct-2025"/>
  </r>
  <r>
    <n v="11563"/>
    <n v="36"/>
    <x v="0"/>
    <x v="2"/>
    <x v="373"/>
    <d v="2025-12-20T00:00:00"/>
    <x v="5"/>
    <x v="1"/>
    <s v="Active"/>
    <n v="4500"/>
    <x v="1"/>
    <s v="Safe"/>
    <s v="Feb-2024"/>
  </r>
  <r>
    <n v="11564"/>
    <n v="21"/>
    <x v="1"/>
    <x v="0"/>
    <x v="668"/>
    <d v="2025-12-24T00:00:00"/>
    <x v="0"/>
    <x v="0"/>
    <s v="Active"/>
    <n v="1200"/>
    <x v="0"/>
    <s v="Safe"/>
    <s v="May-2024"/>
  </r>
  <r>
    <n v="11565"/>
    <n v="45"/>
    <x v="0"/>
    <x v="0"/>
    <x v="308"/>
    <d v="2025-12-28T00:00:00"/>
    <x v="0"/>
    <x v="0"/>
    <s v="Active"/>
    <n v="1200"/>
    <x v="1"/>
    <s v="Safe"/>
    <s v="Jun-2025"/>
  </r>
  <r>
    <n v="11566"/>
    <n v="35"/>
    <x v="0"/>
    <x v="0"/>
    <x v="533"/>
    <d v="2025-12-27T00:00:00"/>
    <x v="2"/>
    <x v="1"/>
    <s v="Active"/>
    <n v="1700"/>
    <x v="1"/>
    <s v="Safe"/>
    <s v="Jan-2024"/>
  </r>
  <r>
    <n v="11567"/>
    <n v="19"/>
    <x v="0"/>
    <x v="1"/>
    <x v="724"/>
    <d v="2026-01-04T00:00:00"/>
    <x v="1"/>
    <x v="1"/>
    <s v="Active"/>
    <n v="15600"/>
    <x v="0"/>
    <s v="Safe"/>
    <s v="Jan-2024"/>
  </r>
  <r>
    <n v="11568"/>
    <n v="18"/>
    <x v="0"/>
    <x v="2"/>
    <x v="678"/>
    <d v="2026-01-10T00:00:00"/>
    <x v="5"/>
    <x v="1"/>
    <s v="Active"/>
    <n v="4500"/>
    <x v="0"/>
    <s v="Safe"/>
    <s v="Aug-2024"/>
  </r>
  <r>
    <n v="11569"/>
    <n v="32"/>
    <x v="0"/>
    <x v="2"/>
    <x v="725"/>
    <d v="2026-01-01T00:00:00"/>
    <x v="5"/>
    <x v="1"/>
    <s v="Active"/>
    <n v="4500"/>
    <x v="2"/>
    <s v="Safe"/>
    <s v="May-2024"/>
  </r>
  <r>
    <n v="11570"/>
    <n v="22"/>
    <x v="0"/>
    <x v="0"/>
    <x v="726"/>
    <d v="2025-12-28T00:00:00"/>
    <x v="0"/>
    <x v="0"/>
    <s v="Active"/>
    <n v="1200"/>
    <x v="0"/>
    <s v="Safe"/>
    <s v="Sep-2025"/>
  </r>
  <r>
    <n v="11571"/>
    <n v="37"/>
    <x v="1"/>
    <x v="1"/>
    <x v="727"/>
    <d v="2026-01-02T00:00:00"/>
    <x v="1"/>
    <x v="1"/>
    <s v="Active"/>
    <n v="15600"/>
    <x v="1"/>
    <s v="Safe"/>
    <s v="Aug-2023"/>
  </r>
  <r>
    <n v="11572"/>
    <n v="28"/>
    <x v="0"/>
    <x v="0"/>
    <x v="324"/>
    <d v="2026-01-08T00:00:00"/>
    <x v="0"/>
    <x v="0"/>
    <s v="Active"/>
    <n v="1200"/>
    <x v="2"/>
    <s v="Safe"/>
    <s v="Jul-2025"/>
  </r>
  <r>
    <n v="11573"/>
    <n v="27"/>
    <x v="0"/>
    <x v="0"/>
    <x v="591"/>
    <d v="2025-12-27T00:00:00"/>
    <x v="0"/>
    <x v="0"/>
    <s v="Active"/>
    <n v="1200"/>
    <x v="2"/>
    <s v="Safe"/>
    <s v="Dec-2023"/>
  </r>
  <r>
    <n v="11574"/>
    <n v="19"/>
    <x v="1"/>
    <x v="0"/>
    <x v="119"/>
    <d v="2025-12-17T00:00:00"/>
    <x v="0"/>
    <x v="0"/>
    <s v="Active"/>
    <n v="1200"/>
    <x v="0"/>
    <s v="Safe"/>
    <s v="Oct-2023"/>
  </r>
  <r>
    <n v="11575"/>
    <n v="20"/>
    <x v="0"/>
    <x v="2"/>
    <x v="570"/>
    <d v="2026-01-02T00:00:00"/>
    <x v="4"/>
    <x v="0"/>
    <s v="Active"/>
    <n v="3000"/>
    <x v="0"/>
    <s v="Safe"/>
    <s v="Dec-2024"/>
  </r>
  <r>
    <n v="11576"/>
    <n v="40"/>
    <x v="0"/>
    <x v="2"/>
    <x v="562"/>
    <d v="2026-01-02T00:00:00"/>
    <x v="4"/>
    <x v="0"/>
    <s v="Active"/>
    <n v="3000"/>
    <x v="1"/>
    <s v="Safe"/>
    <s v="Aug-2023"/>
  </r>
  <r>
    <n v="11577"/>
    <n v="40"/>
    <x v="0"/>
    <x v="1"/>
    <x v="728"/>
    <d v="2025-11-27T00:00:00"/>
    <x v="1"/>
    <x v="1"/>
    <s v="Inactive"/>
    <n v="15600"/>
    <x v="1"/>
    <s v="High Risk"/>
    <s v="May-2025"/>
  </r>
  <r>
    <n v="11578"/>
    <n v="29"/>
    <x v="0"/>
    <x v="0"/>
    <x v="582"/>
    <d v="2025-12-28T00:00:00"/>
    <x v="0"/>
    <x v="0"/>
    <s v="Active"/>
    <n v="1200"/>
    <x v="2"/>
    <s v="Safe"/>
    <s v="Oct-2025"/>
  </r>
  <r>
    <n v="11579"/>
    <n v="37"/>
    <x v="1"/>
    <x v="2"/>
    <x v="691"/>
    <d v="2026-01-08T00:00:00"/>
    <x v="4"/>
    <x v="0"/>
    <s v="Active"/>
    <n v="3000"/>
    <x v="1"/>
    <s v="Safe"/>
    <s v="Sep-2023"/>
  </r>
  <r>
    <n v="11580"/>
    <n v="22"/>
    <x v="1"/>
    <x v="2"/>
    <x v="367"/>
    <d v="2026-01-06T00:00:00"/>
    <x v="5"/>
    <x v="1"/>
    <s v="Active"/>
    <n v="4500"/>
    <x v="0"/>
    <s v="Safe"/>
    <s v="Nov-2024"/>
  </r>
  <r>
    <n v="11581"/>
    <n v="22"/>
    <x v="1"/>
    <x v="0"/>
    <x v="531"/>
    <d v="2025-12-28T00:00:00"/>
    <x v="0"/>
    <x v="0"/>
    <s v="Active"/>
    <n v="1200"/>
    <x v="0"/>
    <s v="Safe"/>
    <s v="Jan-2025"/>
  </r>
  <r>
    <n v="11582"/>
    <n v="23"/>
    <x v="0"/>
    <x v="1"/>
    <x v="729"/>
    <d v="2026-01-10T00:00:00"/>
    <x v="3"/>
    <x v="0"/>
    <s v="Active"/>
    <n v="9600"/>
    <x v="0"/>
    <s v="Safe"/>
    <s v="Dec-2025"/>
  </r>
  <r>
    <n v="11583"/>
    <n v="26"/>
    <x v="0"/>
    <x v="1"/>
    <x v="577"/>
    <d v="2025-12-18T00:00:00"/>
    <x v="3"/>
    <x v="0"/>
    <s v="Active"/>
    <n v="9600"/>
    <x v="2"/>
    <s v="Safe"/>
    <s v="Jul-2025"/>
  </r>
  <r>
    <n v="11584"/>
    <n v="19"/>
    <x v="0"/>
    <x v="2"/>
    <x v="579"/>
    <d v="2025-12-18T00:00:00"/>
    <x v="5"/>
    <x v="1"/>
    <s v="Active"/>
    <n v="4500"/>
    <x v="0"/>
    <s v="Safe"/>
    <s v="Oct-2024"/>
  </r>
  <r>
    <n v="11585"/>
    <n v="38"/>
    <x v="0"/>
    <x v="1"/>
    <x v="579"/>
    <d v="2025-12-27T00:00:00"/>
    <x v="1"/>
    <x v="1"/>
    <s v="Active"/>
    <n v="15600"/>
    <x v="1"/>
    <s v="Safe"/>
    <s v="Oct-2024"/>
  </r>
  <r>
    <n v="11586"/>
    <n v="29"/>
    <x v="0"/>
    <x v="2"/>
    <x v="31"/>
    <d v="2025-10-25T00:00:00"/>
    <x v="4"/>
    <x v="0"/>
    <s v="Inactive"/>
    <n v="3000"/>
    <x v="2"/>
    <s v="High Risk"/>
    <s v="Oct-2024"/>
  </r>
  <r>
    <n v="11587"/>
    <n v="20"/>
    <x v="1"/>
    <x v="0"/>
    <x v="202"/>
    <d v="2025-12-20T00:00:00"/>
    <x v="2"/>
    <x v="1"/>
    <s v="Active"/>
    <n v="1700"/>
    <x v="0"/>
    <s v="Safe"/>
    <s v="Apr-2025"/>
  </r>
  <r>
    <n v="11588"/>
    <n v="37"/>
    <x v="0"/>
    <x v="2"/>
    <x v="429"/>
    <d v="2025-12-31T00:00:00"/>
    <x v="4"/>
    <x v="0"/>
    <s v="Active"/>
    <n v="3000"/>
    <x v="1"/>
    <s v="Safe"/>
    <s v="Jun-2024"/>
  </r>
  <r>
    <n v="11589"/>
    <n v="43"/>
    <x v="0"/>
    <x v="0"/>
    <x v="223"/>
    <d v="2026-01-09T00:00:00"/>
    <x v="0"/>
    <x v="0"/>
    <s v="Active"/>
    <n v="1200"/>
    <x v="1"/>
    <s v="Safe"/>
    <s v="Aug-2025"/>
  </r>
  <r>
    <n v="11590"/>
    <n v="39"/>
    <x v="0"/>
    <x v="0"/>
    <x v="672"/>
    <d v="2025-12-25T00:00:00"/>
    <x v="2"/>
    <x v="1"/>
    <s v="Active"/>
    <n v="1700"/>
    <x v="1"/>
    <s v="Safe"/>
    <s v="Jun-2025"/>
  </r>
  <r>
    <n v="11591"/>
    <n v="29"/>
    <x v="0"/>
    <x v="0"/>
    <x v="23"/>
    <d v="2025-12-25T00:00:00"/>
    <x v="0"/>
    <x v="0"/>
    <s v="Active"/>
    <n v="1200"/>
    <x v="2"/>
    <s v="Safe"/>
    <s v="Oct-2024"/>
  </r>
  <r>
    <n v="11592"/>
    <n v="41"/>
    <x v="0"/>
    <x v="2"/>
    <x v="166"/>
    <d v="2025-12-31T00:00:00"/>
    <x v="4"/>
    <x v="0"/>
    <s v="Active"/>
    <n v="3000"/>
    <x v="1"/>
    <s v="Safe"/>
    <s v="Oct-2025"/>
  </r>
  <r>
    <n v="11593"/>
    <n v="34"/>
    <x v="1"/>
    <x v="2"/>
    <x v="730"/>
    <d v="2025-12-31T00:00:00"/>
    <x v="5"/>
    <x v="1"/>
    <s v="Active"/>
    <n v="4500"/>
    <x v="2"/>
    <s v="Safe"/>
    <s v="Nov-2024"/>
  </r>
  <r>
    <n v="11594"/>
    <n v="27"/>
    <x v="0"/>
    <x v="0"/>
    <x v="731"/>
    <d v="2025-12-22T00:00:00"/>
    <x v="0"/>
    <x v="0"/>
    <s v="Active"/>
    <n v="1200"/>
    <x v="2"/>
    <s v="Safe"/>
    <s v="Oct-2024"/>
  </r>
  <r>
    <n v="11595"/>
    <n v="41"/>
    <x v="1"/>
    <x v="2"/>
    <x v="387"/>
    <d v="2026-01-06T00:00:00"/>
    <x v="4"/>
    <x v="0"/>
    <s v="Active"/>
    <n v="3000"/>
    <x v="1"/>
    <s v="Safe"/>
    <s v="Apr-2024"/>
  </r>
  <r>
    <n v="11596"/>
    <n v="44"/>
    <x v="0"/>
    <x v="1"/>
    <x v="732"/>
    <d v="2025-12-22T00:00:00"/>
    <x v="3"/>
    <x v="0"/>
    <s v="Active"/>
    <n v="9600"/>
    <x v="1"/>
    <s v="Safe"/>
    <s v="Dec-2023"/>
  </r>
  <r>
    <n v="11597"/>
    <n v="31"/>
    <x v="1"/>
    <x v="0"/>
    <x v="651"/>
    <d v="2025-10-09T00:00:00"/>
    <x v="0"/>
    <x v="0"/>
    <s v="Inactive"/>
    <n v="1200"/>
    <x v="2"/>
    <s v="High Risk"/>
    <s v="Jul-2025"/>
  </r>
  <r>
    <n v="11598"/>
    <n v="40"/>
    <x v="1"/>
    <x v="0"/>
    <x v="36"/>
    <d v="2026-01-02T00:00:00"/>
    <x v="0"/>
    <x v="0"/>
    <s v="Active"/>
    <n v="1200"/>
    <x v="1"/>
    <s v="Safe"/>
    <s v="Aug-2023"/>
  </r>
  <r>
    <n v="11599"/>
    <n v="34"/>
    <x v="0"/>
    <x v="1"/>
    <x v="733"/>
    <d v="2025-12-31T00:00:00"/>
    <x v="3"/>
    <x v="0"/>
    <s v="Active"/>
    <n v="9600"/>
    <x v="2"/>
    <s v="Safe"/>
    <s v="Jul-2025"/>
  </r>
  <r>
    <n v="11600"/>
    <n v="35"/>
    <x v="0"/>
    <x v="0"/>
    <x v="600"/>
    <d v="2025-12-01T00:00:00"/>
    <x v="0"/>
    <x v="0"/>
    <s v="Inactive"/>
    <n v="1200"/>
    <x v="1"/>
    <s v="High Risk"/>
    <s v="Sep-2025"/>
  </r>
  <r>
    <n v="11601"/>
    <n v="36"/>
    <x v="1"/>
    <x v="2"/>
    <x v="380"/>
    <d v="2025-12-21T00:00:00"/>
    <x v="4"/>
    <x v="0"/>
    <s v="Active"/>
    <n v="3000"/>
    <x v="1"/>
    <s v="Safe"/>
    <s v="Oct-2023"/>
  </r>
  <r>
    <n v="11602"/>
    <n v="34"/>
    <x v="0"/>
    <x v="0"/>
    <x v="4"/>
    <d v="2025-12-21T00:00:00"/>
    <x v="0"/>
    <x v="0"/>
    <s v="Active"/>
    <n v="1200"/>
    <x v="2"/>
    <s v="Safe"/>
    <s v="Feb-2024"/>
  </r>
  <r>
    <n v="11603"/>
    <n v="31"/>
    <x v="1"/>
    <x v="2"/>
    <x v="436"/>
    <d v="2025-12-31T00:00:00"/>
    <x v="4"/>
    <x v="0"/>
    <s v="Active"/>
    <n v="3000"/>
    <x v="2"/>
    <s v="Safe"/>
    <s v="Jul-2025"/>
  </r>
  <r>
    <n v="11604"/>
    <n v="26"/>
    <x v="0"/>
    <x v="2"/>
    <x v="397"/>
    <d v="2025-12-23T00:00:00"/>
    <x v="5"/>
    <x v="1"/>
    <s v="Active"/>
    <n v="4500"/>
    <x v="2"/>
    <s v="Safe"/>
    <s v="Mar-2025"/>
  </r>
  <r>
    <n v="11605"/>
    <n v="25"/>
    <x v="0"/>
    <x v="2"/>
    <x v="734"/>
    <d v="2026-01-09T00:00:00"/>
    <x v="4"/>
    <x v="0"/>
    <s v="Active"/>
    <n v="3000"/>
    <x v="2"/>
    <s v="Safe"/>
    <s v="May-2025"/>
  </r>
  <r>
    <n v="11606"/>
    <n v="19"/>
    <x v="1"/>
    <x v="1"/>
    <x v="191"/>
    <d v="2026-01-07T00:00:00"/>
    <x v="3"/>
    <x v="0"/>
    <s v="Active"/>
    <n v="9600"/>
    <x v="0"/>
    <s v="Safe"/>
    <s v="Oct-2023"/>
  </r>
  <r>
    <n v="11607"/>
    <n v="30"/>
    <x v="1"/>
    <x v="1"/>
    <x v="315"/>
    <d v="2025-12-23T00:00:00"/>
    <x v="1"/>
    <x v="1"/>
    <s v="Active"/>
    <n v="15600"/>
    <x v="2"/>
    <s v="Safe"/>
    <s v="Sep-2023"/>
  </r>
  <r>
    <n v="11608"/>
    <n v="42"/>
    <x v="0"/>
    <x v="1"/>
    <x v="77"/>
    <d v="2025-12-19T00:00:00"/>
    <x v="3"/>
    <x v="0"/>
    <s v="Active"/>
    <n v="9600"/>
    <x v="1"/>
    <s v="Safe"/>
    <s v="Jul-2025"/>
  </r>
  <r>
    <n v="11609"/>
    <n v="24"/>
    <x v="1"/>
    <x v="2"/>
    <x v="478"/>
    <d v="2026-01-08T00:00:00"/>
    <x v="5"/>
    <x v="1"/>
    <s v="Active"/>
    <n v="4500"/>
    <x v="0"/>
    <s v="Safe"/>
    <s v="May-2025"/>
  </r>
  <r>
    <n v="11610"/>
    <n v="26"/>
    <x v="0"/>
    <x v="0"/>
    <x v="675"/>
    <d v="2026-01-04T00:00:00"/>
    <x v="2"/>
    <x v="1"/>
    <s v="Active"/>
    <n v="1700"/>
    <x v="2"/>
    <s v="Safe"/>
    <s v="Aug-2024"/>
  </r>
  <r>
    <n v="11611"/>
    <n v="39"/>
    <x v="0"/>
    <x v="2"/>
    <x v="85"/>
    <d v="2025-12-17T00:00:00"/>
    <x v="4"/>
    <x v="0"/>
    <s v="Active"/>
    <n v="3000"/>
    <x v="1"/>
    <s v="Safe"/>
    <s v="Mar-2024"/>
  </r>
  <r>
    <n v="11612"/>
    <n v="39"/>
    <x v="0"/>
    <x v="0"/>
    <x v="735"/>
    <d v="2025-12-31T00:00:00"/>
    <x v="0"/>
    <x v="0"/>
    <s v="Active"/>
    <n v="1200"/>
    <x v="1"/>
    <s v="Safe"/>
    <s v="Mar-2024"/>
  </r>
  <r>
    <n v="11613"/>
    <n v="28"/>
    <x v="0"/>
    <x v="1"/>
    <x v="100"/>
    <d v="2025-12-21T00:00:00"/>
    <x v="1"/>
    <x v="1"/>
    <s v="Active"/>
    <n v="15600"/>
    <x v="2"/>
    <s v="Safe"/>
    <s v="Aug-2024"/>
  </r>
  <r>
    <n v="11614"/>
    <n v="31"/>
    <x v="1"/>
    <x v="0"/>
    <x v="27"/>
    <d v="2025-10-13T00:00:00"/>
    <x v="0"/>
    <x v="0"/>
    <s v="Inactive"/>
    <n v="1200"/>
    <x v="2"/>
    <s v="High Risk"/>
    <s v="Jul-2025"/>
  </r>
  <r>
    <n v="11615"/>
    <n v="21"/>
    <x v="0"/>
    <x v="2"/>
    <x v="14"/>
    <d v="2025-12-24T00:00:00"/>
    <x v="4"/>
    <x v="0"/>
    <s v="Active"/>
    <n v="3000"/>
    <x v="0"/>
    <s v="Safe"/>
    <s v="Jan-2024"/>
  </r>
  <r>
    <n v="11616"/>
    <n v="43"/>
    <x v="0"/>
    <x v="0"/>
    <x v="736"/>
    <d v="2025-10-25T00:00:00"/>
    <x v="2"/>
    <x v="1"/>
    <s v="Inactive"/>
    <n v="1700"/>
    <x v="1"/>
    <s v="High Risk"/>
    <s v="May-2025"/>
  </r>
  <r>
    <n v="11617"/>
    <n v="43"/>
    <x v="0"/>
    <x v="1"/>
    <x v="65"/>
    <d v="2025-10-29T00:00:00"/>
    <x v="3"/>
    <x v="0"/>
    <s v="Inactive"/>
    <n v="9600"/>
    <x v="1"/>
    <s v="High Risk"/>
    <s v="Mar-2025"/>
  </r>
  <r>
    <n v="11618"/>
    <n v="30"/>
    <x v="0"/>
    <x v="1"/>
    <x v="737"/>
    <d v="2025-12-24T00:00:00"/>
    <x v="3"/>
    <x v="0"/>
    <s v="Active"/>
    <n v="9600"/>
    <x v="2"/>
    <s v="Safe"/>
    <s v="Feb-2024"/>
  </r>
  <r>
    <n v="11619"/>
    <n v="19"/>
    <x v="0"/>
    <x v="0"/>
    <x v="370"/>
    <d v="2025-12-27T00:00:00"/>
    <x v="0"/>
    <x v="0"/>
    <s v="Active"/>
    <n v="1200"/>
    <x v="0"/>
    <s v="Safe"/>
    <s v="Oct-2023"/>
  </r>
  <r>
    <n v="11620"/>
    <n v="40"/>
    <x v="1"/>
    <x v="1"/>
    <x v="671"/>
    <d v="2025-12-21T00:00:00"/>
    <x v="3"/>
    <x v="0"/>
    <s v="Active"/>
    <n v="9600"/>
    <x v="1"/>
    <s v="Safe"/>
    <s v="Aug-2025"/>
  </r>
  <r>
    <n v="11621"/>
    <n v="22"/>
    <x v="0"/>
    <x v="0"/>
    <x v="235"/>
    <d v="2025-12-24T00:00:00"/>
    <x v="0"/>
    <x v="0"/>
    <s v="Active"/>
    <n v="1200"/>
    <x v="0"/>
    <s v="Safe"/>
    <s v="May-2024"/>
  </r>
  <r>
    <n v="11622"/>
    <n v="28"/>
    <x v="1"/>
    <x v="2"/>
    <x v="55"/>
    <d v="2025-12-23T00:00:00"/>
    <x v="5"/>
    <x v="1"/>
    <s v="Active"/>
    <n v="4500"/>
    <x v="2"/>
    <s v="Safe"/>
    <s v="Nov-2024"/>
  </r>
  <r>
    <n v="11623"/>
    <n v="23"/>
    <x v="1"/>
    <x v="1"/>
    <x v="15"/>
    <d v="2025-10-19T00:00:00"/>
    <x v="1"/>
    <x v="1"/>
    <s v="Inactive"/>
    <n v="15600"/>
    <x v="0"/>
    <s v="High Risk"/>
    <s v="Sep-2025"/>
  </r>
  <r>
    <n v="11624"/>
    <n v="35"/>
    <x v="0"/>
    <x v="0"/>
    <x v="257"/>
    <d v="2026-01-08T00:00:00"/>
    <x v="0"/>
    <x v="0"/>
    <s v="Active"/>
    <n v="1200"/>
    <x v="1"/>
    <s v="Safe"/>
    <s v="Apr-2024"/>
  </r>
  <r>
    <n v="11625"/>
    <n v="38"/>
    <x v="1"/>
    <x v="1"/>
    <x v="234"/>
    <d v="2026-01-10T00:00:00"/>
    <x v="3"/>
    <x v="0"/>
    <s v="Active"/>
    <n v="9600"/>
    <x v="1"/>
    <s v="Safe"/>
    <s v="Jul-2024"/>
  </r>
  <r>
    <n v="11626"/>
    <n v="27"/>
    <x v="1"/>
    <x v="0"/>
    <x v="221"/>
    <d v="2026-01-08T00:00:00"/>
    <x v="2"/>
    <x v="1"/>
    <s v="Active"/>
    <n v="1700"/>
    <x v="2"/>
    <s v="Safe"/>
    <s v="Apr-2024"/>
  </r>
  <r>
    <n v="11627"/>
    <n v="21"/>
    <x v="0"/>
    <x v="0"/>
    <x v="738"/>
    <d v="2026-01-08T00:00:00"/>
    <x v="0"/>
    <x v="0"/>
    <s v="Active"/>
    <n v="1200"/>
    <x v="0"/>
    <s v="Safe"/>
    <s v="Mar-2025"/>
  </r>
  <r>
    <n v="11628"/>
    <n v="26"/>
    <x v="0"/>
    <x v="1"/>
    <x v="482"/>
    <d v="2025-12-22T00:00:00"/>
    <x v="3"/>
    <x v="0"/>
    <s v="Active"/>
    <n v="9600"/>
    <x v="2"/>
    <s v="Safe"/>
    <s v="May-2025"/>
  </r>
  <r>
    <n v="11629"/>
    <n v="23"/>
    <x v="0"/>
    <x v="0"/>
    <x v="659"/>
    <d v="2025-12-27T00:00:00"/>
    <x v="2"/>
    <x v="1"/>
    <s v="Active"/>
    <n v="1700"/>
    <x v="0"/>
    <s v="Safe"/>
    <s v="Oct-2025"/>
  </r>
  <r>
    <n v="11630"/>
    <n v="19"/>
    <x v="0"/>
    <x v="1"/>
    <x v="181"/>
    <d v="2025-12-19T00:00:00"/>
    <x v="1"/>
    <x v="1"/>
    <s v="Active"/>
    <n v="15600"/>
    <x v="0"/>
    <s v="Safe"/>
    <s v="Jun-2024"/>
  </r>
  <r>
    <n v="11631"/>
    <n v="34"/>
    <x v="1"/>
    <x v="1"/>
    <x v="275"/>
    <d v="2026-01-02T00:00:00"/>
    <x v="1"/>
    <x v="1"/>
    <s v="Active"/>
    <n v="15600"/>
    <x v="2"/>
    <s v="Safe"/>
    <s v="Sep-2024"/>
  </r>
  <r>
    <n v="11632"/>
    <n v="22"/>
    <x v="0"/>
    <x v="0"/>
    <x v="206"/>
    <d v="2025-09-14T00:00:00"/>
    <x v="0"/>
    <x v="0"/>
    <s v="Inactive"/>
    <n v="1200"/>
    <x v="0"/>
    <s v="High Risk"/>
    <s v="Aug-2024"/>
  </r>
  <r>
    <n v="11633"/>
    <n v="42"/>
    <x v="1"/>
    <x v="2"/>
    <x v="294"/>
    <d v="2025-10-04T00:00:00"/>
    <x v="5"/>
    <x v="1"/>
    <s v="Inactive"/>
    <n v="4500"/>
    <x v="1"/>
    <s v="High Risk"/>
    <s v="Nov-2025"/>
  </r>
  <r>
    <n v="11634"/>
    <n v="23"/>
    <x v="0"/>
    <x v="0"/>
    <x v="60"/>
    <d v="2026-01-01T00:00:00"/>
    <x v="0"/>
    <x v="0"/>
    <s v="Active"/>
    <n v="1200"/>
    <x v="0"/>
    <s v="Safe"/>
    <s v="May-2025"/>
  </r>
  <r>
    <n v="11635"/>
    <n v="43"/>
    <x v="0"/>
    <x v="0"/>
    <x v="680"/>
    <d v="2025-12-25T00:00:00"/>
    <x v="0"/>
    <x v="0"/>
    <s v="Active"/>
    <n v="1200"/>
    <x v="1"/>
    <s v="Safe"/>
    <s v="Mar-2025"/>
  </r>
  <r>
    <n v="11636"/>
    <n v="29"/>
    <x v="1"/>
    <x v="0"/>
    <x v="739"/>
    <d v="2026-01-08T00:00:00"/>
    <x v="0"/>
    <x v="0"/>
    <s v="Active"/>
    <n v="1200"/>
    <x v="2"/>
    <s v="Safe"/>
    <s v="Nov-2025"/>
  </r>
  <r>
    <n v="11637"/>
    <n v="40"/>
    <x v="0"/>
    <x v="0"/>
    <x v="483"/>
    <d v="2025-12-19T00:00:00"/>
    <x v="2"/>
    <x v="1"/>
    <s v="Active"/>
    <n v="1700"/>
    <x v="1"/>
    <s v="Safe"/>
    <s v="Sep-2024"/>
  </r>
  <r>
    <n v="11638"/>
    <n v="38"/>
    <x v="0"/>
    <x v="0"/>
    <x v="688"/>
    <d v="2025-12-22T00:00:00"/>
    <x v="0"/>
    <x v="0"/>
    <s v="Active"/>
    <n v="1200"/>
    <x v="1"/>
    <s v="Safe"/>
    <s v="Nov-2025"/>
  </r>
  <r>
    <n v="11639"/>
    <n v="27"/>
    <x v="0"/>
    <x v="0"/>
    <x v="593"/>
    <d v="2025-12-17T00:00:00"/>
    <x v="0"/>
    <x v="0"/>
    <s v="Active"/>
    <n v="1200"/>
    <x v="2"/>
    <s v="Safe"/>
    <s v="Jul-2025"/>
  </r>
  <r>
    <n v="11640"/>
    <n v="39"/>
    <x v="0"/>
    <x v="1"/>
    <x v="716"/>
    <d v="2025-09-21T00:00:00"/>
    <x v="3"/>
    <x v="0"/>
    <s v="Inactive"/>
    <n v="9600"/>
    <x v="1"/>
    <s v="High Risk"/>
    <s v="Jan-2025"/>
  </r>
  <r>
    <n v="11641"/>
    <n v="38"/>
    <x v="0"/>
    <x v="1"/>
    <x v="384"/>
    <d v="2025-11-30T00:00:00"/>
    <x v="3"/>
    <x v="0"/>
    <s v="Inactive"/>
    <n v="9600"/>
    <x v="1"/>
    <s v="High Risk"/>
    <s v="Aug-2024"/>
  </r>
  <r>
    <n v="11642"/>
    <n v="44"/>
    <x v="0"/>
    <x v="2"/>
    <x v="19"/>
    <d v="2025-10-17T00:00:00"/>
    <x v="4"/>
    <x v="0"/>
    <s v="Inactive"/>
    <n v="3000"/>
    <x v="1"/>
    <s v="High Risk"/>
    <s v="Dec-2024"/>
  </r>
  <r>
    <n v="11643"/>
    <n v="42"/>
    <x v="0"/>
    <x v="2"/>
    <x v="8"/>
    <d v="2025-12-06T00:00:00"/>
    <x v="4"/>
    <x v="0"/>
    <s v="Inactive"/>
    <n v="3000"/>
    <x v="1"/>
    <s v="High Risk"/>
    <s v="Oct-2025"/>
  </r>
  <r>
    <n v="11644"/>
    <n v="23"/>
    <x v="1"/>
    <x v="1"/>
    <x v="740"/>
    <d v="2025-12-29T00:00:00"/>
    <x v="1"/>
    <x v="1"/>
    <s v="Active"/>
    <n v="15600"/>
    <x v="0"/>
    <s v="Safe"/>
    <s v="Aug-2024"/>
  </r>
  <r>
    <n v="11645"/>
    <n v="44"/>
    <x v="0"/>
    <x v="0"/>
    <x v="741"/>
    <d v="2025-09-22T00:00:00"/>
    <x v="2"/>
    <x v="1"/>
    <s v="Inactive"/>
    <n v="1700"/>
    <x v="1"/>
    <s v="High Risk"/>
    <s v="May-2025"/>
  </r>
  <r>
    <n v="11646"/>
    <n v="25"/>
    <x v="0"/>
    <x v="2"/>
    <x v="495"/>
    <d v="2026-01-09T00:00:00"/>
    <x v="5"/>
    <x v="1"/>
    <s v="Active"/>
    <n v="4500"/>
    <x v="2"/>
    <s v="Safe"/>
    <s v="Aug-2023"/>
  </r>
  <r>
    <n v="11647"/>
    <n v="19"/>
    <x v="0"/>
    <x v="1"/>
    <x v="60"/>
    <d v="2026-01-10T00:00:00"/>
    <x v="3"/>
    <x v="0"/>
    <s v="Active"/>
    <n v="9600"/>
    <x v="0"/>
    <s v="Safe"/>
    <s v="May-2025"/>
  </r>
  <r>
    <n v="11648"/>
    <n v="29"/>
    <x v="1"/>
    <x v="0"/>
    <x v="742"/>
    <d v="2025-11-17T00:00:00"/>
    <x v="2"/>
    <x v="1"/>
    <s v="Inactive"/>
    <n v="1700"/>
    <x v="2"/>
    <s v="High Risk"/>
    <s v="Aug-2023"/>
  </r>
  <r>
    <n v="11649"/>
    <n v="30"/>
    <x v="0"/>
    <x v="2"/>
    <x v="305"/>
    <d v="2025-11-18T00:00:00"/>
    <x v="5"/>
    <x v="1"/>
    <s v="Inactive"/>
    <n v="4500"/>
    <x v="2"/>
    <s v="High Risk"/>
    <s v="Oct-2025"/>
  </r>
  <r>
    <n v="11650"/>
    <n v="42"/>
    <x v="0"/>
    <x v="1"/>
    <x v="743"/>
    <d v="2025-12-26T00:00:00"/>
    <x v="3"/>
    <x v="0"/>
    <s v="Active"/>
    <n v="9600"/>
    <x v="1"/>
    <s v="Safe"/>
    <s v="Oct-2023"/>
  </r>
  <r>
    <n v="11651"/>
    <n v="38"/>
    <x v="0"/>
    <x v="1"/>
    <x v="357"/>
    <d v="2025-11-12T00:00:00"/>
    <x v="1"/>
    <x v="1"/>
    <s v="Inactive"/>
    <n v="15600"/>
    <x v="1"/>
    <s v="High Risk"/>
    <s v="Dec-2024"/>
  </r>
  <r>
    <n v="11652"/>
    <n v="24"/>
    <x v="0"/>
    <x v="2"/>
    <x v="744"/>
    <d v="2026-01-02T00:00:00"/>
    <x v="5"/>
    <x v="1"/>
    <s v="Active"/>
    <n v="4500"/>
    <x v="0"/>
    <s v="Safe"/>
    <s v="Aug-2023"/>
  </r>
  <r>
    <n v="11653"/>
    <n v="27"/>
    <x v="1"/>
    <x v="0"/>
    <x v="653"/>
    <d v="2025-10-12T00:00:00"/>
    <x v="2"/>
    <x v="1"/>
    <s v="Inactive"/>
    <n v="1700"/>
    <x v="2"/>
    <s v="High Risk"/>
    <s v="Nov-2025"/>
  </r>
  <r>
    <n v="11654"/>
    <n v="30"/>
    <x v="1"/>
    <x v="0"/>
    <x v="443"/>
    <d v="2026-01-10T00:00:00"/>
    <x v="0"/>
    <x v="0"/>
    <s v="Active"/>
    <n v="1200"/>
    <x v="2"/>
    <s v="Safe"/>
    <s v="Jan-2025"/>
  </r>
  <r>
    <n v="11655"/>
    <n v="34"/>
    <x v="0"/>
    <x v="0"/>
    <x v="709"/>
    <d v="2025-11-08T00:00:00"/>
    <x v="0"/>
    <x v="0"/>
    <s v="Inactive"/>
    <n v="1200"/>
    <x v="2"/>
    <s v="High Risk"/>
    <s v="Aug-2023"/>
  </r>
  <r>
    <n v="11656"/>
    <n v="43"/>
    <x v="0"/>
    <x v="1"/>
    <x v="563"/>
    <d v="2025-09-22T00:00:00"/>
    <x v="3"/>
    <x v="0"/>
    <s v="Inactive"/>
    <n v="9600"/>
    <x v="1"/>
    <s v="High Risk"/>
    <s v="Dec-2024"/>
  </r>
  <r>
    <n v="11657"/>
    <n v="38"/>
    <x v="0"/>
    <x v="0"/>
    <x v="581"/>
    <d v="2025-12-27T00:00:00"/>
    <x v="0"/>
    <x v="0"/>
    <s v="Active"/>
    <n v="1200"/>
    <x v="1"/>
    <s v="Safe"/>
    <s v="Feb-2025"/>
  </r>
  <r>
    <n v="11658"/>
    <n v="45"/>
    <x v="1"/>
    <x v="1"/>
    <x v="37"/>
    <d v="2025-12-17T00:00:00"/>
    <x v="3"/>
    <x v="0"/>
    <s v="Active"/>
    <n v="9600"/>
    <x v="1"/>
    <s v="Safe"/>
    <s v="Jul-2024"/>
  </r>
  <r>
    <n v="11659"/>
    <n v="43"/>
    <x v="1"/>
    <x v="0"/>
    <x v="551"/>
    <d v="2025-10-09T00:00:00"/>
    <x v="0"/>
    <x v="0"/>
    <s v="Inactive"/>
    <n v="1200"/>
    <x v="1"/>
    <s v="High Risk"/>
    <s v="Aug-2025"/>
  </r>
  <r>
    <n v="11660"/>
    <n v="31"/>
    <x v="0"/>
    <x v="0"/>
    <x v="642"/>
    <d v="2025-11-28T00:00:00"/>
    <x v="0"/>
    <x v="0"/>
    <s v="Inactive"/>
    <n v="1200"/>
    <x v="2"/>
    <s v="High Risk"/>
    <s v="Jan-2024"/>
  </r>
  <r>
    <n v="11661"/>
    <n v="19"/>
    <x v="1"/>
    <x v="2"/>
    <x v="745"/>
    <d v="2025-12-25T00:00:00"/>
    <x v="4"/>
    <x v="0"/>
    <s v="Active"/>
    <n v="3000"/>
    <x v="0"/>
    <s v="Safe"/>
    <s v="May-2024"/>
  </r>
  <r>
    <n v="11662"/>
    <n v="45"/>
    <x v="1"/>
    <x v="2"/>
    <x v="477"/>
    <d v="2026-01-08T00:00:00"/>
    <x v="4"/>
    <x v="0"/>
    <s v="Active"/>
    <n v="3000"/>
    <x v="1"/>
    <s v="Safe"/>
    <s v="Nov-2025"/>
  </r>
  <r>
    <n v="11663"/>
    <n v="39"/>
    <x v="0"/>
    <x v="0"/>
    <x v="143"/>
    <d v="2025-10-31T00:00:00"/>
    <x v="2"/>
    <x v="1"/>
    <s v="Inactive"/>
    <n v="1700"/>
    <x v="1"/>
    <s v="High Risk"/>
    <s v="Oct-2025"/>
  </r>
  <r>
    <n v="11664"/>
    <n v="28"/>
    <x v="0"/>
    <x v="0"/>
    <x v="161"/>
    <d v="2026-01-07T00:00:00"/>
    <x v="2"/>
    <x v="1"/>
    <s v="Active"/>
    <n v="1700"/>
    <x v="2"/>
    <s v="Safe"/>
    <s v="Sep-2023"/>
  </r>
  <r>
    <n v="11665"/>
    <n v="18"/>
    <x v="0"/>
    <x v="2"/>
    <x v="58"/>
    <d v="2026-01-07T00:00:00"/>
    <x v="5"/>
    <x v="1"/>
    <s v="Active"/>
    <n v="4500"/>
    <x v="0"/>
    <s v="Safe"/>
    <s v="Sep-2025"/>
  </r>
  <r>
    <n v="11666"/>
    <n v="36"/>
    <x v="1"/>
    <x v="0"/>
    <x v="564"/>
    <d v="2026-01-05T00:00:00"/>
    <x v="0"/>
    <x v="0"/>
    <s v="Active"/>
    <n v="1200"/>
    <x v="1"/>
    <s v="Safe"/>
    <s v="Jun-2024"/>
  </r>
  <r>
    <n v="11667"/>
    <n v="38"/>
    <x v="1"/>
    <x v="0"/>
    <x v="746"/>
    <d v="2025-12-22T00:00:00"/>
    <x v="0"/>
    <x v="0"/>
    <s v="Active"/>
    <n v="1200"/>
    <x v="1"/>
    <s v="Safe"/>
    <s v="Aug-2023"/>
  </r>
  <r>
    <n v="11668"/>
    <n v="21"/>
    <x v="1"/>
    <x v="1"/>
    <x v="438"/>
    <d v="2026-01-04T00:00:00"/>
    <x v="3"/>
    <x v="0"/>
    <s v="Active"/>
    <n v="9600"/>
    <x v="0"/>
    <s v="Safe"/>
    <s v="Sep-2023"/>
  </r>
  <r>
    <n v="11669"/>
    <n v="36"/>
    <x v="1"/>
    <x v="2"/>
    <x v="645"/>
    <d v="2025-12-24T00:00:00"/>
    <x v="5"/>
    <x v="1"/>
    <s v="Active"/>
    <n v="4500"/>
    <x v="1"/>
    <s v="Safe"/>
    <s v="Sep-2024"/>
  </r>
  <r>
    <n v="11670"/>
    <n v="43"/>
    <x v="0"/>
    <x v="0"/>
    <x v="625"/>
    <d v="2025-12-26T00:00:00"/>
    <x v="0"/>
    <x v="0"/>
    <s v="Active"/>
    <n v="1200"/>
    <x v="1"/>
    <s v="Safe"/>
    <s v="Apr-2025"/>
  </r>
  <r>
    <n v="11671"/>
    <n v="38"/>
    <x v="1"/>
    <x v="1"/>
    <x v="747"/>
    <d v="2026-01-10T00:00:00"/>
    <x v="3"/>
    <x v="0"/>
    <s v="Active"/>
    <n v="9600"/>
    <x v="1"/>
    <s v="Safe"/>
    <s v="Apr-2024"/>
  </r>
  <r>
    <n v="11672"/>
    <n v="28"/>
    <x v="1"/>
    <x v="1"/>
    <x v="116"/>
    <d v="2026-01-08T00:00:00"/>
    <x v="3"/>
    <x v="0"/>
    <s v="Active"/>
    <n v="9600"/>
    <x v="2"/>
    <s v="Safe"/>
    <s v="Jun-2024"/>
  </r>
  <r>
    <n v="11673"/>
    <n v="25"/>
    <x v="0"/>
    <x v="2"/>
    <x v="634"/>
    <d v="2025-12-28T00:00:00"/>
    <x v="4"/>
    <x v="0"/>
    <s v="Active"/>
    <n v="3000"/>
    <x v="2"/>
    <s v="Safe"/>
    <s v="Feb-2025"/>
  </r>
  <r>
    <n v="11674"/>
    <n v="28"/>
    <x v="0"/>
    <x v="2"/>
    <x v="748"/>
    <d v="2025-12-26T00:00:00"/>
    <x v="4"/>
    <x v="0"/>
    <s v="Active"/>
    <n v="3000"/>
    <x v="2"/>
    <s v="Safe"/>
    <s v="Sep-2024"/>
  </r>
  <r>
    <n v="11675"/>
    <n v="21"/>
    <x v="1"/>
    <x v="1"/>
    <x v="288"/>
    <d v="2026-01-07T00:00:00"/>
    <x v="3"/>
    <x v="0"/>
    <s v="Active"/>
    <n v="9600"/>
    <x v="0"/>
    <s v="Safe"/>
    <s v="Apr-2024"/>
  </r>
  <r>
    <n v="11676"/>
    <n v="34"/>
    <x v="0"/>
    <x v="1"/>
    <x v="638"/>
    <d v="2025-12-22T00:00:00"/>
    <x v="3"/>
    <x v="0"/>
    <s v="Active"/>
    <n v="9600"/>
    <x v="2"/>
    <s v="Safe"/>
    <s v="Nov-2024"/>
  </r>
  <r>
    <n v="11677"/>
    <n v="44"/>
    <x v="1"/>
    <x v="1"/>
    <x v="297"/>
    <d v="2026-01-05T00:00:00"/>
    <x v="3"/>
    <x v="0"/>
    <s v="Active"/>
    <n v="9600"/>
    <x v="1"/>
    <s v="Safe"/>
    <s v="Jul-2025"/>
  </r>
  <r>
    <n v="11678"/>
    <n v="24"/>
    <x v="0"/>
    <x v="0"/>
    <x v="430"/>
    <d v="2025-12-31T00:00:00"/>
    <x v="2"/>
    <x v="1"/>
    <s v="Active"/>
    <n v="1700"/>
    <x v="0"/>
    <s v="Safe"/>
    <s v="Aug-2024"/>
  </r>
  <r>
    <n v="11679"/>
    <n v="25"/>
    <x v="0"/>
    <x v="2"/>
    <x v="746"/>
    <d v="2026-01-03T00:00:00"/>
    <x v="5"/>
    <x v="1"/>
    <s v="Active"/>
    <n v="4500"/>
    <x v="2"/>
    <s v="Safe"/>
    <s v="Aug-2023"/>
  </r>
  <r>
    <n v="11680"/>
    <n v="20"/>
    <x v="1"/>
    <x v="2"/>
    <x v="282"/>
    <d v="2026-01-03T00:00:00"/>
    <x v="4"/>
    <x v="0"/>
    <s v="Active"/>
    <n v="3000"/>
    <x v="0"/>
    <s v="Safe"/>
    <s v="Jul-2024"/>
  </r>
  <r>
    <n v="11681"/>
    <n v="39"/>
    <x v="0"/>
    <x v="0"/>
    <x v="14"/>
    <d v="2025-12-23T00:00:00"/>
    <x v="2"/>
    <x v="1"/>
    <s v="Active"/>
    <n v="1700"/>
    <x v="1"/>
    <s v="Safe"/>
    <s v="Jan-2024"/>
  </r>
  <r>
    <n v="11682"/>
    <n v="19"/>
    <x v="0"/>
    <x v="0"/>
    <x v="159"/>
    <d v="2026-01-03T00:00:00"/>
    <x v="0"/>
    <x v="0"/>
    <s v="Active"/>
    <n v="1200"/>
    <x v="0"/>
    <s v="Safe"/>
    <s v="Mar-2025"/>
  </r>
  <r>
    <n v="11683"/>
    <n v="40"/>
    <x v="0"/>
    <x v="1"/>
    <x v="214"/>
    <d v="2025-09-16T00:00:00"/>
    <x v="1"/>
    <x v="1"/>
    <s v="Inactive"/>
    <n v="15600"/>
    <x v="1"/>
    <s v="High Risk"/>
    <s v="Nov-2024"/>
  </r>
  <r>
    <n v="11684"/>
    <n v="32"/>
    <x v="1"/>
    <x v="2"/>
    <x v="176"/>
    <d v="2025-12-21T00:00:00"/>
    <x v="4"/>
    <x v="0"/>
    <s v="Active"/>
    <n v="3000"/>
    <x v="2"/>
    <s v="Safe"/>
    <s v="Apr-2025"/>
  </r>
  <r>
    <n v="11685"/>
    <n v="41"/>
    <x v="0"/>
    <x v="0"/>
    <x v="38"/>
    <d v="2025-09-14T00:00:00"/>
    <x v="0"/>
    <x v="0"/>
    <s v="Inactive"/>
    <n v="1200"/>
    <x v="1"/>
    <s v="High Risk"/>
    <s v="Sep-2024"/>
  </r>
  <r>
    <n v="11686"/>
    <n v="39"/>
    <x v="1"/>
    <x v="2"/>
    <x v="5"/>
    <d v="2025-12-22T00:00:00"/>
    <x v="5"/>
    <x v="1"/>
    <s v="Active"/>
    <n v="4500"/>
    <x v="1"/>
    <s v="Safe"/>
    <s v="Sep-2024"/>
  </r>
  <r>
    <n v="11687"/>
    <n v="39"/>
    <x v="0"/>
    <x v="0"/>
    <x v="651"/>
    <d v="2025-12-26T00:00:00"/>
    <x v="0"/>
    <x v="0"/>
    <s v="Active"/>
    <n v="1200"/>
    <x v="1"/>
    <s v="Safe"/>
    <s v="Jul-2025"/>
  </r>
  <r>
    <n v="11688"/>
    <n v="22"/>
    <x v="1"/>
    <x v="0"/>
    <x v="735"/>
    <d v="2025-12-28T00:00:00"/>
    <x v="0"/>
    <x v="0"/>
    <s v="Active"/>
    <n v="1200"/>
    <x v="0"/>
    <s v="Safe"/>
    <s v="Mar-2024"/>
  </r>
  <r>
    <n v="11689"/>
    <n v="41"/>
    <x v="1"/>
    <x v="1"/>
    <x v="380"/>
    <d v="2025-12-28T00:00:00"/>
    <x v="3"/>
    <x v="0"/>
    <s v="Active"/>
    <n v="9600"/>
    <x v="1"/>
    <s v="Safe"/>
    <s v="Oct-2023"/>
  </r>
  <r>
    <n v="11690"/>
    <n v="18"/>
    <x v="0"/>
    <x v="0"/>
    <x v="100"/>
    <d v="2025-12-25T00:00:00"/>
    <x v="2"/>
    <x v="1"/>
    <s v="Active"/>
    <n v="1700"/>
    <x v="0"/>
    <s v="Safe"/>
    <s v="Aug-2024"/>
  </r>
  <r>
    <n v="11691"/>
    <n v="43"/>
    <x v="0"/>
    <x v="0"/>
    <x v="157"/>
    <d v="2025-10-15T00:00:00"/>
    <x v="0"/>
    <x v="0"/>
    <s v="Inactive"/>
    <n v="1200"/>
    <x v="1"/>
    <s v="High Risk"/>
    <s v="Nov-2024"/>
  </r>
  <r>
    <n v="11692"/>
    <n v="21"/>
    <x v="0"/>
    <x v="1"/>
    <x v="1"/>
    <d v="2025-09-13T00:00:00"/>
    <x v="1"/>
    <x v="1"/>
    <s v="Inactive"/>
    <n v="15600"/>
    <x v="0"/>
    <s v="High Risk"/>
    <s v="Jul-2025"/>
  </r>
  <r>
    <n v="11693"/>
    <n v="32"/>
    <x v="0"/>
    <x v="0"/>
    <x v="595"/>
    <d v="2025-12-25T00:00:00"/>
    <x v="0"/>
    <x v="0"/>
    <s v="Active"/>
    <n v="1200"/>
    <x v="2"/>
    <s v="Safe"/>
    <s v="Oct-2023"/>
  </r>
  <r>
    <n v="11694"/>
    <n v="37"/>
    <x v="0"/>
    <x v="0"/>
    <x v="656"/>
    <d v="2025-12-17T00:00:00"/>
    <x v="0"/>
    <x v="0"/>
    <s v="Active"/>
    <n v="1200"/>
    <x v="1"/>
    <s v="Safe"/>
    <s v="Oct-2024"/>
  </r>
  <r>
    <n v="11695"/>
    <n v="36"/>
    <x v="0"/>
    <x v="1"/>
    <x v="53"/>
    <d v="2026-01-08T00:00:00"/>
    <x v="3"/>
    <x v="0"/>
    <s v="Active"/>
    <n v="9600"/>
    <x v="1"/>
    <s v="Safe"/>
    <s v="Mar-2025"/>
  </r>
  <r>
    <n v="11696"/>
    <n v="20"/>
    <x v="0"/>
    <x v="2"/>
    <x v="726"/>
    <d v="2025-12-21T00:00:00"/>
    <x v="4"/>
    <x v="0"/>
    <s v="Active"/>
    <n v="3000"/>
    <x v="0"/>
    <s v="Safe"/>
    <s v="Sep-2025"/>
  </r>
  <r>
    <n v="11697"/>
    <n v="37"/>
    <x v="0"/>
    <x v="2"/>
    <x v="10"/>
    <d v="2025-12-22T00:00:00"/>
    <x v="4"/>
    <x v="0"/>
    <s v="Active"/>
    <n v="3000"/>
    <x v="1"/>
    <s v="Safe"/>
    <s v="Oct-2023"/>
  </r>
  <r>
    <n v="11698"/>
    <n v="28"/>
    <x v="0"/>
    <x v="1"/>
    <x v="546"/>
    <d v="2026-01-05T00:00:00"/>
    <x v="1"/>
    <x v="1"/>
    <s v="Active"/>
    <n v="15600"/>
    <x v="2"/>
    <s v="Safe"/>
    <s v="Aug-2023"/>
  </r>
  <r>
    <n v="11699"/>
    <n v="34"/>
    <x v="0"/>
    <x v="0"/>
    <x v="255"/>
    <d v="2026-01-09T00:00:00"/>
    <x v="0"/>
    <x v="0"/>
    <s v="Active"/>
    <n v="1200"/>
    <x v="2"/>
    <s v="Safe"/>
    <s v="Oct-2023"/>
  </r>
  <r>
    <n v="11700"/>
    <n v="44"/>
    <x v="1"/>
    <x v="2"/>
    <x v="442"/>
    <d v="2025-12-22T00:00:00"/>
    <x v="5"/>
    <x v="1"/>
    <s v="Active"/>
    <n v="4500"/>
    <x v="1"/>
    <s v="Safe"/>
    <s v="Oct-2023"/>
  </r>
  <r>
    <n v="11701"/>
    <n v="30"/>
    <x v="0"/>
    <x v="2"/>
    <x v="34"/>
    <d v="2025-12-22T00:00:00"/>
    <x v="4"/>
    <x v="0"/>
    <s v="Active"/>
    <n v="3000"/>
    <x v="2"/>
    <s v="Safe"/>
    <s v="Jan-2024"/>
  </r>
  <r>
    <n v="11702"/>
    <n v="28"/>
    <x v="0"/>
    <x v="1"/>
    <x v="130"/>
    <d v="2026-01-02T00:00:00"/>
    <x v="3"/>
    <x v="0"/>
    <s v="Active"/>
    <n v="9600"/>
    <x v="2"/>
    <s v="Safe"/>
    <s v="Dec-2023"/>
  </r>
  <r>
    <n v="11703"/>
    <n v="19"/>
    <x v="0"/>
    <x v="2"/>
    <x v="355"/>
    <d v="2025-12-21T00:00:00"/>
    <x v="4"/>
    <x v="0"/>
    <s v="Active"/>
    <n v="3000"/>
    <x v="0"/>
    <s v="Safe"/>
    <s v="May-2024"/>
  </r>
  <r>
    <n v="11704"/>
    <n v="26"/>
    <x v="1"/>
    <x v="2"/>
    <x v="749"/>
    <d v="2025-12-26T00:00:00"/>
    <x v="4"/>
    <x v="0"/>
    <s v="Active"/>
    <n v="3000"/>
    <x v="2"/>
    <s v="Safe"/>
    <s v="Sep-2023"/>
  </r>
  <r>
    <n v="11705"/>
    <n v="43"/>
    <x v="1"/>
    <x v="2"/>
    <x v="750"/>
    <d v="2025-10-08T00:00:00"/>
    <x v="4"/>
    <x v="0"/>
    <s v="Inactive"/>
    <n v="3000"/>
    <x v="1"/>
    <s v="High Risk"/>
    <s v="Nov-2024"/>
  </r>
  <r>
    <n v="11706"/>
    <n v="19"/>
    <x v="1"/>
    <x v="2"/>
    <x v="211"/>
    <d v="2026-01-04T00:00:00"/>
    <x v="4"/>
    <x v="0"/>
    <s v="Active"/>
    <n v="3000"/>
    <x v="0"/>
    <s v="Safe"/>
    <s v="Jul-2025"/>
  </r>
  <r>
    <n v="11707"/>
    <n v="38"/>
    <x v="1"/>
    <x v="1"/>
    <x v="402"/>
    <d v="2026-01-08T00:00:00"/>
    <x v="3"/>
    <x v="0"/>
    <s v="Active"/>
    <n v="9600"/>
    <x v="1"/>
    <s v="Safe"/>
    <s v="Aug-2025"/>
  </r>
  <r>
    <n v="11708"/>
    <n v="26"/>
    <x v="0"/>
    <x v="2"/>
    <x v="575"/>
    <d v="2025-12-29T00:00:00"/>
    <x v="5"/>
    <x v="1"/>
    <s v="Active"/>
    <n v="4500"/>
    <x v="2"/>
    <s v="Safe"/>
    <s v="Oct-2024"/>
  </r>
  <r>
    <n v="11709"/>
    <n v="26"/>
    <x v="1"/>
    <x v="2"/>
    <x v="466"/>
    <d v="2026-01-03T00:00:00"/>
    <x v="4"/>
    <x v="0"/>
    <s v="Active"/>
    <n v="3000"/>
    <x v="2"/>
    <s v="Safe"/>
    <s v="Nov-2024"/>
  </r>
  <r>
    <n v="11710"/>
    <n v="25"/>
    <x v="1"/>
    <x v="2"/>
    <x v="470"/>
    <d v="2025-12-27T00:00:00"/>
    <x v="4"/>
    <x v="0"/>
    <s v="Active"/>
    <n v="3000"/>
    <x v="2"/>
    <s v="Safe"/>
    <s v="Aug-2025"/>
  </r>
  <r>
    <n v="11711"/>
    <n v="34"/>
    <x v="0"/>
    <x v="2"/>
    <x v="8"/>
    <d v="2026-01-05T00:00:00"/>
    <x v="4"/>
    <x v="0"/>
    <s v="Active"/>
    <n v="3000"/>
    <x v="2"/>
    <s v="Safe"/>
    <s v="Oct-2025"/>
  </r>
  <r>
    <n v="11712"/>
    <n v="18"/>
    <x v="1"/>
    <x v="2"/>
    <x v="525"/>
    <d v="2026-01-10T00:00:00"/>
    <x v="4"/>
    <x v="0"/>
    <s v="Active"/>
    <n v="3000"/>
    <x v="0"/>
    <s v="Safe"/>
    <s v="Feb-2024"/>
  </r>
  <r>
    <n v="11713"/>
    <n v="42"/>
    <x v="0"/>
    <x v="1"/>
    <x v="651"/>
    <d v="2026-01-09T00:00:00"/>
    <x v="3"/>
    <x v="0"/>
    <s v="Active"/>
    <n v="9600"/>
    <x v="1"/>
    <s v="Safe"/>
    <s v="Jul-2025"/>
  </r>
  <r>
    <n v="11714"/>
    <n v="28"/>
    <x v="0"/>
    <x v="2"/>
    <x v="342"/>
    <d v="2025-10-31T00:00:00"/>
    <x v="5"/>
    <x v="1"/>
    <s v="Inactive"/>
    <n v="4500"/>
    <x v="2"/>
    <s v="High Risk"/>
    <s v="Aug-2024"/>
  </r>
  <r>
    <n v="11715"/>
    <n v="25"/>
    <x v="0"/>
    <x v="1"/>
    <x v="228"/>
    <d v="2025-12-30T00:00:00"/>
    <x v="3"/>
    <x v="0"/>
    <s v="Active"/>
    <n v="9600"/>
    <x v="2"/>
    <s v="Safe"/>
    <s v="Aug-2025"/>
  </r>
  <r>
    <n v="11716"/>
    <n v="27"/>
    <x v="0"/>
    <x v="1"/>
    <x v="153"/>
    <d v="2025-12-22T00:00:00"/>
    <x v="3"/>
    <x v="0"/>
    <s v="Active"/>
    <n v="9600"/>
    <x v="2"/>
    <s v="Safe"/>
    <s v="Jan-2024"/>
  </r>
  <r>
    <n v="11717"/>
    <n v="42"/>
    <x v="1"/>
    <x v="2"/>
    <x v="440"/>
    <d v="2025-10-18T00:00:00"/>
    <x v="5"/>
    <x v="1"/>
    <s v="Inactive"/>
    <n v="4500"/>
    <x v="1"/>
    <s v="High Risk"/>
    <s v="Nov-2024"/>
  </r>
  <r>
    <n v="11718"/>
    <n v="24"/>
    <x v="0"/>
    <x v="2"/>
    <x v="139"/>
    <d v="2026-01-06T00:00:00"/>
    <x v="5"/>
    <x v="1"/>
    <s v="Active"/>
    <n v="4500"/>
    <x v="0"/>
    <s v="Safe"/>
    <s v="May-2025"/>
  </r>
  <r>
    <n v="11719"/>
    <n v="20"/>
    <x v="0"/>
    <x v="1"/>
    <x v="84"/>
    <d v="2025-09-21T00:00:00"/>
    <x v="3"/>
    <x v="0"/>
    <s v="Inactive"/>
    <n v="9600"/>
    <x v="0"/>
    <s v="High Risk"/>
    <s v="Oct-2023"/>
  </r>
  <r>
    <n v="11720"/>
    <n v="20"/>
    <x v="0"/>
    <x v="2"/>
    <x v="238"/>
    <d v="2025-09-17T00:00:00"/>
    <x v="5"/>
    <x v="1"/>
    <s v="Inactive"/>
    <n v="4500"/>
    <x v="0"/>
    <s v="High Risk"/>
    <s v="Mar-2024"/>
  </r>
  <r>
    <n v="11721"/>
    <n v="35"/>
    <x v="1"/>
    <x v="1"/>
    <x v="170"/>
    <d v="2026-01-01T00:00:00"/>
    <x v="1"/>
    <x v="1"/>
    <s v="Active"/>
    <n v="15600"/>
    <x v="1"/>
    <s v="Safe"/>
    <s v="Apr-2025"/>
  </r>
  <r>
    <n v="11722"/>
    <n v="22"/>
    <x v="0"/>
    <x v="2"/>
    <x v="653"/>
    <d v="2025-12-26T00:00:00"/>
    <x v="5"/>
    <x v="1"/>
    <s v="Active"/>
    <n v="4500"/>
    <x v="0"/>
    <s v="Safe"/>
    <s v="Nov-2025"/>
  </r>
  <r>
    <n v="11723"/>
    <n v="29"/>
    <x v="0"/>
    <x v="2"/>
    <x v="612"/>
    <d v="2026-01-08T00:00:00"/>
    <x v="5"/>
    <x v="1"/>
    <s v="Active"/>
    <n v="4500"/>
    <x v="2"/>
    <s v="Safe"/>
    <s v="Jun-2025"/>
  </r>
  <r>
    <n v="11724"/>
    <n v="29"/>
    <x v="1"/>
    <x v="0"/>
    <x v="196"/>
    <d v="2025-12-30T00:00:00"/>
    <x v="0"/>
    <x v="0"/>
    <s v="Active"/>
    <n v="1200"/>
    <x v="2"/>
    <s v="Safe"/>
    <s v="Aug-2024"/>
  </r>
  <r>
    <n v="11725"/>
    <n v="36"/>
    <x v="1"/>
    <x v="0"/>
    <x v="181"/>
    <d v="2025-12-30T00:00:00"/>
    <x v="0"/>
    <x v="0"/>
    <s v="Active"/>
    <n v="1200"/>
    <x v="1"/>
    <s v="Safe"/>
    <s v="Jun-2024"/>
  </r>
  <r>
    <n v="11726"/>
    <n v="23"/>
    <x v="0"/>
    <x v="1"/>
    <x v="344"/>
    <d v="2025-12-26T00:00:00"/>
    <x v="1"/>
    <x v="1"/>
    <s v="Active"/>
    <n v="15600"/>
    <x v="0"/>
    <s v="Safe"/>
    <s v="Nov-2024"/>
  </r>
  <r>
    <n v="11727"/>
    <n v="19"/>
    <x v="1"/>
    <x v="2"/>
    <x v="86"/>
    <d v="2025-12-30T00:00:00"/>
    <x v="5"/>
    <x v="1"/>
    <s v="Active"/>
    <n v="4500"/>
    <x v="0"/>
    <s v="Safe"/>
    <s v="Jul-2024"/>
  </r>
  <r>
    <n v="11728"/>
    <n v="29"/>
    <x v="1"/>
    <x v="2"/>
    <x v="661"/>
    <d v="2026-01-04T00:00:00"/>
    <x v="5"/>
    <x v="1"/>
    <s v="Active"/>
    <n v="4500"/>
    <x v="2"/>
    <s v="Safe"/>
    <s v="Jan-2025"/>
  </r>
  <r>
    <n v="11729"/>
    <n v="36"/>
    <x v="1"/>
    <x v="1"/>
    <x v="715"/>
    <d v="2025-11-13T00:00:00"/>
    <x v="3"/>
    <x v="0"/>
    <s v="Inactive"/>
    <n v="9600"/>
    <x v="1"/>
    <s v="High Risk"/>
    <s v="May-2025"/>
  </r>
  <r>
    <n v="11730"/>
    <n v="22"/>
    <x v="0"/>
    <x v="2"/>
    <x v="614"/>
    <d v="2026-01-06T00:00:00"/>
    <x v="5"/>
    <x v="1"/>
    <s v="Active"/>
    <n v="4500"/>
    <x v="0"/>
    <s v="Safe"/>
    <s v="Sep-2023"/>
  </r>
  <r>
    <n v="11731"/>
    <n v="29"/>
    <x v="0"/>
    <x v="2"/>
    <x v="514"/>
    <d v="2025-12-10T00:00:00"/>
    <x v="4"/>
    <x v="0"/>
    <s v="Inactive"/>
    <n v="3000"/>
    <x v="2"/>
    <s v="High Risk"/>
    <s v="Dec-2023"/>
  </r>
  <r>
    <n v="11732"/>
    <n v="44"/>
    <x v="0"/>
    <x v="1"/>
    <x v="751"/>
    <d v="2025-09-17T00:00:00"/>
    <x v="3"/>
    <x v="0"/>
    <s v="Inactive"/>
    <n v="9600"/>
    <x v="1"/>
    <s v="High Risk"/>
    <s v="Feb-2024"/>
  </r>
  <r>
    <n v="11733"/>
    <n v="44"/>
    <x v="0"/>
    <x v="2"/>
    <x v="470"/>
    <d v="2025-12-17T00:00:00"/>
    <x v="5"/>
    <x v="1"/>
    <s v="Active"/>
    <n v="4500"/>
    <x v="1"/>
    <s v="Safe"/>
    <s v="Aug-2025"/>
  </r>
  <r>
    <n v="11734"/>
    <n v="34"/>
    <x v="0"/>
    <x v="0"/>
    <x v="448"/>
    <d v="2025-12-18T00:00:00"/>
    <x v="2"/>
    <x v="1"/>
    <s v="Active"/>
    <n v="1700"/>
    <x v="2"/>
    <s v="Safe"/>
    <s v="Jan-2024"/>
  </r>
  <r>
    <n v="11735"/>
    <n v="34"/>
    <x v="0"/>
    <x v="2"/>
    <x v="750"/>
    <d v="2025-12-30T00:00:00"/>
    <x v="5"/>
    <x v="1"/>
    <s v="Active"/>
    <n v="4500"/>
    <x v="2"/>
    <s v="Safe"/>
    <s v="Nov-2024"/>
  </r>
  <r>
    <n v="11736"/>
    <n v="27"/>
    <x v="0"/>
    <x v="2"/>
    <x v="414"/>
    <d v="2026-01-02T00:00:00"/>
    <x v="4"/>
    <x v="0"/>
    <s v="Active"/>
    <n v="3000"/>
    <x v="2"/>
    <s v="Safe"/>
    <s v="Jul-2024"/>
  </r>
  <r>
    <n v="11737"/>
    <n v="42"/>
    <x v="0"/>
    <x v="0"/>
    <x v="442"/>
    <d v="2026-01-07T00:00:00"/>
    <x v="0"/>
    <x v="0"/>
    <s v="Active"/>
    <n v="1200"/>
    <x v="1"/>
    <s v="Safe"/>
    <s v="Oct-2023"/>
  </r>
  <r>
    <n v="11738"/>
    <n v="40"/>
    <x v="0"/>
    <x v="2"/>
    <x v="82"/>
    <d v="2026-01-08T00:00:00"/>
    <x v="5"/>
    <x v="1"/>
    <s v="Active"/>
    <n v="4500"/>
    <x v="1"/>
    <s v="Safe"/>
    <s v="May-2024"/>
  </r>
  <r>
    <n v="11739"/>
    <n v="34"/>
    <x v="1"/>
    <x v="0"/>
    <x v="737"/>
    <d v="2026-01-07T00:00:00"/>
    <x v="0"/>
    <x v="0"/>
    <s v="Active"/>
    <n v="1200"/>
    <x v="2"/>
    <s v="Safe"/>
    <s v="Feb-2024"/>
  </r>
  <r>
    <n v="11740"/>
    <n v="32"/>
    <x v="0"/>
    <x v="0"/>
    <x v="752"/>
    <d v="2026-01-09T00:00:00"/>
    <x v="2"/>
    <x v="1"/>
    <s v="Active"/>
    <n v="1700"/>
    <x v="2"/>
    <s v="Safe"/>
    <s v="Aug-2024"/>
  </r>
  <r>
    <n v="11741"/>
    <n v="29"/>
    <x v="0"/>
    <x v="0"/>
    <x v="323"/>
    <d v="2026-01-01T00:00:00"/>
    <x v="0"/>
    <x v="0"/>
    <s v="Active"/>
    <n v="1200"/>
    <x v="2"/>
    <s v="Safe"/>
    <s v="Apr-2024"/>
  </r>
  <r>
    <n v="11742"/>
    <n v="33"/>
    <x v="1"/>
    <x v="0"/>
    <x v="753"/>
    <d v="2025-12-25T00:00:00"/>
    <x v="0"/>
    <x v="0"/>
    <s v="Active"/>
    <n v="1200"/>
    <x v="2"/>
    <s v="Safe"/>
    <s v="Mar-2024"/>
  </r>
  <r>
    <n v="11743"/>
    <n v="41"/>
    <x v="0"/>
    <x v="2"/>
    <x v="673"/>
    <d v="2026-01-04T00:00:00"/>
    <x v="4"/>
    <x v="0"/>
    <s v="Active"/>
    <n v="3000"/>
    <x v="1"/>
    <s v="Safe"/>
    <s v="Jan-2025"/>
  </r>
  <r>
    <n v="11744"/>
    <n v="36"/>
    <x v="1"/>
    <x v="1"/>
    <x v="124"/>
    <d v="2026-01-10T00:00:00"/>
    <x v="3"/>
    <x v="0"/>
    <s v="Active"/>
    <n v="9600"/>
    <x v="1"/>
    <s v="Safe"/>
    <s v="Jan-2025"/>
  </r>
  <r>
    <n v="11745"/>
    <n v="25"/>
    <x v="1"/>
    <x v="2"/>
    <x v="333"/>
    <d v="2025-10-13T00:00:00"/>
    <x v="4"/>
    <x v="0"/>
    <s v="Inactive"/>
    <n v="3000"/>
    <x v="2"/>
    <s v="High Risk"/>
    <s v="Oct-2025"/>
  </r>
  <r>
    <n v="11746"/>
    <n v="38"/>
    <x v="0"/>
    <x v="0"/>
    <x v="663"/>
    <d v="2026-01-03T00:00:00"/>
    <x v="0"/>
    <x v="0"/>
    <s v="Active"/>
    <n v="1200"/>
    <x v="1"/>
    <s v="Safe"/>
    <s v="Jun-2025"/>
  </r>
  <r>
    <n v="11747"/>
    <n v="34"/>
    <x v="1"/>
    <x v="0"/>
    <x v="754"/>
    <d v="2025-12-19T00:00:00"/>
    <x v="0"/>
    <x v="0"/>
    <s v="Active"/>
    <n v="1200"/>
    <x v="2"/>
    <s v="Safe"/>
    <s v="Mar-2025"/>
  </r>
  <r>
    <n v="11748"/>
    <n v="40"/>
    <x v="0"/>
    <x v="0"/>
    <x v="224"/>
    <d v="2025-12-30T00:00:00"/>
    <x v="0"/>
    <x v="0"/>
    <s v="Active"/>
    <n v="1200"/>
    <x v="1"/>
    <s v="Safe"/>
    <s v="Aug-2024"/>
  </r>
  <r>
    <n v="11749"/>
    <n v="22"/>
    <x v="0"/>
    <x v="2"/>
    <x v="755"/>
    <d v="2025-11-03T00:00:00"/>
    <x v="5"/>
    <x v="1"/>
    <s v="Inactive"/>
    <n v="4500"/>
    <x v="0"/>
    <s v="High Risk"/>
    <s v="Nov-2023"/>
  </r>
  <r>
    <n v="11750"/>
    <n v="39"/>
    <x v="0"/>
    <x v="0"/>
    <x v="106"/>
    <d v="2025-10-01T00:00:00"/>
    <x v="2"/>
    <x v="1"/>
    <s v="Inactive"/>
    <n v="1700"/>
    <x v="1"/>
    <s v="High Risk"/>
    <s v="Sep-2023"/>
  </r>
  <r>
    <n v="11751"/>
    <n v="33"/>
    <x v="0"/>
    <x v="2"/>
    <x v="529"/>
    <d v="2025-10-20T00:00:00"/>
    <x v="4"/>
    <x v="0"/>
    <s v="Inactive"/>
    <n v="3000"/>
    <x v="2"/>
    <s v="High Risk"/>
    <s v="Feb-2024"/>
  </r>
  <r>
    <n v="11752"/>
    <n v="23"/>
    <x v="1"/>
    <x v="0"/>
    <x v="437"/>
    <d v="2025-12-25T00:00:00"/>
    <x v="0"/>
    <x v="0"/>
    <s v="Active"/>
    <n v="1200"/>
    <x v="0"/>
    <s v="Safe"/>
    <s v="Jul-2025"/>
  </r>
  <r>
    <n v="11753"/>
    <n v="25"/>
    <x v="0"/>
    <x v="1"/>
    <x v="305"/>
    <d v="2025-11-20T00:00:00"/>
    <x v="3"/>
    <x v="0"/>
    <s v="Inactive"/>
    <n v="9600"/>
    <x v="2"/>
    <s v="High Risk"/>
    <s v="Oct-2025"/>
  </r>
  <r>
    <n v="11754"/>
    <n v="42"/>
    <x v="0"/>
    <x v="0"/>
    <x v="510"/>
    <d v="2025-11-04T00:00:00"/>
    <x v="0"/>
    <x v="0"/>
    <s v="Inactive"/>
    <n v="1200"/>
    <x v="1"/>
    <s v="High Risk"/>
    <s v="Feb-2025"/>
  </r>
  <r>
    <n v="11755"/>
    <n v="35"/>
    <x v="0"/>
    <x v="0"/>
    <x v="306"/>
    <d v="2025-12-22T00:00:00"/>
    <x v="0"/>
    <x v="0"/>
    <s v="Active"/>
    <n v="1200"/>
    <x v="1"/>
    <s v="Safe"/>
    <s v="Oct-2024"/>
  </r>
  <r>
    <n v="11756"/>
    <n v="42"/>
    <x v="0"/>
    <x v="1"/>
    <x v="210"/>
    <d v="2025-12-20T00:00:00"/>
    <x v="3"/>
    <x v="0"/>
    <s v="Active"/>
    <n v="9600"/>
    <x v="1"/>
    <s v="Safe"/>
    <s v="Apr-2024"/>
  </r>
  <r>
    <n v="11757"/>
    <n v="29"/>
    <x v="0"/>
    <x v="0"/>
    <x v="577"/>
    <d v="2025-12-27T00:00:00"/>
    <x v="0"/>
    <x v="0"/>
    <s v="Active"/>
    <n v="1200"/>
    <x v="2"/>
    <s v="Safe"/>
    <s v="Jul-2025"/>
  </r>
  <r>
    <n v="11758"/>
    <n v="32"/>
    <x v="0"/>
    <x v="0"/>
    <x v="9"/>
    <d v="2025-10-14T00:00:00"/>
    <x v="0"/>
    <x v="0"/>
    <s v="Inactive"/>
    <n v="1200"/>
    <x v="2"/>
    <s v="High Risk"/>
    <s v="Feb-2025"/>
  </r>
  <r>
    <n v="11759"/>
    <n v="44"/>
    <x v="1"/>
    <x v="2"/>
    <x v="756"/>
    <d v="2025-11-18T00:00:00"/>
    <x v="4"/>
    <x v="0"/>
    <s v="Inactive"/>
    <n v="3000"/>
    <x v="1"/>
    <s v="High Risk"/>
    <s v="Jun-2025"/>
  </r>
  <r>
    <n v="11760"/>
    <n v="43"/>
    <x v="0"/>
    <x v="2"/>
    <x v="757"/>
    <d v="2026-01-04T00:00:00"/>
    <x v="5"/>
    <x v="1"/>
    <s v="Active"/>
    <n v="4500"/>
    <x v="1"/>
    <s v="Safe"/>
    <s v="Jan-2024"/>
  </r>
  <r>
    <n v="11761"/>
    <n v="26"/>
    <x v="0"/>
    <x v="2"/>
    <x v="287"/>
    <d v="2026-01-08T00:00:00"/>
    <x v="4"/>
    <x v="0"/>
    <s v="Active"/>
    <n v="3000"/>
    <x v="2"/>
    <s v="Safe"/>
    <s v="Dec-2023"/>
  </r>
  <r>
    <n v="11762"/>
    <n v="30"/>
    <x v="0"/>
    <x v="0"/>
    <x v="758"/>
    <d v="2025-09-22T00:00:00"/>
    <x v="0"/>
    <x v="0"/>
    <s v="Inactive"/>
    <n v="1200"/>
    <x v="2"/>
    <s v="High Risk"/>
    <s v="Oct-2025"/>
  </r>
  <r>
    <n v="11763"/>
    <n v="43"/>
    <x v="0"/>
    <x v="0"/>
    <x v="529"/>
    <d v="2025-12-26T00:00:00"/>
    <x v="0"/>
    <x v="0"/>
    <s v="Active"/>
    <n v="1200"/>
    <x v="1"/>
    <s v="Safe"/>
    <s v="Feb-2024"/>
  </r>
  <r>
    <n v="11764"/>
    <n v="32"/>
    <x v="1"/>
    <x v="0"/>
    <x v="88"/>
    <d v="2025-12-28T00:00:00"/>
    <x v="2"/>
    <x v="1"/>
    <s v="Active"/>
    <n v="1700"/>
    <x v="2"/>
    <s v="Safe"/>
    <s v="Apr-2025"/>
  </r>
  <r>
    <n v="11765"/>
    <n v="27"/>
    <x v="0"/>
    <x v="0"/>
    <x v="292"/>
    <d v="2025-12-22T00:00:00"/>
    <x v="2"/>
    <x v="1"/>
    <s v="Active"/>
    <n v="1700"/>
    <x v="2"/>
    <s v="Safe"/>
    <s v="Sep-2024"/>
  </r>
  <r>
    <n v="11766"/>
    <n v="33"/>
    <x v="0"/>
    <x v="1"/>
    <x v="181"/>
    <d v="2025-09-18T00:00:00"/>
    <x v="3"/>
    <x v="0"/>
    <s v="Inactive"/>
    <n v="9600"/>
    <x v="2"/>
    <s v="High Risk"/>
    <s v="Jun-2024"/>
  </r>
  <r>
    <n v="11767"/>
    <n v="24"/>
    <x v="0"/>
    <x v="2"/>
    <x v="682"/>
    <d v="2025-12-25T00:00:00"/>
    <x v="4"/>
    <x v="0"/>
    <s v="Active"/>
    <n v="3000"/>
    <x v="0"/>
    <s v="Safe"/>
    <s v="Mar-2025"/>
  </r>
  <r>
    <n v="11768"/>
    <n v="34"/>
    <x v="1"/>
    <x v="0"/>
    <x v="421"/>
    <d v="2025-12-17T00:00:00"/>
    <x v="0"/>
    <x v="0"/>
    <s v="Active"/>
    <n v="1200"/>
    <x v="2"/>
    <s v="Safe"/>
    <s v="Sep-2023"/>
  </r>
  <r>
    <n v="11769"/>
    <n v="40"/>
    <x v="0"/>
    <x v="2"/>
    <x v="503"/>
    <d v="2026-01-01T00:00:00"/>
    <x v="4"/>
    <x v="0"/>
    <s v="Active"/>
    <n v="3000"/>
    <x v="1"/>
    <s v="Safe"/>
    <s v="Mar-2024"/>
  </r>
  <r>
    <n v="11770"/>
    <n v="43"/>
    <x v="0"/>
    <x v="0"/>
    <x v="757"/>
    <d v="2026-01-06T00:00:00"/>
    <x v="0"/>
    <x v="0"/>
    <s v="Active"/>
    <n v="1200"/>
    <x v="1"/>
    <s v="Safe"/>
    <s v="Jan-2024"/>
  </r>
  <r>
    <n v="11771"/>
    <n v="38"/>
    <x v="1"/>
    <x v="1"/>
    <x v="402"/>
    <d v="2025-12-18T00:00:00"/>
    <x v="3"/>
    <x v="0"/>
    <s v="Active"/>
    <n v="9600"/>
    <x v="1"/>
    <s v="Safe"/>
    <s v="Aug-2025"/>
  </r>
  <r>
    <n v="11772"/>
    <n v="39"/>
    <x v="0"/>
    <x v="0"/>
    <x v="175"/>
    <d v="2025-12-21T00:00:00"/>
    <x v="2"/>
    <x v="1"/>
    <s v="Active"/>
    <n v="1700"/>
    <x v="1"/>
    <s v="Safe"/>
    <s v="Sep-2024"/>
  </r>
  <r>
    <n v="11773"/>
    <n v="43"/>
    <x v="1"/>
    <x v="0"/>
    <x v="751"/>
    <d v="2025-12-31T00:00:00"/>
    <x v="0"/>
    <x v="0"/>
    <s v="Active"/>
    <n v="1200"/>
    <x v="1"/>
    <s v="Safe"/>
    <s v="Feb-2024"/>
  </r>
  <r>
    <n v="11774"/>
    <n v="24"/>
    <x v="1"/>
    <x v="2"/>
    <x v="198"/>
    <d v="2025-12-27T00:00:00"/>
    <x v="4"/>
    <x v="0"/>
    <s v="Active"/>
    <n v="3000"/>
    <x v="0"/>
    <s v="Safe"/>
    <s v="Oct-2025"/>
  </r>
  <r>
    <n v="11775"/>
    <n v="31"/>
    <x v="0"/>
    <x v="2"/>
    <x v="710"/>
    <d v="2025-12-02T00:00:00"/>
    <x v="5"/>
    <x v="1"/>
    <s v="Inactive"/>
    <n v="4500"/>
    <x v="2"/>
    <s v="High Risk"/>
    <s v="Jun-2025"/>
  </r>
  <r>
    <n v="11776"/>
    <n v="32"/>
    <x v="0"/>
    <x v="2"/>
    <x v="482"/>
    <d v="2025-12-21T00:00:00"/>
    <x v="4"/>
    <x v="0"/>
    <s v="Active"/>
    <n v="3000"/>
    <x v="2"/>
    <s v="Safe"/>
    <s v="May-2025"/>
  </r>
  <r>
    <n v="11777"/>
    <n v="38"/>
    <x v="0"/>
    <x v="0"/>
    <x v="759"/>
    <d v="2025-12-20T00:00:00"/>
    <x v="0"/>
    <x v="0"/>
    <s v="Active"/>
    <n v="1200"/>
    <x v="1"/>
    <s v="Safe"/>
    <s v="Nov-2024"/>
  </r>
  <r>
    <n v="11778"/>
    <n v="24"/>
    <x v="0"/>
    <x v="0"/>
    <x v="449"/>
    <d v="2025-12-27T00:00:00"/>
    <x v="0"/>
    <x v="0"/>
    <s v="Active"/>
    <n v="1200"/>
    <x v="0"/>
    <s v="Safe"/>
    <s v="Aug-2023"/>
  </r>
  <r>
    <n v="11779"/>
    <n v="26"/>
    <x v="1"/>
    <x v="2"/>
    <x v="329"/>
    <d v="2025-12-17T00:00:00"/>
    <x v="4"/>
    <x v="0"/>
    <s v="Active"/>
    <n v="3000"/>
    <x v="2"/>
    <s v="Safe"/>
    <s v="Sep-2025"/>
  </r>
  <r>
    <n v="11780"/>
    <n v="36"/>
    <x v="0"/>
    <x v="0"/>
    <x v="339"/>
    <d v="2025-12-29T00:00:00"/>
    <x v="0"/>
    <x v="0"/>
    <s v="Active"/>
    <n v="1200"/>
    <x v="1"/>
    <s v="Safe"/>
    <s v="Jan-2024"/>
  </r>
  <r>
    <n v="11781"/>
    <n v="33"/>
    <x v="0"/>
    <x v="1"/>
    <x v="760"/>
    <d v="2026-01-10T00:00:00"/>
    <x v="1"/>
    <x v="1"/>
    <s v="Active"/>
    <n v="15600"/>
    <x v="2"/>
    <s v="Safe"/>
    <s v="Mar-2024"/>
  </r>
  <r>
    <n v="11782"/>
    <n v="25"/>
    <x v="1"/>
    <x v="0"/>
    <x v="574"/>
    <d v="2025-12-23T00:00:00"/>
    <x v="0"/>
    <x v="0"/>
    <s v="Active"/>
    <n v="1200"/>
    <x v="2"/>
    <s v="Safe"/>
    <s v="Dec-2024"/>
  </r>
  <r>
    <n v="11783"/>
    <n v="35"/>
    <x v="0"/>
    <x v="2"/>
    <x v="657"/>
    <d v="2025-10-12T00:00:00"/>
    <x v="4"/>
    <x v="0"/>
    <s v="Inactive"/>
    <n v="3000"/>
    <x v="1"/>
    <s v="High Risk"/>
    <s v="Dec-2024"/>
  </r>
  <r>
    <n v="11784"/>
    <n v="44"/>
    <x v="0"/>
    <x v="2"/>
    <x v="53"/>
    <d v="2025-12-29T00:00:00"/>
    <x v="4"/>
    <x v="0"/>
    <s v="Active"/>
    <n v="3000"/>
    <x v="1"/>
    <s v="Safe"/>
    <s v="Mar-2025"/>
  </r>
  <r>
    <n v="11785"/>
    <n v="40"/>
    <x v="0"/>
    <x v="0"/>
    <x v="26"/>
    <d v="2025-12-20T00:00:00"/>
    <x v="0"/>
    <x v="0"/>
    <s v="Active"/>
    <n v="1200"/>
    <x v="1"/>
    <s v="Safe"/>
    <s v="Mar-2025"/>
  </r>
  <r>
    <n v="11786"/>
    <n v="35"/>
    <x v="0"/>
    <x v="2"/>
    <x v="410"/>
    <d v="2025-12-17T00:00:00"/>
    <x v="5"/>
    <x v="1"/>
    <s v="Active"/>
    <n v="4500"/>
    <x v="1"/>
    <s v="Safe"/>
    <s v="Nov-2025"/>
  </r>
  <r>
    <n v="11787"/>
    <n v="37"/>
    <x v="1"/>
    <x v="1"/>
    <x v="375"/>
    <d v="2025-09-21T00:00:00"/>
    <x v="1"/>
    <x v="1"/>
    <s v="Inactive"/>
    <n v="15600"/>
    <x v="1"/>
    <s v="High Risk"/>
    <s v="Nov-2023"/>
  </r>
  <r>
    <n v="11788"/>
    <n v="24"/>
    <x v="0"/>
    <x v="0"/>
    <x v="2"/>
    <d v="2025-12-22T00:00:00"/>
    <x v="0"/>
    <x v="0"/>
    <s v="Active"/>
    <n v="1200"/>
    <x v="0"/>
    <s v="Safe"/>
    <s v="May-2025"/>
  </r>
  <r>
    <n v="11789"/>
    <n v="20"/>
    <x v="0"/>
    <x v="1"/>
    <x v="236"/>
    <d v="2025-10-11T00:00:00"/>
    <x v="1"/>
    <x v="1"/>
    <s v="Inactive"/>
    <n v="15600"/>
    <x v="0"/>
    <s v="High Risk"/>
    <s v="Oct-2024"/>
  </r>
  <r>
    <n v="11790"/>
    <n v="35"/>
    <x v="0"/>
    <x v="2"/>
    <x v="244"/>
    <d v="2025-10-22T00:00:00"/>
    <x v="4"/>
    <x v="0"/>
    <s v="Inactive"/>
    <n v="3000"/>
    <x v="1"/>
    <s v="High Risk"/>
    <s v="Oct-2024"/>
  </r>
  <r>
    <n v="11791"/>
    <n v="44"/>
    <x v="0"/>
    <x v="0"/>
    <x v="85"/>
    <d v="2025-12-25T00:00:00"/>
    <x v="0"/>
    <x v="0"/>
    <s v="Active"/>
    <n v="1200"/>
    <x v="1"/>
    <s v="Safe"/>
    <s v="Mar-2024"/>
  </r>
  <r>
    <n v="11792"/>
    <n v="27"/>
    <x v="0"/>
    <x v="0"/>
    <x v="610"/>
    <d v="2025-12-31T00:00:00"/>
    <x v="0"/>
    <x v="0"/>
    <s v="Active"/>
    <n v="1200"/>
    <x v="2"/>
    <s v="Safe"/>
    <s v="Jan-2024"/>
  </r>
  <r>
    <n v="11793"/>
    <n v="24"/>
    <x v="0"/>
    <x v="0"/>
    <x v="761"/>
    <d v="2025-11-23T00:00:00"/>
    <x v="2"/>
    <x v="1"/>
    <s v="Inactive"/>
    <n v="1700"/>
    <x v="0"/>
    <s v="High Risk"/>
    <s v="Feb-2024"/>
  </r>
  <r>
    <n v="11794"/>
    <n v="34"/>
    <x v="0"/>
    <x v="2"/>
    <x v="365"/>
    <d v="2025-09-27T00:00:00"/>
    <x v="4"/>
    <x v="0"/>
    <s v="Inactive"/>
    <n v="3000"/>
    <x v="2"/>
    <s v="High Risk"/>
    <s v="Mar-2025"/>
  </r>
  <r>
    <n v="11795"/>
    <n v="31"/>
    <x v="1"/>
    <x v="1"/>
    <x v="383"/>
    <d v="2025-12-31T00:00:00"/>
    <x v="3"/>
    <x v="0"/>
    <s v="Active"/>
    <n v="9600"/>
    <x v="2"/>
    <s v="Safe"/>
    <s v="Jul-2024"/>
  </r>
  <r>
    <n v="11796"/>
    <n v="41"/>
    <x v="0"/>
    <x v="1"/>
    <x v="432"/>
    <d v="2026-01-05T00:00:00"/>
    <x v="1"/>
    <x v="1"/>
    <s v="Active"/>
    <n v="15600"/>
    <x v="1"/>
    <s v="Safe"/>
    <s v="Nov-2023"/>
  </r>
  <r>
    <n v="11797"/>
    <n v="20"/>
    <x v="0"/>
    <x v="1"/>
    <x v="650"/>
    <d v="2026-01-02T00:00:00"/>
    <x v="1"/>
    <x v="1"/>
    <s v="Active"/>
    <n v="15600"/>
    <x v="0"/>
    <s v="Safe"/>
    <s v="Dec-2025"/>
  </r>
  <r>
    <n v="11798"/>
    <n v="29"/>
    <x v="0"/>
    <x v="1"/>
    <x v="762"/>
    <d v="2026-01-08T00:00:00"/>
    <x v="1"/>
    <x v="1"/>
    <s v="Active"/>
    <n v="15600"/>
    <x v="2"/>
    <s v="Safe"/>
    <s v="Aug-2025"/>
  </r>
  <r>
    <n v="11799"/>
    <n v="45"/>
    <x v="1"/>
    <x v="2"/>
    <x v="476"/>
    <d v="2025-12-17T00:00:00"/>
    <x v="4"/>
    <x v="0"/>
    <s v="Active"/>
    <n v="3000"/>
    <x v="1"/>
    <s v="Safe"/>
    <s v="Jul-2025"/>
  </r>
  <r>
    <n v="11800"/>
    <n v="30"/>
    <x v="1"/>
    <x v="0"/>
    <x v="65"/>
    <d v="2025-11-29T00:00:00"/>
    <x v="2"/>
    <x v="1"/>
    <s v="Inactive"/>
    <n v="1700"/>
    <x v="2"/>
    <s v="High Risk"/>
    <s v="Mar-2025"/>
  </r>
  <r>
    <n v="11801"/>
    <n v="19"/>
    <x v="0"/>
    <x v="2"/>
    <x v="264"/>
    <d v="2025-12-02T00:00:00"/>
    <x v="4"/>
    <x v="0"/>
    <s v="Inactive"/>
    <n v="3000"/>
    <x v="0"/>
    <s v="High Risk"/>
    <s v="Jul-2024"/>
  </r>
  <r>
    <n v="11802"/>
    <n v="20"/>
    <x v="1"/>
    <x v="0"/>
    <x v="694"/>
    <d v="2025-12-31T00:00:00"/>
    <x v="0"/>
    <x v="0"/>
    <s v="Active"/>
    <n v="1200"/>
    <x v="0"/>
    <s v="Safe"/>
    <s v="Jan-2025"/>
  </r>
  <r>
    <n v="11803"/>
    <n v="22"/>
    <x v="0"/>
    <x v="2"/>
    <x v="669"/>
    <d v="2025-12-24T00:00:00"/>
    <x v="4"/>
    <x v="0"/>
    <s v="Active"/>
    <n v="3000"/>
    <x v="0"/>
    <s v="Safe"/>
    <s v="Aug-2023"/>
  </r>
  <r>
    <n v="11804"/>
    <n v="28"/>
    <x v="0"/>
    <x v="0"/>
    <x v="763"/>
    <d v="2025-12-27T00:00:00"/>
    <x v="2"/>
    <x v="1"/>
    <s v="Active"/>
    <n v="1700"/>
    <x v="2"/>
    <s v="Safe"/>
    <s v="Oct-2024"/>
  </r>
  <r>
    <n v="11805"/>
    <n v="25"/>
    <x v="0"/>
    <x v="0"/>
    <x v="733"/>
    <d v="2025-12-31T00:00:00"/>
    <x v="0"/>
    <x v="0"/>
    <s v="Active"/>
    <n v="1200"/>
    <x v="2"/>
    <s v="Safe"/>
    <s v="Jul-2025"/>
  </r>
  <r>
    <n v="11806"/>
    <n v="43"/>
    <x v="0"/>
    <x v="0"/>
    <x v="764"/>
    <d v="2026-01-07T00:00:00"/>
    <x v="2"/>
    <x v="1"/>
    <s v="Active"/>
    <n v="1700"/>
    <x v="1"/>
    <s v="Safe"/>
    <s v="Nov-2024"/>
  </r>
  <r>
    <n v="11807"/>
    <n v="40"/>
    <x v="1"/>
    <x v="0"/>
    <x v="432"/>
    <d v="2026-01-09T00:00:00"/>
    <x v="0"/>
    <x v="0"/>
    <s v="Active"/>
    <n v="1200"/>
    <x v="1"/>
    <s v="Safe"/>
    <s v="Nov-2023"/>
  </r>
  <r>
    <n v="11808"/>
    <n v="40"/>
    <x v="0"/>
    <x v="2"/>
    <x v="547"/>
    <d v="2025-12-21T00:00:00"/>
    <x v="4"/>
    <x v="0"/>
    <s v="Active"/>
    <n v="3000"/>
    <x v="1"/>
    <s v="Safe"/>
    <s v="Mar-2024"/>
  </r>
  <r>
    <n v="11809"/>
    <n v="29"/>
    <x v="0"/>
    <x v="2"/>
    <x v="425"/>
    <d v="2025-12-25T00:00:00"/>
    <x v="4"/>
    <x v="0"/>
    <s v="Active"/>
    <n v="3000"/>
    <x v="2"/>
    <s v="Safe"/>
    <s v="Aug-2023"/>
  </r>
  <r>
    <n v="11810"/>
    <n v="24"/>
    <x v="1"/>
    <x v="2"/>
    <x v="662"/>
    <d v="2025-12-26T00:00:00"/>
    <x v="4"/>
    <x v="0"/>
    <s v="Active"/>
    <n v="3000"/>
    <x v="0"/>
    <s v="Safe"/>
    <s v="Mar-2024"/>
  </r>
  <r>
    <n v="11811"/>
    <n v="32"/>
    <x v="0"/>
    <x v="2"/>
    <x v="435"/>
    <d v="2026-01-05T00:00:00"/>
    <x v="5"/>
    <x v="1"/>
    <s v="Active"/>
    <n v="4500"/>
    <x v="2"/>
    <s v="Safe"/>
    <s v="Oct-2023"/>
  </r>
  <r>
    <n v="11812"/>
    <n v="41"/>
    <x v="0"/>
    <x v="2"/>
    <x v="245"/>
    <d v="2025-12-18T00:00:00"/>
    <x v="4"/>
    <x v="0"/>
    <s v="Active"/>
    <n v="3000"/>
    <x v="1"/>
    <s v="Safe"/>
    <s v="Nov-2023"/>
  </r>
  <r>
    <n v="11813"/>
    <n v="34"/>
    <x v="0"/>
    <x v="0"/>
    <x v="433"/>
    <d v="2025-12-31T00:00:00"/>
    <x v="0"/>
    <x v="0"/>
    <s v="Active"/>
    <n v="1200"/>
    <x v="2"/>
    <s v="Safe"/>
    <s v="Jul-2025"/>
  </r>
  <r>
    <n v="11814"/>
    <n v="21"/>
    <x v="0"/>
    <x v="0"/>
    <x v="311"/>
    <d v="2026-01-04T00:00:00"/>
    <x v="2"/>
    <x v="1"/>
    <s v="Active"/>
    <n v="1700"/>
    <x v="0"/>
    <s v="Safe"/>
    <s v="Aug-2023"/>
  </r>
  <r>
    <n v="11815"/>
    <n v="39"/>
    <x v="0"/>
    <x v="2"/>
    <x v="543"/>
    <d v="2026-01-07T00:00:00"/>
    <x v="4"/>
    <x v="0"/>
    <s v="Active"/>
    <n v="3000"/>
    <x v="1"/>
    <s v="Safe"/>
    <s v="Dec-2025"/>
  </r>
  <r>
    <n v="11816"/>
    <n v="42"/>
    <x v="0"/>
    <x v="2"/>
    <x v="626"/>
    <d v="2026-01-05T00:00:00"/>
    <x v="4"/>
    <x v="0"/>
    <s v="Active"/>
    <n v="3000"/>
    <x v="1"/>
    <s v="Safe"/>
    <s v="Jul-2023"/>
  </r>
  <r>
    <n v="11817"/>
    <n v="30"/>
    <x v="0"/>
    <x v="0"/>
    <x v="443"/>
    <d v="2025-12-19T00:00:00"/>
    <x v="0"/>
    <x v="0"/>
    <s v="Active"/>
    <n v="1200"/>
    <x v="2"/>
    <s v="Safe"/>
    <s v="Jan-2025"/>
  </r>
  <r>
    <n v="11818"/>
    <n v="35"/>
    <x v="0"/>
    <x v="0"/>
    <x v="12"/>
    <d v="2025-12-17T00:00:00"/>
    <x v="0"/>
    <x v="0"/>
    <s v="Active"/>
    <n v="1200"/>
    <x v="1"/>
    <s v="Safe"/>
    <s v="Jun-2024"/>
  </r>
  <r>
    <n v="11819"/>
    <n v="18"/>
    <x v="1"/>
    <x v="0"/>
    <x v="488"/>
    <d v="2026-01-06T00:00:00"/>
    <x v="0"/>
    <x v="0"/>
    <s v="Active"/>
    <n v="1200"/>
    <x v="0"/>
    <s v="Safe"/>
    <s v="Dec-2023"/>
  </r>
  <r>
    <n v="11820"/>
    <n v="33"/>
    <x v="0"/>
    <x v="2"/>
    <x v="264"/>
    <d v="2025-12-19T00:00:00"/>
    <x v="4"/>
    <x v="0"/>
    <s v="Active"/>
    <n v="3000"/>
    <x v="2"/>
    <s v="Safe"/>
    <s v="Jul-2024"/>
  </r>
  <r>
    <n v="11821"/>
    <n v="30"/>
    <x v="0"/>
    <x v="0"/>
    <x v="211"/>
    <d v="2026-01-02T00:00:00"/>
    <x v="0"/>
    <x v="0"/>
    <s v="Active"/>
    <n v="1200"/>
    <x v="2"/>
    <s v="Safe"/>
    <s v="Jul-2025"/>
  </r>
  <r>
    <n v="11822"/>
    <n v="27"/>
    <x v="0"/>
    <x v="2"/>
    <x v="648"/>
    <d v="2025-12-19T00:00:00"/>
    <x v="4"/>
    <x v="0"/>
    <s v="Active"/>
    <n v="3000"/>
    <x v="2"/>
    <s v="Safe"/>
    <s v="May-2024"/>
  </r>
  <r>
    <n v="11823"/>
    <n v="29"/>
    <x v="0"/>
    <x v="1"/>
    <x v="512"/>
    <d v="2025-12-29T00:00:00"/>
    <x v="1"/>
    <x v="1"/>
    <s v="Active"/>
    <n v="15600"/>
    <x v="2"/>
    <s v="Safe"/>
    <s v="Jul-2024"/>
  </r>
  <r>
    <n v="11824"/>
    <n v="19"/>
    <x v="0"/>
    <x v="0"/>
    <x v="765"/>
    <d v="2025-12-31T00:00:00"/>
    <x v="2"/>
    <x v="1"/>
    <s v="Active"/>
    <n v="1700"/>
    <x v="0"/>
    <s v="Safe"/>
    <s v="Dec-2024"/>
  </r>
  <r>
    <n v="11825"/>
    <n v="40"/>
    <x v="0"/>
    <x v="1"/>
    <x v="354"/>
    <d v="2025-12-25T00:00:00"/>
    <x v="3"/>
    <x v="0"/>
    <s v="Active"/>
    <n v="9600"/>
    <x v="1"/>
    <s v="Safe"/>
    <s v="Aug-2025"/>
  </r>
  <r>
    <n v="11826"/>
    <n v="20"/>
    <x v="0"/>
    <x v="2"/>
    <x v="431"/>
    <d v="2026-01-01T00:00:00"/>
    <x v="4"/>
    <x v="0"/>
    <s v="Active"/>
    <n v="3000"/>
    <x v="0"/>
    <s v="Safe"/>
    <s v="Sep-2025"/>
  </r>
  <r>
    <n v="11827"/>
    <n v="27"/>
    <x v="1"/>
    <x v="2"/>
    <x v="425"/>
    <d v="2026-01-02T00:00:00"/>
    <x v="4"/>
    <x v="0"/>
    <s v="Active"/>
    <n v="3000"/>
    <x v="2"/>
    <s v="Safe"/>
    <s v="Aug-2023"/>
  </r>
  <r>
    <n v="11828"/>
    <n v="19"/>
    <x v="0"/>
    <x v="2"/>
    <x v="101"/>
    <d v="2025-12-18T00:00:00"/>
    <x v="5"/>
    <x v="1"/>
    <s v="Active"/>
    <n v="4500"/>
    <x v="0"/>
    <s v="Safe"/>
    <s v="Jun-2024"/>
  </r>
  <r>
    <n v="11829"/>
    <n v="44"/>
    <x v="1"/>
    <x v="2"/>
    <x v="201"/>
    <d v="2026-01-07T00:00:00"/>
    <x v="5"/>
    <x v="1"/>
    <s v="Active"/>
    <n v="4500"/>
    <x v="1"/>
    <s v="Safe"/>
    <s v="Oct-2023"/>
  </r>
  <r>
    <n v="11830"/>
    <n v="40"/>
    <x v="0"/>
    <x v="2"/>
    <x v="701"/>
    <d v="2026-01-03T00:00:00"/>
    <x v="4"/>
    <x v="0"/>
    <s v="Active"/>
    <n v="3000"/>
    <x v="1"/>
    <s v="Safe"/>
    <s v="Jul-2025"/>
  </r>
  <r>
    <n v="11831"/>
    <n v="30"/>
    <x v="1"/>
    <x v="0"/>
    <x v="701"/>
    <d v="2026-01-09T00:00:00"/>
    <x v="0"/>
    <x v="0"/>
    <s v="Active"/>
    <n v="1200"/>
    <x v="2"/>
    <s v="Safe"/>
    <s v="Jul-2025"/>
  </r>
  <r>
    <n v="11832"/>
    <n v="30"/>
    <x v="0"/>
    <x v="0"/>
    <x v="766"/>
    <d v="2025-12-17T00:00:00"/>
    <x v="2"/>
    <x v="1"/>
    <s v="Active"/>
    <n v="1700"/>
    <x v="2"/>
    <s v="Safe"/>
    <s v="Nov-2023"/>
  </r>
  <r>
    <n v="11833"/>
    <n v="35"/>
    <x v="1"/>
    <x v="0"/>
    <x v="350"/>
    <d v="2025-12-18T00:00:00"/>
    <x v="0"/>
    <x v="0"/>
    <s v="Active"/>
    <n v="1200"/>
    <x v="1"/>
    <s v="Safe"/>
    <s v="Apr-2025"/>
  </r>
  <r>
    <n v="11834"/>
    <n v="20"/>
    <x v="0"/>
    <x v="0"/>
    <x v="302"/>
    <d v="2025-10-05T00:00:00"/>
    <x v="0"/>
    <x v="0"/>
    <s v="Inactive"/>
    <n v="1200"/>
    <x v="0"/>
    <s v="High Risk"/>
    <s v="Sep-2025"/>
  </r>
  <r>
    <n v="11835"/>
    <n v="44"/>
    <x v="0"/>
    <x v="0"/>
    <x v="523"/>
    <d v="2026-01-03T00:00:00"/>
    <x v="0"/>
    <x v="0"/>
    <s v="Active"/>
    <n v="1200"/>
    <x v="1"/>
    <s v="Safe"/>
    <s v="Dec-2023"/>
  </r>
  <r>
    <n v="11836"/>
    <n v="24"/>
    <x v="0"/>
    <x v="0"/>
    <x v="393"/>
    <d v="2025-09-20T00:00:00"/>
    <x v="0"/>
    <x v="0"/>
    <s v="Inactive"/>
    <n v="1200"/>
    <x v="0"/>
    <s v="High Risk"/>
    <s v="Nov-2025"/>
  </r>
  <r>
    <n v="11837"/>
    <n v="31"/>
    <x v="1"/>
    <x v="0"/>
    <x v="92"/>
    <d v="2025-12-21T00:00:00"/>
    <x v="2"/>
    <x v="1"/>
    <s v="Active"/>
    <n v="1700"/>
    <x v="2"/>
    <s v="Safe"/>
    <s v="Sep-2023"/>
  </r>
  <r>
    <n v="11838"/>
    <n v="37"/>
    <x v="0"/>
    <x v="2"/>
    <x v="172"/>
    <d v="2025-12-24T00:00:00"/>
    <x v="4"/>
    <x v="0"/>
    <s v="Active"/>
    <n v="3000"/>
    <x v="1"/>
    <s v="Safe"/>
    <s v="Nov-2024"/>
  </r>
  <r>
    <n v="11839"/>
    <n v="34"/>
    <x v="0"/>
    <x v="1"/>
    <x v="92"/>
    <d v="2026-01-10T00:00:00"/>
    <x v="3"/>
    <x v="0"/>
    <s v="Active"/>
    <n v="9600"/>
    <x v="2"/>
    <s v="Safe"/>
    <s v="Sep-2023"/>
  </r>
  <r>
    <n v="11840"/>
    <n v="38"/>
    <x v="0"/>
    <x v="1"/>
    <x v="458"/>
    <d v="2026-01-07T00:00:00"/>
    <x v="1"/>
    <x v="1"/>
    <s v="Active"/>
    <n v="15600"/>
    <x v="1"/>
    <s v="Safe"/>
    <s v="Jun-2024"/>
  </r>
  <r>
    <n v="11841"/>
    <n v="29"/>
    <x v="0"/>
    <x v="2"/>
    <x v="611"/>
    <d v="2025-10-18T00:00:00"/>
    <x v="4"/>
    <x v="0"/>
    <s v="Inactive"/>
    <n v="3000"/>
    <x v="2"/>
    <s v="High Risk"/>
    <s v="Feb-2024"/>
  </r>
  <r>
    <n v="11842"/>
    <n v="42"/>
    <x v="0"/>
    <x v="2"/>
    <x v="767"/>
    <d v="2025-12-22T00:00:00"/>
    <x v="4"/>
    <x v="0"/>
    <s v="Active"/>
    <n v="3000"/>
    <x v="1"/>
    <s v="Safe"/>
    <s v="Dec-2023"/>
  </r>
  <r>
    <n v="11843"/>
    <n v="33"/>
    <x v="0"/>
    <x v="1"/>
    <x v="521"/>
    <d v="2025-10-04T00:00:00"/>
    <x v="3"/>
    <x v="0"/>
    <s v="Inactive"/>
    <n v="9600"/>
    <x v="2"/>
    <s v="High Risk"/>
    <s v="Oct-2023"/>
  </r>
  <r>
    <n v="11844"/>
    <n v="41"/>
    <x v="1"/>
    <x v="0"/>
    <x v="764"/>
    <d v="2025-12-08T00:00:00"/>
    <x v="0"/>
    <x v="0"/>
    <s v="Inactive"/>
    <n v="1200"/>
    <x v="1"/>
    <s v="High Risk"/>
    <s v="Nov-2024"/>
  </r>
  <r>
    <n v="11845"/>
    <n v="29"/>
    <x v="1"/>
    <x v="0"/>
    <x v="748"/>
    <d v="2025-12-18T00:00:00"/>
    <x v="2"/>
    <x v="1"/>
    <s v="Active"/>
    <n v="1700"/>
    <x v="2"/>
    <s v="Safe"/>
    <s v="Sep-2024"/>
  </r>
  <r>
    <n v="11846"/>
    <n v="32"/>
    <x v="1"/>
    <x v="1"/>
    <x v="679"/>
    <d v="2025-10-08T00:00:00"/>
    <x v="3"/>
    <x v="0"/>
    <s v="Inactive"/>
    <n v="9600"/>
    <x v="2"/>
    <s v="High Risk"/>
    <s v="Jun-2024"/>
  </r>
  <r>
    <n v="11847"/>
    <n v="42"/>
    <x v="0"/>
    <x v="2"/>
    <x v="414"/>
    <d v="2026-01-04T00:00:00"/>
    <x v="5"/>
    <x v="1"/>
    <s v="Active"/>
    <n v="4500"/>
    <x v="1"/>
    <s v="Safe"/>
    <s v="Jul-2024"/>
  </r>
  <r>
    <n v="11848"/>
    <n v="27"/>
    <x v="1"/>
    <x v="2"/>
    <x v="412"/>
    <d v="2026-01-05T00:00:00"/>
    <x v="4"/>
    <x v="0"/>
    <s v="Active"/>
    <n v="3000"/>
    <x v="2"/>
    <s v="Safe"/>
    <s v="Aug-2024"/>
  </r>
  <r>
    <n v="11849"/>
    <n v="42"/>
    <x v="1"/>
    <x v="0"/>
    <x v="40"/>
    <d v="2026-01-10T00:00:00"/>
    <x v="0"/>
    <x v="0"/>
    <s v="Active"/>
    <n v="1200"/>
    <x v="1"/>
    <s v="Safe"/>
    <s v="Jun-2024"/>
  </r>
  <r>
    <n v="11850"/>
    <n v="24"/>
    <x v="0"/>
    <x v="0"/>
    <x v="676"/>
    <d v="2025-12-30T00:00:00"/>
    <x v="0"/>
    <x v="0"/>
    <s v="Active"/>
    <n v="1200"/>
    <x v="0"/>
    <s v="Safe"/>
    <s v="Oct-2025"/>
  </r>
  <r>
    <n v="11851"/>
    <n v="37"/>
    <x v="0"/>
    <x v="1"/>
    <x v="356"/>
    <d v="2025-12-30T00:00:00"/>
    <x v="3"/>
    <x v="0"/>
    <s v="Active"/>
    <n v="9600"/>
    <x v="1"/>
    <s v="Safe"/>
    <s v="Sep-2024"/>
  </r>
  <r>
    <n v="11852"/>
    <n v="22"/>
    <x v="0"/>
    <x v="2"/>
    <x v="266"/>
    <d v="2025-12-24T00:00:00"/>
    <x v="4"/>
    <x v="0"/>
    <s v="Active"/>
    <n v="3000"/>
    <x v="0"/>
    <s v="Safe"/>
    <s v="Aug-2025"/>
  </r>
  <r>
    <n v="11853"/>
    <n v="18"/>
    <x v="1"/>
    <x v="0"/>
    <x v="380"/>
    <d v="2026-01-06T00:00:00"/>
    <x v="2"/>
    <x v="1"/>
    <s v="Active"/>
    <n v="1700"/>
    <x v="0"/>
    <s v="Safe"/>
    <s v="Oct-2023"/>
  </r>
  <r>
    <n v="11854"/>
    <n v="34"/>
    <x v="0"/>
    <x v="0"/>
    <x v="340"/>
    <d v="2025-12-30T00:00:00"/>
    <x v="0"/>
    <x v="0"/>
    <s v="Active"/>
    <n v="1200"/>
    <x v="2"/>
    <s v="Safe"/>
    <s v="Feb-2025"/>
  </r>
  <r>
    <n v="11855"/>
    <n v="20"/>
    <x v="0"/>
    <x v="2"/>
    <x v="698"/>
    <d v="2026-01-01T00:00:00"/>
    <x v="4"/>
    <x v="0"/>
    <s v="Active"/>
    <n v="3000"/>
    <x v="0"/>
    <s v="Safe"/>
    <s v="Nov-2023"/>
  </r>
  <r>
    <n v="11856"/>
    <n v="30"/>
    <x v="0"/>
    <x v="2"/>
    <x v="429"/>
    <d v="2025-12-22T00:00:00"/>
    <x v="4"/>
    <x v="0"/>
    <s v="Active"/>
    <n v="3000"/>
    <x v="2"/>
    <s v="Safe"/>
    <s v="Jun-2024"/>
  </r>
  <r>
    <n v="11857"/>
    <n v="31"/>
    <x v="1"/>
    <x v="0"/>
    <x v="326"/>
    <d v="2025-12-29T00:00:00"/>
    <x v="0"/>
    <x v="0"/>
    <s v="Active"/>
    <n v="1200"/>
    <x v="2"/>
    <s v="Safe"/>
    <s v="Nov-2023"/>
  </r>
  <r>
    <n v="11858"/>
    <n v="41"/>
    <x v="1"/>
    <x v="1"/>
    <x v="449"/>
    <d v="2025-12-24T00:00:00"/>
    <x v="3"/>
    <x v="0"/>
    <s v="Active"/>
    <n v="9600"/>
    <x v="1"/>
    <s v="Safe"/>
    <s v="Aug-2023"/>
  </r>
  <r>
    <n v="11859"/>
    <n v="35"/>
    <x v="1"/>
    <x v="0"/>
    <x v="4"/>
    <d v="2025-12-25T00:00:00"/>
    <x v="2"/>
    <x v="1"/>
    <s v="Active"/>
    <n v="1700"/>
    <x v="1"/>
    <s v="Safe"/>
    <s v="Feb-2024"/>
  </r>
  <r>
    <n v="11860"/>
    <n v="21"/>
    <x v="0"/>
    <x v="0"/>
    <x v="52"/>
    <d v="2025-12-30T00:00:00"/>
    <x v="0"/>
    <x v="0"/>
    <s v="Active"/>
    <n v="1200"/>
    <x v="0"/>
    <s v="Safe"/>
    <s v="May-2024"/>
  </r>
  <r>
    <n v="11861"/>
    <n v="35"/>
    <x v="0"/>
    <x v="2"/>
    <x v="768"/>
    <d v="2025-12-29T00:00:00"/>
    <x v="5"/>
    <x v="1"/>
    <s v="Active"/>
    <n v="4500"/>
    <x v="1"/>
    <s v="Safe"/>
    <s v="Feb-2025"/>
  </r>
  <r>
    <n v="11862"/>
    <n v="22"/>
    <x v="0"/>
    <x v="0"/>
    <x v="721"/>
    <d v="2025-12-24T00:00:00"/>
    <x v="0"/>
    <x v="0"/>
    <s v="Active"/>
    <n v="1200"/>
    <x v="0"/>
    <s v="Safe"/>
    <s v="Oct-2024"/>
  </r>
  <r>
    <n v="11863"/>
    <n v="42"/>
    <x v="0"/>
    <x v="1"/>
    <x v="679"/>
    <d v="2025-12-28T00:00:00"/>
    <x v="1"/>
    <x v="1"/>
    <s v="Active"/>
    <n v="15600"/>
    <x v="1"/>
    <s v="Safe"/>
    <s v="Jun-2024"/>
  </r>
  <r>
    <n v="11864"/>
    <n v="33"/>
    <x v="0"/>
    <x v="2"/>
    <x v="602"/>
    <d v="2025-12-25T00:00:00"/>
    <x v="5"/>
    <x v="1"/>
    <s v="Active"/>
    <n v="4500"/>
    <x v="2"/>
    <s v="Safe"/>
    <s v="Nov-2024"/>
  </r>
  <r>
    <n v="11865"/>
    <n v="18"/>
    <x v="0"/>
    <x v="1"/>
    <x v="769"/>
    <d v="2026-01-01T00:00:00"/>
    <x v="1"/>
    <x v="1"/>
    <s v="Active"/>
    <n v="15600"/>
    <x v="0"/>
    <s v="Safe"/>
    <s v="Apr-2024"/>
  </r>
  <r>
    <n v="11866"/>
    <n v="38"/>
    <x v="0"/>
    <x v="0"/>
    <x v="135"/>
    <d v="2026-01-08T00:00:00"/>
    <x v="0"/>
    <x v="0"/>
    <s v="Active"/>
    <n v="1200"/>
    <x v="1"/>
    <s v="Safe"/>
    <s v="Feb-2024"/>
  </r>
  <r>
    <n v="11867"/>
    <n v="31"/>
    <x v="0"/>
    <x v="0"/>
    <x v="564"/>
    <d v="2025-12-19T00:00:00"/>
    <x v="0"/>
    <x v="0"/>
    <s v="Active"/>
    <n v="1200"/>
    <x v="2"/>
    <s v="Safe"/>
    <s v="Jun-2024"/>
  </r>
  <r>
    <n v="11868"/>
    <n v="32"/>
    <x v="1"/>
    <x v="0"/>
    <x v="579"/>
    <d v="2025-12-21T00:00:00"/>
    <x v="2"/>
    <x v="1"/>
    <s v="Active"/>
    <n v="1700"/>
    <x v="2"/>
    <s v="Safe"/>
    <s v="Oct-2024"/>
  </r>
  <r>
    <n v="11869"/>
    <n v="26"/>
    <x v="0"/>
    <x v="2"/>
    <x v="596"/>
    <d v="2025-12-27T00:00:00"/>
    <x v="5"/>
    <x v="1"/>
    <s v="Active"/>
    <n v="4500"/>
    <x v="2"/>
    <s v="Safe"/>
    <s v="Mar-2025"/>
  </r>
  <r>
    <n v="11870"/>
    <n v="32"/>
    <x v="1"/>
    <x v="2"/>
    <x v="36"/>
    <d v="2025-12-31T00:00:00"/>
    <x v="4"/>
    <x v="0"/>
    <s v="Active"/>
    <n v="3000"/>
    <x v="2"/>
    <s v="Safe"/>
    <s v="Aug-2023"/>
  </r>
  <r>
    <n v="11871"/>
    <n v="34"/>
    <x v="0"/>
    <x v="1"/>
    <x v="735"/>
    <d v="2025-12-28T00:00:00"/>
    <x v="1"/>
    <x v="1"/>
    <s v="Active"/>
    <n v="15600"/>
    <x v="2"/>
    <s v="Safe"/>
    <s v="Mar-2024"/>
  </r>
  <r>
    <n v="11872"/>
    <n v="42"/>
    <x v="0"/>
    <x v="2"/>
    <x v="11"/>
    <d v="2025-12-26T00:00:00"/>
    <x v="4"/>
    <x v="0"/>
    <s v="Active"/>
    <n v="3000"/>
    <x v="1"/>
    <s v="Safe"/>
    <s v="Mar-2025"/>
  </r>
  <r>
    <n v="11873"/>
    <n v="41"/>
    <x v="0"/>
    <x v="1"/>
    <x v="554"/>
    <d v="2026-01-06T00:00:00"/>
    <x v="1"/>
    <x v="1"/>
    <s v="Active"/>
    <n v="15600"/>
    <x v="1"/>
    <s v="Safe"/>
    <s v="Jan-2024"/>
  </r>
  <r>
    <n v="11874"/>
    <n v="21"/>
    <x v="0"/>
    <x v="2"/>
    <x v="770"/>
    <d v="2026-01-02T00:00:00"/>
    <x v="4"/>
    <x v="0"/>
    <s v="Active"/>
    <n v="3000"/>
    <x v="0"/>
    <s v="Safe"/>
    <s v="Jan-2025"/>
  </r>
  <r>
    <n v="11875"/>
    <n v="29"/>
    <x v="0"/>
    <x v="0"/>
    <x v="469"/>
    <d v="2025-12-28T00:00:00"/>
    <x v="2"/>
    <x v="1"/>
    <s v="Active"/>
    <n v="1700"/>
    <x v="2"/>
    <s v="Safe"/>
    <s v="Feb-2024"/>
  </r>
  <r>
    <n v="11876"/>
    <n v="44"/>
    <x v="0"/>
    <x v="0"/>
    <x v="15"/>
    <d v="2025-12-24T00:00:00"/>
    <x v="0"/>
    <x v="0"/>
    <s v="Active"/>
    <n v="1200"/>
    <x v="1"/>
    <s v="Safe"/>
    <s v="Sep-2025"/>
  </r>
  <r>
    <n v="11877"/>
    <n v="43"/>
    <x v="0"/>
    <x v="2"/>
    <x v="146"/>
    <d v="2025-09-26T00:00:00"/>
    <x v="4"/>
    <x v="0"/>
    <s v="Inactive"/>
    <n v="3000"/>
    <x v="1"/>
    <s v="High Risk"/>
    <s v="Sep-2023"/>
  </r>
  <r>
    <n v="11878"/>
    <n v="22"/>
    <x v="0"/>
    <x v="0"/>
    <x v="686"/>
    <d v="2026-01-01T00:00:00"/>
    <x v="0"/>
    <x v="0"/>
    <s v="Active"/>
    <n v="1200"/>
    <x v="0"/>
    <s v="Safe"/>
    <s v="Apr-2025"/>
  </r>
  <r>
    <n v="11879"/>
    <n v="22"/>
    <x v="0"/>
    <x v="0"/>
    <x v="430"/>
    <d v="2025-12-18T00:00:00"/>
    <x v="2"/>
    <x v="1"/>
    <s v="Active"/>
    <n v="1700"/>
    <x v="0"/>
    <s v="Safe"/>
    <s v="Aug-2024"/>
  </r>
  <r>
    <n v="11880"/>
    <n v="28"/>
    <x v="1"/>
    <x v="2"/>
    <x v="582"/>
    <d v="2025-12-19T00:00:00"/>
    <x v="4"/>
    <x v="0"/>
    <s v="Active"/>
    <n v="3000"/>
    <x v="2"/>
    <s v="Safe"/>
    <s v="Oct-2025"/>
  </r>
  <r>
    <n v="11881"/>
    <n v="45"/>
    <x v="1"/>
    <x v="1"/>
    <x v="135"/>
    <d v="2026-01-07T00:00:00"/>
    <x v="3"/>
    <x v="0"/>
    <s v="Active"/>
    <n v="9600"/>
    <x v="1"/>
    <s v="Safe"/>
    <s v="Feb-2024"/>
  </r>
  <r>
    <n v="11882"/>
    <n v="23"/>
    <x v="1"/>
    <x v="0"/>
    <x v="358"/>
    <d v="2025-11-14T00:00:00"/>
    <x v="2"/>
    <x v="1"/>
    <s v="Inactive"/>
    <n v="1700"/>
    <x v="0"/>
    <s v="High Risk"/>
    <s v="Nov-2023"/>
  </r>
  <r>
    <n v="11883"/>
    <n v="24"/>
    <x v="0"/>
    <x v="1"/>
    <x v="139"/>
    <d v="2026-01-10T00:00:00"/>
    <x v="1"/>
    <x v="1"/>
    <s v="Active"/>
    <n v="15600"/>
    <x v="0"/>
    <s v="Safe"/>
    <s v="May-2025"/>
  </r>
  <r>
    <n v="11884"/>
    <n v="41"/>
    <x v="1"/>
    <x v="1"/>
    <x v="265"/>
    <d v="2026-01-06T00:00:00"/>
    <x v="3"/>
    <x v="0"/>
    <s v="Active"/>
    <n v="9600"/>
    <x v="1"/>
    <s v="Safe"/>
    <s v="Oct-2023"/>
  </r>
  <r>
    <n v="11885"/>
    <n v="31"/>
    <x v="1"/>
    <x v="2"/>
    <x v="60"/>
    <d v="2025-12-31T00:00:00"/>
    <x v="5"/>
    <x v="1"/>
    <s v="Active"/>
    <n v="4500"/>
    <x v="2"/>
    <s v="Safe"/>
    <s v="May-2025"/>
  </r>
  <r>
    <n v="11886"/>
    <n v="41"/>
    <x v="0"/>
    <x v="0"/>
    <x v="119"/>
    <d v="2025-12-23T00:00:00"/>
    <x v="0"/>
    <x v="0"/>
    <s v="Active"/>
    <n v="1200"/>
    <x v="1"/>
    <s v="Safe"/>
    <s v="Oct-2023"/>
  </r>
  <r>
    <n v="11887"/>
    <n v="28"/>
    <x v="1"/>
    <x v="0"/>
    <x v="733"/>
    <d v="2025-12-28T00:00:00"/>
    <x v="0"/>
    <x v="0"/>
    <s v="Active"/>
    <n v="1200"/>
    <x v="2"/>
    <s v="Safe"/>
    <s v="Jul-2025"/>
  </r>
  <r>
    <n v="11888"/>
    <n v="30"/>
    <x v="0"/>
    <x v="2"/>
    <x v="546"/>
    <d v="2025-12-08T00:00:00"/>
    <x v="4"/>
    <x v="0"/>
    <s v="Inactive"/>
    <n v="3000"/>
    <x v="2"/>
    <s v="High Risk"/>
    <s v="Aug-2023"/>
  </r>
  <r>
    <n v="11889"/>
    <n v="19"/>
    <x v="1"/>
    <x v="2"/>
    <x v="38"/>
    <d v="2025-10-07T00:00:00"/>
    <x v="4"/>
    <x v="0"/>
    <s v="Inactive"/>
    <n v="3000"/>
    <x v="0"/>
    <s v="High Risk"/>
    <s v="Sep-2024"/>
  </r>
  <r>
    <n v="11890"/>
    <n v="42"/>
    <x v="1"/>
    <x v="1"/>
    <x v="47"/>
    <d v="2026-01-03T00:00:00"/>
    <x v="3"/>
    <x v="0"/>
    <s v="Active"/>
    <n v="9600"/>
    <x v="1"/>
    <s v="Safe"/>
    <s v="Sep-2023"/>
  </r>
  <r>
    <n v="11891"/>
    <n v="24"/>
    <x v="0"/>
    <x v="2"/>
    <x v="186"/>
    <d v="2025-12-22T00:00:00"/>
    <x v="5"/>
    <x v="1"/>
    <s v="Active"/>
    <n v="4500"/>
    <x v="0"/>
    <s v="Safe"/>
    <s v="Sep-2025"/>
  </r>
  <r>
    <n v="11892"/>
    <n v="37"/>
    <x v="0"/>
    <x v="0"/>
    <x v="216"/>
    <d v="2026-01-05T00:00:00"/>
    <x v="0"/>
    <x v="0"/>
    <s v="Active"/>
    <n v="1200"/>
    <x v="1"/>
    <s v="Safe"/>
    <s v="Feb-2024"/>
  </r>
  <r>
    <n v="11893"/>
    <n v="21"/>
    <x v="1"/>
    <x v="0"/>
    <x v="716"/>
    <d v="2025-12-24T00:00:00"/>
    <x v="2"/>
    <x v="1"/>
    <s v="Active"/>
    <n v="1700"/>
    <x v="0"/>
    <s v="Safe"/>
    <s v="Jan-2025"/>
  </r>
  <r>
    <n v="11894"/>
    <n v="44"/>
    <x v="0"/>
    <x v="2"/>
    <x v="771"/>
    <d v="2026-01-07T00:00:00"/>
    <x v="4"/>
    <x v="0"/>
    <s v="Active"/>
    <n v="3000"/>
    <x v="1"/>
    <s v="Safe"/>
    <s v="Nov-2025"/>
  </r>
  <r>
    <n v="11895"/>
    <n v="25"/>
    <x v="0"/>
    <x v="0"/>
    <x v="772"/>
    <d v="2025-12-23T00:00:00"/>
    <x v="0"/>
    <x v="0"/>
    <s v="Active"/>
    <n v="1200"/>
    <x v="2"/>
    <s v="Safe"/>
    <s v="Feb-2025"/>
  </r>
  <r>
    <n v="11896"/>
    <n v="37"/>
    <x v="1"/>
    <x v="0"/>
    <x v="699"/>
    <d v="2025-11-22T00:00:00"/>
    <x v="2"/>
    <x v="1"/>
    <s v="Inactive"/>
    <n v="1700"/>
    <x v="1"/>
    <s v="High Risk"/>
    <s v="Dec-2024"/>
  </r>
  <r>
    <n v="11897"/>
    <n v="39"/>
    <x v="0"/>
    <x v="2"/>
    <x v="491"/>
    <d v="2025-12-17T00:00:00"/>
    <x v="4"/>
    <x v="0"/>
    <s v="Active"/>
    <n v="3000"/>
    <x v="1"/>
    <s v="Safe"/>
    <s v="May-2025"/>
  </r>
  <r>
    <n v="11898"/>
    <n v="38"/>
    <x v="0"/>
    <x v="0"/>
    <x v="138"/>
    <d v="2025-11-15T00:00:00"/>
    <x v="2"/>
    <x v="1"/>
    <s v="Inactive"/>
    <n v="1700"/>
    <x v="1"/>
    <s v="High Risk"/>
    <s v="Dec-2024"/>
  </r>
  <r>
    <n v="11899"/>
    <n v="36"/>
    <x v="0"/>
    <x v="0"/>
    <x v="223"/>
    <d v="2025-12-20T00:00:00"/>
    <x v="0"/>
    <x v="0"/>
    <s v="Active"/>
    <n v="1200"/>
    <x v="1"/>
    <s v="Safe"/>
    <s v="Aug-2025"/>
  </r>
  <r>
    <n v="11900"/>
    <n v="30"/>
    <x v="0"/>
    <x v="0"/>
    <x v="773"/>
    <d v="2025-12-11T00:00:00"/>
    <x v="0"/>
    <x v="0"/>
    <s v="Inactive"/>
    <n v="1200"/>
    <x v="2"/>
    <s v="High Risk"/>
    <s v="Aug-2025"/>
  </r>
  <r>
    <n v="11901"/>
    <n v="31"/>
    <x v="0"/>
    <x v="0"/>
    <x v="574"/>
    <d v="2025-09-15T00:00:00"/>
    <x v="0"/>
    <x v="0"/>
    <s v="Inactive"/>
    <n v="1200"/>
    <x v="2"/>
    <s v="High Risk"/>
    <s v="Dec-2024"/>
  </r>
  <r>
    <n v="11902"/>
    <n v="27"/>
    <x v="0"/>
    <x v="0"/>
    <x v="489"/>
    <d v="2025-12-24T00:00:00"/>
    <x v="2"/>
    <x v="1"/>
    <s v="Active"/>
    <n v="1700"/>
    <x v="2"/>
    <s v="Safe"/>
    <s v="Jul-2023"/>
  </r>
  <r>
    <n v="11903"/>
    <n v="28"/>
    <x v="0"/>
    <x v="2"/>
    <x v="491"/>
    <d v="2025-10-21T00:00:00"/>
    <x v="4"/>
    <x v="0"/>
    <s v="Inactive"/>
    <n v="3000"/>
    <x v="2"/>
    <s v="High Risk"/>
    <s v="May-2025"/>
  </r>
  <r>
    <n v="11904"/>
    <n v="19"/>
    <x v="0"/>
    <x v="1"/>
    <x v="138"/>
    <d v="2025-12-27T00:00:00"/>
    <x v="3"/>
    <x v="0"/>
    <s v="Active"/>
    <n v="9600"/>
    <x v="0"/>
    <s v="Safe"/>
    <s v="Dec-2024"/>
  </r>
  <r>
    <n v="11905"/>
    <n v="42"/>
    <x v="1"/>
    <x v="0"/>
    <x v="730"/>
    <d v="2025-12-18T00:00:00"/>
    <x v="2"/>
    <x v="1"/>
    <s v="Active"/>
    <n v="1700"/>
    <x v="1"/>
    <s v="Safe"/>
    <s v="Nov-2024"/>
  </r>
  <r>
    <n v="11906"/>
    <n v="43"/>
    <x v="0"/>
    <x v="1"/>
    <x v="547"/>
    <d v="2025-09-19T00:00:00"/>
    <x v="3"/>
    <x v="0"/>
    <s v="Inactive"/>
    <n v="9600"/>
    <x v="1"/>
    <s v="High Risk"/>
    <s v="Mar-2024"/>
  </r>
  <r>
    <n v="11907"/>
    <n v="26"/>
    <x v="0"/>
    <x v="0"/>
    <x v="28"/>
    <d v="2025-12-30T00:00:00"/>
    <x v="2"/>
    <x v="1"/>
    <s v="Active"/>
    <n v="1700"/>
    <x v="2"/>
    <s v="Safe"/>
    <s v="Mar-2024"/>
  </r>
  <r>
    <n v="11908"/>
    <n v="34"/>
    <x v="0"/>
    <x v="2"/>
    <x v="337"/>
    <d v="2026-01-06T00:00:00"/>
    <x v="4"/>
    <x v="0"/>
    <s v="Active"/>
    <n v="3000"/>
    <x v="2"/>
    <s v="Safe"/>
    <s v="May-2025"/>
  </r>
  <r>
    <n v="11909"/>
    <n v="43"/>
    <x v="0"/>
    <x v="1"/>
    <x v="625"/>
    <d v="2025-12-24T00:00:00"/>
    <x v="3"/>
    <x v="0"/>
    <s v="Active"/>
    <n v="9600"/>
    <x v="1"/>
    <s v="Safe"/>
    <s v="Apr-2025"/>
  </r>
  <r>
    <n v="11910"/>
    <n v="20"/>
    <x v="0"/>
    <x v="2"/>
    <x v="595"/>
    <d v="2025-10-19T00:00:00"/>
    <x v="4"/>
    <x v="0"/>
    <s v="Inactive"/>
    <n v="3000"/>
    <x v="0"/>
    <s v="High Risk"/>
    <s v="Oct-2023"/>
  </r>
  <r>
    <n v="11911"/>
    <n v="41"/>
    <x v="0"/>
    <x v="1"/>
    <x v="591"/>
    <d v="2025-12-19T00:00:00"/>
    <x v="3"/>
    <x v="0"/>
    <s v="Active"/>
    <n v="9600"/>
    <x v="1"/>
    <s v="Safe"/>
    <s v="Dec-2023"/>
  </r>
  <r>
    <n v="11912"/>
    <n v="23"/>
    <x v="1"/>
    <x v="0"/>
    <x v="60"/>
    <d v="2025-10-08T00:00:00"/>
    <x v="0"/>
    <x v="0"/>
    <s v="Inactive"/>
    <n v="1200"/>
    <x v="0"/>
    <s v="High Risk"/>
    <s v="May-2025"/>
  </r>
  <r>
    <n v="11913"/>
    <n v="22"/>
    <x v="0"/>
    <x v="0"/>
    <x v="425"/>
    <d v="2025-12-25T00:00:00"/>
    <x v="0"/>
    <x v="0"/>
    <s v="Active"/>
    <n v="1200"/>
    <x v="0"/>
    <s v="Safe"/>
    <s v="Aug-2023"/>
  </r>
  <r>
    <n v="11914"/>
    <n v="22"/>
    <x v="0"/>
    <x v="1"/>
    <x v="774"/>
    <d v="2026-01-02T00:00:00"/>
    <x v="1"/>
    <x v="1"/>
    <s v="Active"/>
    <n v="15600"/>
    <x v="0"/>
    <s v="Safe"/>
    <s v="Nov-2025"/>
  </r>
  <r>
    <n v="11915"/>
    <n v="39"/>
    <x v="0"/>
    <x v="0"/>
    <x v="503"/>
    <d v="2026-01-09T00:00:00"/>
    <x v="2"/>
    <x v="1"/>
    <s v="Active"/>
    <n v="1700"/>
    <x v="1"/>
    <s v="Safe"/>
    <s v="Mar-2024"/>
  </r>
  <r>
    <n v="11916"/>
    <n v="32"/>
    <x v="0"/>
    <x v="0"/>
    <x v="386"/>
    <d v="2025-12-31T00:00:00"/>
    <x v="0"/>
    <x v="0"/>
    <s v="Active"/>
    <n v="1200"/>
    <x v="2"/>
    <s v="Safe"/>
    <s v="Jan-2024"/>
  </r>
  <r>
    <n v="11917"/>
    <n v="40"/>
    <x v="0"/>
    <x v="2"/>
    <x v="515"/>
    <d v="2026-01-04T00:00:00"/>
    <x v="4"/>
    <x v="0"/>
    <s v="Active"/>
    <n v="3000"/>
    <x v="1"/>
    <s v="Safe"/>
    <s v="Nov-2025"/>
  </r>
  <r>
    <n v="11918"/>
    <n v="34"/>
    <x v="0"/>
    <x v="1"/>
    <x v="736"/>
    <d v="2025-11-20T00:00:00"/>
    <x v="3"/>
    <x v="0"/>
    <s v="Inactive"/>
    <n v="9600"/>
    <x v="2"/>
    <s v="High Risk"/>
    <s v="May-2025"/>
  </r>
  <r>
    <n v="11919"/>
    <n v="26"/>
    <x v="0"/>
    <x v="1"/>
    <x v="600"/>
    <d v="2026-01-02T00:00:00"/>
    <x v="1"/>
    <x v="1"/>
    <s v="Active"/>
    <n v="15600"/>
    <x v="2"/>
    <s v="Safe"/>
    <s v="Sep-2025"/>
  </r>
  <r>
    <n v="11920"/>
    <n v="20"/>
    <x v="1"/>
    <x v="0"/>
    <x v="175"/>
    <d v="2025-12-24T00:00:00"/>
    <x v="0"/>
    <x v="0"/>
    <s v="Active"/>
    <n v="1200"/>
    <x v="0"/>
    <s v="Safe"/>
    <s v="Sep-2024"/>
  </r>
  <r>
    <n v="11921"/>
    <n v="37"/>
    <x v="0"/>
    <x v="1"/>
    <x v="541"/>
    <d v="2025-12-20T00:00:00"/>
    <x v="1"/>
    <x v="1"/>
    <s v="Active"/>
    <n v="15600"/>
    <x v="1"/>
    <s v="Safe"/>
    <s v="May-2024"/>
  </r>
  <r>
    <n v="11922"/>
    <n v="43"/>
    <x v="0"/>
    <x v="0"/>
    <x v="775"/>
    <d v="2025-12-21T00:00:00"/>
    <x v="0"/>
    <x v="0"/>
    <s v="Active"/>
    <n v="1200"/>
    <x v="1"/>
    <s v="Safe"/>
    <s v="Jan-2024"/>
  </r>
  <r>
    <n v="11923"/>
    <n v="34"/>
    <x v="0"/>
    <x v="0"/>
    <x v="134"/>
    <d v="2025-11-08T00:00:00"/>
    <x v="0"/>
    <x v="0"/>
    <s v="Inactive"/>
    <n v="1200"/>
    <x v="2"/>
    <s v="High Risk"/>
    <s v="Jul-2024"/>
  </r>
  <r>
    <n v="11924"/>
    <n v="44"/>
    <x v="0"/>
    <x v="2"/>
    <x v="298"/>
    <d v="2025-12-20T00:00:00"/>
    <x v="5"/>
    <x v="1"/>
    <s v="Active"/>
    <n v="4500"/>
    <x v="1"/>
    <s v="Safe"/>
    <s v="Sep-2025"/>
  </r>
  <r>
    <n v="11925"/>
    <n v="27"/>
    <x v="0"/>
    <x v="0"/>
    <x v="703"/>
    <d v="2025-10-26T00:00:00"/>
    <x v="2"/>
    <x v="1"/>
    <s v="Inactive"/>
    <n v="1700"/>
    <x v="2"/>
    <s v="High Risk"/>
    <s v="Jun-2025"/>
  </r>
  <r>
    <n v="11926"/>
    <n v="20"/>
    <x v="0"/>
    <x v="0"/>
    <x v="776"/>
    <d v="2025-11-27T00:00:00"/>
    <x v="0"/>
    <x v="0"/>
    <s v="Inactive"/>
    <n v="1200"/>
    <x v="0"/>
    <s v="High Risk"/>
    <s v="Apr-2025"/>
  </r>
  <r>
    <n v="11927"/>
    <n v="35"/>
    <x v="0"/>
    <x v="2"/>
    <x v="485"/>
    <d v="2025-09-15T00:00:00"/>
    <x v="5"/>
    <x v="1"/>
    <s v="Inactive"/>
    <n v="4500"/>
    <x v="1"/>
    <s v="High Risk"/>
    <s v="Oct-2024"/>
  </r>
  <r>
    <n v="11928"/>
    <n v="35"/>
    <x v="0"/>
    <x v="0"/>
    <x v="13"/>
    <d v="2025-10-22T00:00:00"/>
    <x v="0"/>
    <x v="0"/>
    <s v="Inactive"/>
    <n v="1200"/>
    <x v="1"/>
    <s v="High Risk"/>
    <s v="Nov-2023"/>
  </r>
  <r>
    <n v="11929"/>
    <n v="34"/>
    <x v="0"/>
    <x v="0"/>
    <x v="251"/>
    <d v="2026-01-06T00:00:00"/>
    <x v="2"/>
    <x v="1"/>
    <s v="Active"/>
    <n v="1700"/>
    <x v="2"/>
    <s v="Safe"/>
    <s v="Jun-2025"/>
  </r>
  <r>
    <n v="11930"/>
    <n v="41"/>
    <x v="0"/>
    <x v="0"/>
    <x v="548"/>
    <d v="2025-11-04T00:00:00"/>
    <x v="0"/>
    <x v="0"/>
    <s v="Inactive"/>
    <n v="1200"/>
    <x v="1"/>
    <s v="High Risk"/>
    <s v="Feb-2024"/>
  </r>
  <r>
    <n v="11931"/>
    <n v="20"/>
    <x v="0"/>
    <x v="2"/>
    <x v="63"/>
    <d v="2025-10-14T00:00:00"/>
    <x v="4"/>
    <x v="0"/>
    <s v="Inactive"/>
    <n v="3000"/>
    <x v="0"/>
    <s v="High Risk"/>
    <s v="Jan-2025"/>
  </r>
  <r>
    <n v="11932"/>
    <n v="20"/>
    <x v="0"/>
    <x v="2"/>
    <x v="494"/>
    <d v="2026-01-02T00:00:00"/>
    <x v="4"/>
    <x v="0"/>
    <s v="Active"/>
    <n v="3000"/>
    <x v="0"/>
    <s v="Safe"/>
    <s v="Nov-2024"/>
  </r>
  <r>
    <n v="11933"/>
    <n v="23"/>
    <x v="0"/>
    <x v="1"/>
    <x v="502"/>
    <d v="2025-12-30T00:00:00"/>
    <x v="1"/>
    <x v="1"/>
    <s v="Active"/>
    <n v="15600"/>
    <x v="0"/>
    <s v="Safe"/>
    <s v="Dec-2023"/>
  </r>
  <r>
    <n v="11934"/>
    <n v="30"/>
    <x v="1"/>
    <x v="1"/>
    <x v="612"/>
    <d v="2025-12-24T00:00:00"/>
    <x v="1"/>
    <x v="1"/>
    <s v="Active"/>
    <n v="15600"/>
    <x v="2"/>
    <s v="Safe"/>
    <s v="Jun-2025"/>
  </r>
  <r>
    <n v="11935"/>
    <n v="41"/>
    <x v="0"/>
    <x v="2"/>
    <x v="571"/>
    <d v="2025-12-19T00:00:00"/>
    <x v="4"/>
    <x v="0"/>
    <s v="Active"/>
    <n v="3000"/>
    <x v="1"/>
    <s v="Safe"/>
    <s v="Sep-2023"/>
  </r>
  <r>
    <n v="11936"/>
    <n v="32"/>
    <x v="1"/>
    <x v="1"/>
    <x v="17"/>
    <d v="2025-11-19T00:00:00"/>
    <x v="3"/>
    <x v="0"/>
    <s v="Inactive"/>
    <n v="9600"/>
    <x v="2"/>
    <s v="High Risk"/>
    <s v="Mar-2025"/>
  </r>
  <r>
    <n v="11937"/>
    <n v="42"/>
    <x v="0"/>
    <x v="0"/>
    <x v="777"/>
    <d v="2025-12-21T00:00:00"/>
    <x v="2"/>
    <x v="1"/>
    <s v="Active"/>
    <n v="1700"/>
    <x v="1"/>
    <s v="Safe"/>
    <s v="May-2025"/>
  </r>
  <r>
    <n v="11938"/>
    <n v="26"/>
    <x v="0"/>
    <x v="0"/>
    <x v="578"/>
    <d v="2025-12-21T00:00:00"/>
    <x v="2"/>
    <x v="1"/>
    <s v="Active"/>
    <n v="1700"/>
    <x v="2"/>
    <s v="Safe"/>
    <s v="Sep-2023"/>
  </r>
  <r>
    <n v="11939"/>
    <n v="21"/>
    <x v="0"/>
    <x v="1"/>
    <x v="21"/>
    <d v="2025-12-17T00:00:00"/>
    <x v="3"/>
    <x v="0"/>
    <s v="Active"/>
    <n v="9600"/>
    <x v="0"/>
    <s v="Safe"/>
    <s v="Sep-2024"/>
  </r>
  <r>
    <n v="11940"/>
    <n v="31"/>
    <x v="0"/>
    <x v="0"/>
    <x v="44"/>
    <d v="2025-10-23T00:00:00"/>
    <x v="0"/>
    <x v="0"/>
    <s v="Inactive"/>
    <n v="1200"/>
    <x v="2"/>
    <s v="High Risk"/>
    <s v="Nov-2025"/>
  </r>
  <r>
    <n v="11941"/>
    <n v="22"/>
    <x v="0"/>
    <x v="1"/>
    <x v="309"/>
    <d v="2026-01-10T00:00:00"/>
    <x v="1"/>
    <x v="1"/>
    <s v="Active"/>
    <n v="15600"/>
    <x v="0"/>
    <s v="Safe"/>
    <s v="Jan-2025"/>
  </r>
  <r>
    <n v="11942"/>
    <n v="19"/>
    <x v="1"/>
    <x v="2"/>
    <x v="755"/>
    <d v="2025-09-17T00:00:00"/>
    <x v="5"/>
    <x v="1"/>
    <s v="Inactive"/>
    <n v="4500"/>
    <x v="0"/>
    <s v="High Risk"/>
    <s v="Nov-2023"/>
  </r>
  <r>
    <n v="11943"/>
    <n v="28"/>
    <x v="0"/>
    <x v="1"/>
    <x v="778"/>
    <d v="2025-11-06T00:00:00"/>
    <x v="3"/>
    <x v="0"/>
    <s v="Inactive"/>
    <n v="9600"/>
    <x v="2"/>
    <s v="High Risk"/>
    <s v="Aug-2025"/>
  </r>
  <r>
    <n v="11944"/>
    <n v="26"/>
    <x v="1"/>
    <x v="0"/>
    <x v="164"/>
    <d v="2026-01-10T00:00:00"/>
    <x v="0"/>
    <x v="0"/>
    <s v="Active"/>
    <n v="1200"/>
    <x v="2"/>
    <s v="Safe"/>
    <s v="Nov-2025"/>
  </r>
  <r>
    <n v="11945"/>
    <n v="41"/>
    <x v="0"/>
    <x v="0"/>
    <x v="779"/>
    <d v="2025-12-23T00:00:00"/>
    <x v="0"/>
    <x v="0"/>
    <s v="Active"/>
    <n v="1200"/>
    <x v="1"/>
    <s v="Safe"/>
    <s v="Nov-2025"/>
  </r>
  <r>
    <n v="11946"/>
    <n v="20"/>
    <x v="1"/>
    <x v="0"/>
    <x v="500"/>
    <d v="2025-12-27T00:00:00"/>
    <x v="0"/>
    <x v="0"/>
    <s v="Active"/>
    <n v="1200"/>
    <x v="0"/>
    <s v="Safe"/>
    <s v="Jan-2025"/>
  </r>
  <r>
    <n v="11947"/>
    <n v="44"/>
    <x v="0"/>
    <x v="2"/>
    <x v="14"/>
    <d v="2025-12-24T00:00:00"/>
    <x v="5"/>
    <x v="1"/>
    <s v="Active"/>
    <n v="4500"/>
    <x v="1"/>
    <s v="Safe"/>
    <s v="Jan-2024"/>
  </r>
  <r>
    <n v="11948"/>
    <n v="45"/>
    <x v="1"/>
    <x v="2"/>
    <x v="512"/>
    <d v="2026-01-08T00:00:00"/>
    <x v="5"/>
    <x v="1"/>
    <s v="Active"/>
    <n v="4500"/>
    <x v="1"/>
    <s v="Safe"/>
    <s v="Jul-2024"/>
  </r>
  <r>
    <n v="11949"/>
    <n v="26"/>
    <x v="0"/>
    <x v="1"/>
    <x v="187"/>
    <d v="2025-12-20T00:00:00"/>
    <x v="1"/>
    <x v="1"/>
    <s v="Active"/>
    <n v="15600"/>
    <x v="2"/>
    <s v="Safe"/>
    <s v="Jan-2025"/>
  </r>
  <r>
    <n v="11950"/>
    <n v="20"/>
    <x v="0"/>
    <x v="0"/>
    <x v="558"/>
    <d v="2026-01-05T00:00:00"/>
    <x v="0"/>
    <x v="0"/>
    <s v="Active"/>
    <n v="1200"/>
    <x v="0"/>
    <s v="Safe"/>
    <s v="Aug-2025"/>
  </r>
  <r>
    <n v="11951"/>
    <n v="42"/>
    <x v="0"/>
    <x v="0"/>
    <x v="531"/>
    <d v="2025-12-30T00:00:00"/>
    <x v="0"/>
    <x v="0"/>
    <s v="Active"/>
    <n v="1200"/>
    <x v="1"/>
    <s v="Safe"/>
    <s v="Jan-2025"/>
  </r>
  <r>
    <n v="11952"/>
    <n v="19"/>
    <x v="1"/>
    <x v="0"/>
    <x v="561"/>
    <d v="2025-12-30T00:00:00"/>
    <x v="2"/>
    <x v="1"/>
    <s v="Active"/>
    <n v="1700"/>
    <x v="0"/>
    <s v="Safe"/>
    <s v="May-2025"/>
  </r>
  <r>
    <n v="11953"/>
    <n v="29"/>
    <x v="0"/>
    <x v="2"/>
    <x v="235"/>
    <d v="2026-01-02T00:00:00"/>
    <x v="4"/>
    <x v="0"/>
    <s v="Active"/>
    <n v="3000"/>
    <x v="2"/>
    <s v="Safe"/>
    <s v="May-2024"/>
  </r>
  <r>
    <n v="11954"/>
    <n v="27"/>
    <x v="1"/>
    <x v="1"/>
    <x v="271"/>
    <d v="2025-12-23T00:00:00"/>
    <x v="1"/>
    <x v="1"/>
    <s v="Active"/>
    <n v="15600"/>
    <x v="2"/>
    <s v="Safe"/>
    <s v="Aug-2024"/>
  </r>
  <r>
    <n v="11955"/>
    <n v="26"/>
    <x v="0"/>
    <x v="0"/>
    <x v="685"/>
    <d v="2026-01-08T00:00:00"/>
    <x v="0"/>
    <x v="0"/>
    <s v="Active"/>
    <n v="1200"/>
    <x v="2"/>
    <s v="Safe"/>
    <s v="Nov-2025"/>
  </r>
  <r>
    <n v="11956"/>
    <n v="32"/>
    <x v="1"/>
    <x v="2"/>
    <x v="780"/>
    <d v="2025-12-19T00:00:00"/>
    <x v="4"/>
    <x v="0"/>
    <s v="Active"/>
    <n v="3000"/>
    <x v="2"/>
    <s v="Safe"/>
    <s v="Jan-2024"/>
  </r>
  <r>
    <n v="11957"/>
    <n v="25"/>
    <x v="1"/>
    <x v="0"/>
    <x v="456"/>
    <d v="2026-01-05T00:00:00"/>
    <x v="2"/>
    <x v="1"/>
    <s v="Active"/>
    <n v="1700"/>
    <x v="2"/>
    <s v="Safe"/>
    <s v="Jan-2025"/>
  </r>
  <r>
    <n v="11958"/>
    <n v="42"/>
    <x v="1"/>
    <x v="2"/>
    <x v="194"/>
    <d v="2026-01-10T00:00:00"/>
    <x v="5"/>
    <x v="1"/>
    <s v="Active"/>
    <n v="4500"/>
    <x v="1"/>
    <s v="Safe"/>
    <s v="May-2025"/>
  </r>
  <r>
    <n v="11959"/>
    <n v="22"/>
    <x v="0"/>
    <x v="1"/>
    <x v="175"/>
    <d v="2025-12-30T00:00:00"/>
    <x v="3"/>
    <x v="0"/>
    <s v="Active"/>
    <n v="9600"/>
    <x v="0"/>
    <s v="Safe"/>
    <s v="Sep-2024"/>
  </r>
  <r>
    <n v="11960"/>
    <n v="28"/>
    <x v="0"/>
    <x v="0"/>
    <x v="732"/>
    <d v="2025-10-07T00:00:00"/>
    <x v="0"/>
    <x v="0"/>
    <s v="Inactive"/>
    <n v="1200"/>
    <x v="2"/>
    <s v="High Risk"/>
    <s v="Dec-2023"/>
  </r>
  <r>
    <n v="11961"/>
    <n v="44"/>
    <x v="1"/>
    <x v="0"/>
    <x v="515"/>
    <d v="2025-12-31T00:00:00"/>
    <x v="0"/>
    <x v="0"/>
    <s v="Active"/>
    <n v="1200"/>
    <x v="1"/>
    <s v="Safe"/>
    <s v="Nov-2025"/>
  </r>
  <r>
    <n v="11962"/>
    <n v="19"/>
    <x v="0"/>
    <x v="1"/>
    <x v="781"/>
    <d v="2026-01-10T00:00:00"/>
    <x v="3"/>
    <x v="0"/>
    <s v="Active"/>
    <n v="9600"/>
    <x v="0"/>
    <s v="Safe"/>
    <s v="Apr-2025"/>
  </r>
  <r>
    <n v="11963"/>
    <n v="41"/>
    <x v="0"/>
    <x v="1"/>
    <x v="100"/>
    <d v="2026-01-02T00:00:00"/>
    <x v="3"/>
    <x v="0"/>
    <s v="Active"/>
    <n v="9600"/>
    <x v="1"/>
    <s v="Safe"/>
    <s v="Aug-2024"/>
  </r>
  <r>
    <n v="11964"/>
    <n v="45"/>
    <x v="0"/>
    <x v="2"/>
    <x v="109"/>
    <d v="2025-12-23T00:00:00"/>
    <x v="5"/>
    <x v="1"/>
    <s v="Active"/>
    <n v="4500"/>
    <x v="1"/>
    <s v="Safe"/>
    <s v="May-2024"/>
  </r>
  <r>
    <n v="11965"/>
    <n v="32"/>
    <x v="1"/>
    <x v="2"/>
    <x v="394"/>
    <d v="2025-12-24T00:00:00"/>
    <x v="5"/>
    <x v="1"/>
    <s v="Active"/>
    <n v="4500"/>
    <x v="2"/>
    <s v="Safe"/>
    <s v="Feb-2025"/>
  </r>
  <r>
    <n v="11966"/>
    <n v="23"/>
    <x v="0"/>
    <x v="0"/>
    <x v="38"/>
    <d v="2025-09-25T00:00:00"/>
    <x v="0"/>
    <x v="0"/>
    <s v="Inactive"/>
    <n v="1200"/>
    <x v="0"/>
    <s v="High Risk"/>
    <s v="Sep-2024"/>
  </r>
  <r>
    <n v="11967"/>
    <n v="25"/>
    <x v="0"/>
    <x v="2"/>
    <x v="249"/>
    <d v="2025-12-11T00:00:00"/>
    <x v="5"/>
    <x v="1"/>
    <s v="Inactive"/>
    <n v="4500"/>
    <x v="2"/>
    <s v="High Risk"/>
    <s v="Jul-2024"/>
  </r>
  <r>
    <n v="11968"/>
    <n v="44"/>
    <x v="1"/>
    <x v="1"/>
    <x v="438"/>
    <d v="2025-12-25T00:00:00"/>
    <x v="3"/>
    <x v="0"/>
    <s v="Active"/>
    <n v="9600"/>
    <x v="1"/>
    <s v="Safe"/>
    <s v="Sep-2023"/>
  </r>
  <r>
    <n v="11969"/>
    <n v="22"/>
    <x v="0"/>
    <x v="2"/>
    <x v="656"/>
    <d v="2025-12-24T00:00:00"/>
    <x v="5"/>
    <x v="1"/>
    <s v="Active"/>
    <n v="4500"/>
    <x v="0"/>
    <s v="Safe"/>
    <s v="Oct-2024"/>
  </r>
  <r>
    <n v="11970"/>
    <n v="33"/>
    <x v="1"/>
    <x v="0"/>
    <x v="592"/>
    <d v="2026-01-02T00:00:00"/>
    <x v="2"/>
    <x v="1"/>
    <s v="Active"/>
    <n v="1700"/>
    <x v="2"/>
    <s v="Safe"/>
    <s v="Dec-2023"/>
  </r>
  <r>
    <n v="11971"/>
    <n v="43"/>
    <x v="0"/>
    <x v="0"/>
    <x v="735"/>
    <d v="2025-12-24T00:00:00"/>
    <x v="2"/>
    <x v="1"/>
    <s v="Active"/>
    <n v="1700"/>
    <x v="1"/>
    <s v="Safe"/>
    <s v="Mar-2024"/>
  </r>
  <r>
    <n v="11972"/>
    <n v="35"/>
    <x v="0"/>
    <x v="0"/>
    <x v="584"/>
    <d v="2025-09-24T00:00:00"/>
    <x v="0"/>
    <x v="0"/>
    <s v="Inactive"/>
    <n v="1200"/>
    <x v="1"/>
    <s v="High Risk"/>
    <s v="Dec-2024"/>
  </r>
  <r>
    <n v="11973"/>
    <n v="23"/>
    <x v="0"/>
    <x v="0"/>
    <x v="195"/>
    <d v="2026-01-07T00:00:00"/>
    <x v="2"/>
    <x v="1"/>
    <s v="Active"/>
    <n v="1700"/>
    <x v="0"/>
    <s v="Safe"/>
    <s v="Jan-2025"/>
  </r>
  <r>
    <n v="11974"/>
    <n v="22"/>
    <x v="0"/>
    <x v="0"/>
    <x v="18"/>
    <d v="2025-12-22T00:00:00"/>
    <x v="0"/>
    <x v="0"/>
    <s v="Active"/>
    <n v="1200"/>
    <x v="0"/>
    <s v="Safe"/>
    <s v="Jun-2025"/>
  </r>
  <r>
    <n v="11975"/>
    <n v="45"/>
    <x v="1"/>
    <x v="0"/>
    <x v="374"/>
    <d v="2025-12-29T00:00:00"/>
    <x v="0"/>
    <x v="0"/>
    <s v="Active"/>
    <n v="1200"/>
    <x v="1"/>
    <s v="Safe"/>
    <s v="Jun-2024"/>
  </r>
  <r>
    <n v="11976"/>
    <n v="33"/>
    <x v="0"/>
    <x v="0"/>
    <x v="741"/>
    <d v="2026-01-01T00:00:00"/>
    <x v="0"/>
    <x v="0"/>
    <s v="Active"/>
    <n v="1200"/>
    <x v="2"/>
    <s v="Safe"/>
    <s v="May-2025"/>
  </r>
  <r>
    <n v="11977"/>
    <n v="30"/>
    <x v="0"/>
    <x v="0"/>
    <x v="485"/>
    <d v="2026-01-02T00:00:00"/>
    <x v="0"/>
    <x v="0"/>
    <s v="Active"/>
    <n v="1200"/>
    <x v="2"/>
    <s v="Safe"/>
    <s v="Oct-2024"/>
  </r>
  <r>
    <n v="11978"/>
    <n v="45"/>
    <x v="0"/>
    <x v="2"/>
    <x v="269"/>
    <d v="2025-12-22T00:00:00"/>
    <x v="5"/>
    <x v="1"/>
    <s v="Active"/>
    <n v="4500"/>
    <x v="1"/>
    <s v="Safe"/>
    <s v="Feb-2025"/>
  </r>
  <r>
    <n v="11979"/>
    <n v="22"/>
    <x v="0"/>
    <x v="0"/>
    <x v="326"/>
    <d v="2025-10-04T00:00:00"/>
    <x v="0"/>
    <x v="0"/>
    <s v="Inactive"/>
    <n v="1200"/>
    <x v="0"/>
    <s v="High Risk"/>
    <s v="Nov-2023"/>
  </r>
  <r>
    <n v="11980"/>
    <n v="30"/>
    <x v="0"/>
    <x v="0"/>
    <x v="356"/>
    <d v="2025-11-05T00:00:00"/>
    <x v="2"/>
    <x v="1"/>
    <s v="Inactive"/>
    <n v="1700"/>
    <x v="2"/>
    <s v="High Risk"/>
    <s v="Sep-2024"/>
  </r>
  <r>
    <n v="11981"/>
    <n v="34"/>
    <x v="0"/>
    <x v="0"/>
    <x v="532"/>
    <d v="2025-09-29T00:00:00"/>
    <x v="0"/>
    <x v="0"/>
    <s v="Inactive"/>
    <n v="1200"/>
    <x v="2"/>
    <s v="High Risk"/>
    <s v="Sep-2024"/>
  </r>
  <r>
    <n v="11982"/>
    <n v="35"/>
    <x v="0"/>
    <x v="0"/>
    <x v="692"/>
    <d v="2026-01-01T00:00:00"/>
    <x v="2"/>
    <x v="1"/>
    <s v="Active"/>
    <n v="1700"/>
    <x v="1"/>
    <s v="Safe"/>
    <s v="Jan-2025"/>
  </r>
  <r>
    <n v="11983"/>
    <n v="25"/>
    <x v="1"/>
    <x v="2"/>
    <x v="464"/>
    <d v="2025-12-30T00:00:00"/>
    <x v="4"/>
    <x v="0"/>
    <s v="Active"/>
    <n v="3000"/>
    <x v="2"/>
    <s v="Safe"/>
    <s v="Sep-2024"/>
  </r>
  <r>
    <n v="11984"/>
    <n v="30"/>
    <x v="0"/>
    <x v="0"/>
    <x v="374"/>
    <d v="2026-01-09T00:00:00"/>
    <x v="0"/>
    <x v="0"/>
    <s v="Active"/>
    <n v="1200"/>
    <x v="2"/>
    <s v="Safe"/>
    <s v="Jun-2024"/>
  </r>
  <r>
    <n v="11985"/>
    <n v="36"/>
    <x v="0"/>
    <x v="1"/>
    <x v="471"/>
    <d v="2026-01-04T00:00:00"/>
    <x v="3"/>
    <x v="0"/>
    <s v="Active"/>
    <n v="9600"/>
    <x v="1"/>
    <s v="Safe"/>
    <s v="Oct-2024"/>
  </r>
  <r>
    <n v="11986"/>
    <n v="43"/>
    <x v="0"/>
    <x v="1"/>
    <x v="35"/>
    <d v="2026-01-07T00:00:00"/>
    <x v="3"/>
    <x v="0"/>
    <s v="Active"/>
    <n v="9600"/>
    <x v="1"/>
    <s v="Safe"/>
    <s v="Nov-2025"/>
  </r>
  <r>
    <n v="11987"/>
    <n v="20"/>
    <x v="1"/>
    <x v="2"/>
    <x v="365"/>
    <d v="2025-12-24T00:00:00"/>
    <x v="4"/>
    <x v="0"/>
    <s v="Active"/>
    <n v="3000"/>
    <x v="0"/>
    <s v="Safe"/>
    <s v="Mar-2025"/>
  </r>
  <r>
    <n v="11988"/>
    <n v="41"/>
    <x v="0"/>
    <x v="2"/>
    <x v="697"/>
    <d v="2026-01-08T00:00:00"/>
    <x v="5"/>
    <x v="1"/>
    <s v="Active"/>
    <n v="4500"/>
    <x v="1"/>
    <s v="Safe"/>
    <s v="May-2024"/>
  </r>
  <r>
    <n v="11989"/>
    <n v="25"/>
    <x v="0"/>
    <x v="1"/>
    <x v="782"/>
    <d v="2026-01-07T00:00:00"/>
    <x v="3"/>
    <x v="0"/>
    <s v="Active"/>
    <n v="9600"/>
    <x v="2"/>
    <s v="Safe"/>
    <s v="Nov-2023"/>
  </r>
  <r>
    <n v="11990"/>
    <n v="19"/>
    <x v="0"/>
    <x v="2"/>
    <x v="196"/>
    <d v="2025-11-22T00:00:00"/>
    <x v="5"/>
    <x v="1"/>
    <s v="Inactive"/>
    <n v="4500"/>
    <x v="0"/>
    <s v="High Risk"/>
    <s v="Aug-2024"/>
  </r>
  <r>
    <n v="11991"/>
    <n v="25"/>
    <x v="1"/>
    <x v="0"/>
    <x v="415"/>
    <d v="2025-09-28T00:00:00"/>
    <x v="0"/>
    <x v="0"/>
    <s v="Inactive"/>
    <n v="1200"/>
    <x v="2"/>
    <s v="High Risk"/>
    <s v="Jun-2024"/>
  </r>
  <r>
    <n v="11992"/>
    <n v="44"/>
    <x v="0"/>
    <x v="0"/>
    <x v="137"/>
    <d v="2026-01-01T00:00:00"/>
    <x v="0"/>
    <x v="0"/>
    <s v="Active"/>
    <n v="1200"/>
    <x v="1"/>
    <s v="Safe"/>
    <s v="Apr-2025"/>
  </r>
  <r>
    <n v="11993"/>
    <n v="30"/>
    <x v="1"/>
    <x v="1"/>
    <x v="456"/>
    <d v="2025-12-18T00:00:00"/>
    <x v="3"/>
    <x v="0"/>
    <s v="Active"/>
    <n v="9600"/>
    <x v="2"/>
    <s v="Safe"/>
    <s v="Jan-2025"/>
  </r>
  <r>
    <n v="11994"/>
    <n v="30"/>
    <x v="0"/>
    <x v="0"/>
    <x v="765"/>
    <d v="2025-10-16T00:00:00"/>
    <x v="0"/>
    <x v="0"/>
    <s v="Inactive"/>
    <n v="1200"/>
    <x v="2"/>
    <s v="High Risk"/>
    <s v="Dec-2024"/>
  </r>
  <r>
    <n v="11995"/>
    <n v="18"/>
    <x v="0"/>
    <x v="0"/>
    <x v="91"/>
    <d v="2026-01-06T00:00:00"/>
    <x v="0"/>
    <x v="0"/>
    <s v="Active"/>
    <n v="1200"/>
    <x v="0"/>
    <s v="Safe"/>
    <s v="Sep-2025"/>
  </r>
  <r>
    <n v="11996"/>
    <n v="23"/>
    <x v="1"/>
    <x v="2"/>
    <x v="707"/>
    <d v="2026-01-04T00:00:00"/>
    <x v="4"/>
    <x v="0"/>
    <s v="Active"/>
    <n v="3000"/>
    <x v="0"/>
    <s v="Safe"/>
    <s v="Mar-2024"/>
  </r>
  <r>
    <n v="11997"/>
    <n v="41"/>
    <x v="0"/>
    <x v="1"/>
    <x v="724"/>
    <d v="2025-12-31T00:00:00"/>
    <x v="1"/>
    <x v="1"/>
    <s v="Active"/>
    <n v="15600"/>
    <x v="1"/>
    <s v="Safe"/>
    <s v="Jan-2024"/>
  </r>
  <r>
    <n v="11998"/>
    <n v="36"/>
    <x v="1"/>
    <x v="0"/>
    <x v="404"/>
    <d v="2025-12-26T00:00:00"/>
    <x v="0"/>
    <x v="0"/>
    <s v="Active"/>
    <n v="1200"/>
    <x v="1"/>
    <s v="Safe"/>
    <s v="Jul-2024"/>
  </r>
  <r>
    <n v="11999"/>
    <n v="33"/>
    <x v="1"/>
    <x v="2"/>
    <x v="783"/>
    <d v="2026-01-07T00:00:00"/>
    <x v="4"/>
    <x v="0"/>
    <s v="Active"/>
    <n v="3000"/>
    <x v="2"/>
    <s v="Safe"/>
    <s v="Jan-2025"/>
  </r>
  <r>
    <n v="12000"/>
    <n v="25"/>
    <x v="1"/>
    <x v="0"/>
    <x v="662"/>
    <d v="2025-12-27T00:00:00"/>
    <x v="0"/>
    <x v="0"/>
    <s v="Active"/>
    <n v="1200"/>
    <x v="2"/>
    <s v="Safe"/>
    <s v="Mar-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979E7-FDCB-48BA-BE36-36A7D5E56499}" name="best pla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0" firstHeaderRow="1" firstDataRow="1" firstDataCol="1"/>
  <pivotFields count="15">
    <pivotField showAll="0"/>
    <pivotField showAll="0"/>
    <pivotField showAll="0">
      <items count="3">
        <item x="1"/>
        <item x="0"/>
        <item t="default"/>
      </items>
    </pivotField>
    <pivotField showAll="0"/>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axis="axisRow" showAll="0">
      <items count="7">
        <item x="3"/>
        <item x="4"/>
        <item x="0"/>
        <item x="1"/>
        <item x="5"/>
        <item x="2"/>
        <item t="default"/>
      </items>
    </pivotField>
    <pivotField showAll="0"/>
    <pivotField showAll="0"/>
    <pivotField dataField="1" showAll="0"/>
    <pivotField showAll="0">
      <items count="4">
        <item h="1" x="0"/>
        <item h="1"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_Revenue" fld="9" showDataAs="percentOfCol" baseField="0" baseItem="0" numFmtId="10"/>
  </dataFields>
  <pivotTableStyleInfo name="PivotStyleLight16" showRowHeaders="1" showColHeaders="1" showRowStripes="0" showColStripes="0" showLastColumn="1"/>
  <filters count="1">
    <filter fld="4" type="dateBetween" evalOrder="-1" id="350" name="Join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021D72-F787-434A-8A6A-677E2BCC05EF}" name="male and fem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6" firstHeaderRow="1" firstDataRow="1" firstDataCol="1"/>
  <pivotFields count="15">
    <pivotField dataField="1" showAll="0"/>
    <pivotField showAll="0"/>
    <pivotField axis="axisRow" showAll="0">
      <items count="3">
        <item x="1"/>
        <item x="0"/>
        <item t="default"/>
      </items>
    </pivotField>
    <pivotField showAll="0">
      <items count="4">
        <item x="0"/>
        <item x="2"/>
        <item x="1"/>
        <item t="default"/>
      </items>
    </pivotField>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showAll="0">
      <items count="7">
        <item x="3"/>
        <item h="1" x="4"/>
        <item h="1" x="0"/>
        <item h="1" x="1"/>
        <item h="1" x="5"/>
        <item h="1" x="2"/>
        <item t="default"/>
      </items>
    </pivotField>
    <pivotField showAll="0"/>
    <pivotField showAll="0"/>
    <pivotField showAll="0"/>
    <pivotField showAll="0">
      <items count="4">
        <item h="1" x="0"/>
        <item h="1"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3">
    <i>
      <x/>
    </i>
    <i>
      <x v="1"/>
    </i>
    <i t="grand">
      <x/>
    </i>
  </rowItems>
  <colItems count="1">
    <i/>
  </colItems>
  <dataFields count="1">
    <dataField name="Count of member_id" fld="0" subtotal="count" baseField="2" baseItem="0"/>
  </dataFields>
  <pivotTableStyleInfo name="PivotStyleLight16" showRowHeaders="1" showColHeaders="1" showRowStripes="0" showColStripes="0" showLastColumn="1"/>
  <filters count="1">
    <filter fld="4" type="dateBetween" evalOrder="-1" id="350" name="Join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5BCEA-49ED-4DB6-B4EA-7D061C6969CB}" name="membership by age grp"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7" firstHeaderRow="1" firstDataRow="1" firstDataCol="1"/>
  <pivotFields count="15">
    <pivotField dataField="1" showAll="0"/>
    <pivotField showAll="0"/>
    <pivotField showAll="0">
      <items count="3">
        <item x="1"/>
        <item x="0"/>
        <item t="default"/>
      </items>
    </pivotField>
    <pivotField showAll="0"/>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showAll="0">
      <items count="7">
        <item x="3"/>
        <item h="1" x="4"/>
        <item h="1" x="0"/>
        <item h="1" x="1"/>
        <item h="1" x="5"/>
        <item h="1" x="2"/>
        <item t="default"/>
      </items>
    </pivotField>
    <pivotField showAll="0"/>
    <pivotField showAll="0"/>
    <pivotField showAll="0"/>
    <pivotField axis="axisRow"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Count of memb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50" name="Join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596A6E-3C8F-4F08-978C-2CDA4829C016}" name="revenue by plan typ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0" firstHeaderRow="1" firstDataRow="1" firstDataCol="1"/>
  <pivotFields count="15">
    <pivotField showAll="0"/>
    <pivotField showAll="0"/>
    <pivotField showAll="0">
      <items count="3">
        <item x="1"/>
        <item x="0"/>
        <item t="default"/>
      </items>
    </pivotField>
    <pivotField showAll="0"/>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axis="axisRow" showAll="0">
      <items count="7">
        <item x="3"/>
        <item x="4"/>
        <item x="0"/>
        <item x="1"/>
        <item x="5"/>
        <item x="2"/>
        <item t="default"/>
      </items>
    </pivotField>
    <pivotField showAll="0"/>
    <pivotField showAll="0"/>
    <pivotField dataField="1" showAll="0"/>
    <pivotField showAll="0">
      <items count="4">
        <item h="1" x="0"/>
        <item h="1"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_Revenue" fld="9"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50" name="Join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EF163-ADEA-468E-A61B-E01D0EB43AA1}" name="pt opted bs not opte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5" firstHeaderRow="1" firstDataRow="1" firstDataCol="1"/>
  <pivotFields count="15">
    <pivotField dataField="1" showAll="0"/>
    <pivotField showAll="0"/>
    <pivotField showAll="0">
      <items count="3">
        <item x="1"/>
        <item x="0"/>
        <item t="default"/>
      </items>
    </pivotField>
    <pivotField showAll="0"/>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showAll="0">
      <items count="7">
        <item x="3"/>
        <item h="1" x="4"/>
        <item h="1" x="0"/>
        <item h="1" x="1"/>
        <item h="1" x="5"/>
        <item h="1" x="2"/>
        <item t="default"/>
      </items>
    </pivotField>
    <pivotField axis="axisRow" showAll="0">
      <items count="3">
        <item x="0"/>
        <item x="1"/>
        <item t="default"/>
      </items>
    </pivotField>
    <pivotField showAll="0"/>
    <pivotField showAll="0"/>
    <pivotField showAll="0">
      <items count="4">
        <item h="1" x="0"/>
        <item h="1"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2">
    <i>
      <x/>
    </i>
    <i t="grand">
      <x/>
    </i>
  </rowItems>
  <colItems count="1">
    <i/>
  </colItems>
  <dataFields count="1">
    <dataField name="Count of member_id" fld="0" subtotal="count" baseField="7" baseItem="0"/>
  </dataFields>
  <chartFormats count="5">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4" type="dateBetween" evalOrder="-1" id="350" name="Join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536464-B56D-44B9-9B77-30243A836F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3:R16" firstHeaderRow="1" firstDataRow="1" firstDataCol="1"/>
  <pivotFields count="15">
    <pivotField showAll="0"/>
    <pivotField showAll="0"/>
    <pivotField axis="axisRow" showAll="0">
      <items count="3">
        <item x="1"/>
        <item x="0"/>
        <item t="default"/>
      </items>
    </pivotField>
    <pivotField dataField="1" showAll="0"/>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showAll="0">
      <items count="7">
        <item x="3"/>
        <item x="4"/>
        <item x="0"/>
        <item x="1"/>
        <item x="5"/>
        <item x="2"/>
        <item t="default"/>
      </items>
    </pivotField>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2"/>
  </rowFields>
  <rowItems count="3">
    <i>
      <x/>
    </i>
    <i>
      <x v="1"/>
    </i>
    <i t="grand">
      <x/>
    </i>
  </rowItems>
  <colItems count="1">
    <i/>
  </colItems>
  <dataFields count="1">
    <dataField name="Count of Plan_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BCD3CE-1AD8-4124-BE9E-5B7069F22793}" name="Revenue by age grp"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B27" firstHeaderRow="1" firstDataRow="1" firstDataCol="1"/>
  <pivotFields count="15">
    <pivotField showAll="0"/>
    <pivotField showAll="0"/>
    <pivotField showAll="0">
      <items count="3">
        <item x="1"/>
        <item x="0"/>
        <item t="default"/>
      </items>
    </pivotField>
    <pivotField showAll="0"/>
    <pivotField numFmtId="164" showAll="0">
      <items count="785">
        <item x="526"/>
        <item x="626"/>
        <item x="489"/>
        <item x="359"/>
        <item x="121"/>
        <item x="527"/>
        <item x="704"/>
        <item x="311"/>
        <item x="108"/>
        <item x="128"/>
        <item x="220"/>
        <item x="461"/>
        <item x="449"/>
        <item x="727"/>
        <item x="744"/>
        <item x="742"/>
        <item x="36"/>
        <item x="709"/>
        <item x="486"/>
        <item x="507"/>
        <item x="316"/>
        <item x="562"/>
        <item x="546"/>
        <item x="495"/>
        <item x="669"/>
        <item x="632"/>
        <item x="312"/>
        <item x="746"/>
        <item x="279"/>
        <item x="425"/>
        <item x="385"/>
        <item x="422"/>
        <item x="711"/>
        <item x="618"/>
        <item x="92"/>
        <item x="102"/>
        <item x="189"/>
        <item x="658"/>
        <item x="670"/>
        <item x="146"/>
        <item x="689"/>
        <item x="252"/>
        <item x="499"/>
        <item x="315"/>
        <item x="614"/>
        <item x="749"/>
        <item x="161"/>
        <item x="183"/>
        <item x="260"/>
        <item x="314"/>
        <item x="421"/>
        <item x="438"/>
        <item x="41"/>
        <item x="106"/>
        <item x="67"/>
        <item x="154"/>
        <item x="691"/>
        <item x="246"/>
        <item x="571"/>
        <item x="578"/>
        <item x="47"/>
        <item x="380"/>
        <item x="131"/>
        <item x="687"/>
        <item x="435"/>
        <item x="191"/>
        <item x="286"/>
        <item x="84"/>
        <item x="265"/>
        <item x="259"/>
        <item x="62"/>
        <item x="119"/>
        <item x="303"/>
        <item x="442"/>
        <item x="293"/>
        <item x="140"/>
        <item x="69"/>
        <item x="239"/>
        <item x="595"/>
        <item x="498"/>
        <item x="10"/>
        <item x="712"/>
        <item x="743"/>
        <item x="343"/>
        <item x="273"/>
        <item x="201"/>
        <item x="255"/>
        <item x="521"/>
        <item x="370"/>
        <item x="372"/>
        <item x="698"/>
        <item x="416"/>
        <item x="766"/>
        <item x="375"/>
        <item x="573"/>
        <item x="233"/>
        <item x="755"/>
        <item x="225"/>
        <item x="519"/>
        <item x="326"/>
        <item x="78"/>
        <item x="13"/>
        <item x="180"/>
        <item x="30"/>
        <item x="460"/>
        <item x="245"/>
        <item x="248"/>
        <item x="208"/>
        <item x="388"/>
        <item x="122"/>
        <item x="432"/>
        <item x="693"/>
        <item x="782"/>
        <item x="358"/>
        <item x="376"/>
        <item x="348"/>
        <item x="453"/>
        <item x="569"/>
        <item x="287"/>
        <item x="592"/>
        <item x="325"/>
        <item x="767"/>
        <item x="68"/>
        <item x="479"/>
        <item x="523"/>
        <item x="258"/>
        <item x="488"/>
        <item x="502"/>
        <item x="267"/>
        <item x="424"/>
        <item x="720"/>
        <item x="130"/>
        <item x="90"/>
        <item x="514"/>
        <item x="428"/>
        <item x="732"/>
        <item x="382"/>
        <item x="352"/>
        <item x="591"/>
        <item x="117"/>
        <item x="386"/>
        <item x="554"/>
        <item x="156"/>
        <item x="724"/>
        <item x="610"/>
        <item x="605"/>
        <item x="14"/>
        <item x="549"/>
        <item x="533"/>
        <item x="642"/>
        <item x="34"/>
        <item x="540"/>
        <item x="317"/>
        <item x="328"/>
        <item x="775"/>
        <item x="417"/>
        <item x="468"/>
        <item x="368"/>
        <item x="757"/>
        <item x="411"/>
        <item x="635"/>
        <item x="633"/>
        <item x="327"/>
        <item x="339"/>
        <item x="780"/>
        <item x="153"/>
        <item x="184"/>
        <item x="705"/>
        <item x="103"/>
        <item x="448"/>
        <item x="548"/>
        <item x="330"/>
        <item x="544"/>
        <item x="660"/>
        <item x="83"/>
        <item x="480"/>
        <item x="469"/>
        <item x="135"/>
        <item x="751"/>
        <item x="363"/>
        <item x="111"/>
        <item x="285"/>
        <item x="373"/>
        <item x="761"/>
        <item x="216"/>
        <item x="611"/>
        <item x="525"/>
        <item x="16"/>
        <item x="147"/>
        <item x="413"/>
        <item x="576"/>
        <item x="529"/>
        <item x="263"/>
        <item x="572"/>
        <item x="54"/>
        <item x="737"/>
        <item x="4"/>
        <item x="662"/>
        <item x="517"/>
        <item x="598"/>
        <item x="654"/>
        <item x="722"/>
        <item x="753"/>
        <item x="284"/>
        <item x="46"/>
        <item x="524"/>
        <item x="760"/>
        <item x="28"/>
        <item x="640"/>
        <item x="681"/>
        <item x="702"/>
        <item x="57"/>
        <item x="613"/>
        <item x="238"/>
        <item x="547"/>
        <item x="735"/>
        <item x="503"/>
        <item x="713"/>
        <item x="351"/>
        <item x="85"/>
        <item x="99"/>
        <item x="707"/>
        <item x="528"/>
        <item x="390"/>
        <item x="97"/>
        <item x="360"/>
        <item x="210"/>
        <item x="769"/>
        <item x="222"/>
        <item x="257"/>
        <item x="535"/>
        <item x="391"/>
        <item x="81"/>
        <item x="281"/>
        <item x="221"/>
        <item x="323"/>
        <item x="98"/>
        <item x="155"/>
        <item x="387"/>
        <item x="674"/>
        <item x="141"/>
        <item x="22"/>
        <item x="95"/>
        <item x="200"/>
        <item x="70"/>
        <item x="169"/>
        <item x="647"/>
        <item x="288"/>
        <item x="553"/>
        <item x="747"/>
        <item x="82"/>
        <item x="392"/>
        <item x="109"/>
        <item x="20"/>
        <item x="235"/>
        <item x="447"/>
        <item x="745"/>
        <item x="695"/>
        <item x="506"/>
        <item x="115"/>
        <item x="52"/>
        <item x="332"/>
        <item x="151"/>
        <item x="636"/>
        <item x="355"/>
        <item x="541"/>
        <item x="89"/>
        <item x="648"/>
        <item x="606"/>
        <item x="66"/>
        <item x="725"/>
        <item x="420"/>
        <item x="668"/>
        <item x="434"/>
        <item x="29"/>
        <item x="644"/>
        <item x="631"/>
        <item x="697"/>
        <item x="696"/>
        <item x="125"/>
        <item x="116"/>
        <item x="520"/>
        <item x="455"/>
        <item x="609"/>
        <item x="415"/>
        <item x="40"/>
        <item x="276"/>
        <item x="136"/>
        <item x="564"/>
        <item x="620"/>
        <item x="624"/>
        <item x="33"/>
        <item x="295"/>
        <item x="374"/>
        <item x="181"/>
        <item x="101"/>
        <item x="362"/>
        <item x="679"/>
        <item x="429"/>
        <item x="550"/>
        <item x="454"/>
        <item x="458"/>
        <item x="12"/>
        <item x="227"/>
        <item x="395"/>
        <item x="234"/>
        <item x="723"/>
        <item x="262"/>
        <item x="490"/>
        <item x="264"/>
        <item x="512"/>
        <item x="37"/>
        <item x="94"/>
        <item x="282"/>
        <item x="405"/>
        <item x="383"/>
        <item x="261"/>
        <item x="404"/>
        <item x="152"/>
        <item x="249"/>
        <item x="86"/>
        <item x="134"/>
        <item x="168"/>
        <item x="414"/>
        <item x="643"/>
        <item x="268"/>
        <item x="639"/>
        <item x="406"/>
        <item x="371"/>
        <item x="587"/>
        <item x="270"/>
        <item x="241"/>
        <item x="196"/>
        <item x="752"/>
        <item x="219"/>
        <item x="342"/>
        <item x="384"/>
        <item x="452"/>
        <item x="100"/>
        <item x="206"/>
        <item x="597"/>
        <item x="310"/>
        <item x="167"/>
        <item x="204"/>
        <item x="59"/>
        <item x="675"/>
        <item x="271"/>
        <item x="224"/>
        <item x="199"/>
        <item x="217"/>
        <item x="459"/>
        <item x="740"/>
        <item x="318"/>
        <item x="719"/>
        <item x="678"/>
        <item x="49"/>
        <item x="401"/>
        <item x="627"/>
        <item x="430"/>
        <item x="714"/>
        <item x="412"/>
        <item x="706"/>
        <item x="464"/>
        <item x="398"/>
        <item x="5"/>
        <item x="79"/>
        <item x="21"/>
        <item x="534"/>
        <item x="483"/>
        <item x="748"/>
        <item x="378"/>
        <item x="356"/>
        <item x="197"/>
        <item x="38"/>
        <item x="322"/>
        <item x="275"/>
        <item x="481"/>
        <item x="465"/>
        <item x="532"/>
        <item x="292"/>
        <item x="617"/>
        <item x="193"/>
        <item x="175"/>
        <item x="601"/>
        <item x="645"/>
        <item x="132"/>
        <item x="444"/>
        <item x="243"/>
        <item x="64"/>
        <item x="403"/>
        <item x="485"/>
        <item x="353"/>
        <item x="589"/>
        <item x="522"/>
        <item x="123"/>
        <item x="419"/>
        <item x="300"/>
        <item x="306"/>
        <item x="236"/>
        <item x="23"/>
        <item x="721"/>
        <item x="542"/>
        <item x="656"/>
        <item x="112"/>
        <item x="73"/>
        <item x="244"/>
        <item x="603"/>
        <item x="338"/>
        <item x="31"/>
        <item x="145"/>
        <item x="616"/>
        <item x="621"/>
        <item x="731"/>
        <item x="575"/>
        <item x="763"/>
        <item x="579"/>
        <item x="471"/>
        <item x="55"/>
        <item x="602"/>
        <item x="594"/>
        <item x="759"/>
        <item x="157"/>
        <item x="369"/>
        <item x="466"/>
        <item x="214"/>
        <item x="730"/>
        <item x="149"/>
        <item x="344"/>
        <item x="172"/>
        <item x="508"/>
        <item x="750"/>
        <item x="764"/>
        <item x="174"/>
        <item x="518"/>
        <item x="494"/>
        <item x="114"/>
        <item x="440"/>
        <item x="367"/>
        <item x="628"/>
        <item x="638"/>
        <item x="568"/>
        <item x="409"/>
        <item x="110"/>
        <item x="396"/>
        <item x="313"/>
        <item x="513"/>
        <item x="536"/>
        <item x="71"/>
        <item x="361"/>
        <item x="570"/>
        <item x="565"/>
        <item x="657"/>
        <item x="699"/>
        <item x="463"/>
        <item x="296"/>
        <item x="357"/>
        <item x="555"/>
        <item x="307"/>
        <item x="6"/>
        <item x="765"/>
        <item x="574"/>
        <item x="584"/>
        <item x="56"/>
        <item x="563"/>
        <item x="148"/>
        <item x="138"/>
        <item x="3"/>
        <item x="205"/>
        <item x="19"/>
        <item x="566"/>
        <item x="93"/>
        <item x="426"/>
        <item x="87"/>
        <item x="629"/>
        <item x="451"/>
        <item x="692"/>
        <item x="456"/>
        <item x="641"/>
        <item x="185"/>
        <item x="427"/>
        <item x="195"/>
        <item x="247"/>
        <item x="694"/>
        <item x="42"/>
        <item x="531"/>
        <item x="207"/>
        <item x="63"/>
        <item x="683"/>
        <item x="716"/>
        <item x="321"/>
        <item x="309"/>
        <item x="661"/>
        <item x="400"/>
        <item x="187"/>
        <item x="770"/>
        <item x="783"/>
        <item x="124"/>
        <item x="673"/>
        <item x="500"/>
        <item x="96"/>
        <item x="443"/>
        <item x="304"/>
        <item x="274"/>
        <item x="203"/>
        <item x="457"/>
        <item x="585"/>
        <item x="708"/>
        <item x="646"/>
        <item x="634"/>
        <item x="467"/>
        <item x="497"/>
        <item x="51"/>
        <item x="539"/>
        <item x="581"/>
        <item x="113"/>
        <item x="394"/>
        <item x="772"/>
        <item x="120"/>
        <item x="39"/>
        <item x="655"/>
        <item x="340"/>
        <item x="269"/>
        <item x="677"/>
        <item x="232"/>
        <item x="768"/>
        <item x="331"/>
        <item x="9"/>
        <item x="510"/>
        <item x="441"/>
        <item x="61"/>
        <item x="280"/>
        <item x="250"/>
        <item x="53"/>
        <item x="26"/>
        <item x="334"/>
        <item x="190"/>
        <item x="389"/>
        <item x="680"/>
        <item x="596"/>
        <item x="253"/>
        <item x="11"/>
        <item x="511"/>
        <item x="229"/>
        <item x="754"/>
        <item x="301"/>
        <item x="365"/>
        <item x="17"/>
        <item x="127"/>
        <item x="215"/>
        <item x="665"/>
        <item x="682"/>
        <item x="622"/>
        <item x="299"/>
        <item x="619"/>
        <item x="538"/>
        <item x="738"/>
        <item x="397"/>
        <item x="65"/>
        <item x="159"/>
        <item x="170"/>
        <item x="667"/>
        <item x="163"/>
        <item x="107"/>
        <item x="781"/>
        <item x="242"/>
        <item x="346"/>
        <item x="350"/>
        <item x="552"/>
        <item x="462"/>
        <item x="349"/>
        <item x="176"/>
        <item x="439"/>
        <item x="560"/>
        <item x="202"/>
        <item x="226"/>
        <item x="144"/>
        <item x="700"/>
        <item x="604"/>
        <item x="88"/>
        <item x="776"/>
        <item x="335"/>
        <item x="625"/>
        <item x="137"/>
        <item x="290"/>
        <item x="407"/>
        <item x="686"/>
        <item x="423"/>
        <item x="736"/>
        <item x="491"/>
        <item x="607"/>
        <item x="777"/>
        <item x="278"/>
        <item x="2"/>
        <item x="158"/>
        <item x="60"/>
        <item x="408"/>
        <item x="319"/>
        <item x="337"/>
        <item x="289"/>
        <item x="684"/>
        <item x="133"/>
        <item x="608"/>
        <item x="487"/>
        <item x="482"/>
        <item x="715"/>
        <item x="728"/>
        <item x="561"/>
        <item x="139"/>
        <item x="472"/>
        <item x="478"/>
        <item x="734"/>
        <item x="664"/>
        <item x="741"/>
        <item x="188"/>
        <item x="194"/>
        <item x="505"/>
        <item x="291"/>
        <item x="320"/>
        <item x="612"/>
        <item x="308"/>
        <item x="18"/>
        <item x="192"/>
        <item x="399"/>
        <item x="710"/>
        <item x="672"/>
        <item x="171"/>
        <item x="366"/>
        <item x="105"/>
        <item x="623"/>
        <item x="173"/>
        <item x="501"/>
        <item x="182"/>
        <item x="7"/>
        <item x="663"/>
        <item x="251"/>
        <item x="756"/>
        <item x="377"/>
        <item x="484"/>
        <item x="50"/>
        <item x="703"/>
        <item x="436"/>
        <item x="256"/>
        <item x="437"/>
        <item x="1"/>
        <item x="297"/>
        <item x="77"/>
        <item x="126"/>
        <item x="586"/>
        <item x="433"/>
        <item x="649"/>
        <item x="652"/>
        <item x="530"/>
        <item x="213"/>
        <item x="476"/>
        <item x="341"/>
        <item x="211"/>
        <item x="492"/>
        <item x="324"/>
        <item x="733"/>
        <item x="651"/>
        <item x="418"/>
        <item x="577"/>
        <item x="593"/>
        <item x="27"/>
        <item x="701"/>
        <item x="537"/>
        <item x="223"/>
        <item x="80"/>
        <item x="402"/>
        <item x="231"/>
        <item x="475"/>
        <item x="237"/>
        <item x="76"/>
        <item x="272"/>
        <item x="551"/>
        <item x="446"/>
        <item x="545"/>
        <item x="266"/>
        <item x="160"/>
        <item x="354"/>
        <item x="228"/>
        <item x="218"/>
        <item x="773"/>
        <item x="558"/>
        <item x="671"/>
        <item x="580"/>
        <item x="165"/>
        <item x="470"/>
        <item x="718"/>
        <item x="762"/>
        <item x="283"/>
        <item x="778"/>
        <item x="150"/>
        <item x="557"/>
        <item x="600"/>
        <item x="178"/>
        <item x="142"/>
        <item x="690"/>
        <item x="473"/>
        <item x="15"/>
        <item x="599"/>
        <item x="726"/>
        <item x="583"/>
        <item x="298"/>
        <item x="43"/>
        <item x="186"/>
        <item x="240"/>
        <item x="329"/>
        <item x="75"/>
        <item x="345"/>
        <item x="431"/>
        <item x="32"/>
        <item x="91"/>
        <item x="445"/>
        <item x="302"/>
        <item x="474"/>
        <item x="637"/>
        <item x="58"/>
        <item x="676"/>
        <item x="305"/>
        <item x="166"/>
        <item x="177"/>
        <item x="277"/>
        <item x="659"/>
        <item x="347"/>
        <item x="567"/>
        <item x="74"/>
        <item x="630"/>
        <item x="254"/>
        <item x="143"/>
        <item x="198"/>
        <item x="129"/>
        <item x="590"/>
        <item x="179"/>
        <item x="582"/>
        <item x="717"/>
        <item x="8"/>
        <item x="45"/>
        <item x="758"/>
        <item x="379"/>
        <item x="118"/>
        <item x="381"/>
        <item x="509"/>
        <item x="333"/>
        <item x="336"/>
        <item x="774"/>
        <item x="688"/>
        <item x="588"/>
        <item x="104"/>
        <item x="393"/>
        <item x="477"/>
        <item x="294"/>
        <item x="24"/>
        <item x="410"/>
        <item x="162"/>
        <item x="779"/>
        <item x="450"/>
        <item x="615"/>
        <item x="771"/>
        <item x="44"/>
        <item x="504"/>
        <item x="556"/>
        <item x="72"/>
        <item x="685"/>
        <item x="739"/>
        <item x="35"/>
        <item x="364"/>
        <item x="653"/>
        <item x="496"/>
        <item x="164"/>
        <item x="515"/>
        <item x="209"/>
        <item x="650"/>
        <item x="729"/>
        <item x="0"/>
        <item x="25"/>
        <item x="559"/>
        <item x="212"/>
        <item x="516"/>
        <item x="493"/>
        <item x="48"/>
        <item x="543"/>
        <item x="230"/>
        <item x="666"/>
        <item t="default"/>
      </items>
    </pivotField>
    <pivotField numFmtId="164" showAll="0"/>
    <pivotField dataField="1" showAll="0">
      <items count="7">
        <item x="3"/>
        <item h="1" x="4"/>
        <item h="1" x="0"/>
        <item h="1" x="1"/>
        <item h="1" x="5"/>
        <item h="1" x="2"/>
        <item t="default"/>
      </items>
    </pivotField>
    <pivotField showAll="0"/>
    <pivotField showAll="0"/>
    <pivotField showAll="0"/>
    <pivotField axis="axisRow" showAll="0">
      <items count="4">
        <item x="0"/>
        <item x="2"/>
        <item x="1"/>
        <item t="default"/>
      </items>
    </pivotField>
    <pivotField showAll="0"/>
    <pivotField showAl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Monthly_Fee" fld="6" baseField="10" baseItem="0"/>
  </dataFields>
  <pivotTableStyleInfo name="PivotStyleLight16" showRowHeaders="1" showColHeaders="1" showRowStripes="0" showColStripes="0" showLastColumn="1"/>
  <filters count="1">
    <filter fld="4" type="dateBetween" evalOrder="-1" id="350" name="Join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71F6EE-CB5B-4B1D-A991-C5DBA3417C98}" sourceName="Gender">
  <pivotTables>
    <pivotTable tabId="14" name="best plan"/>
    <pivotTable tabId="16" name="membership by age grp"/>
    <pivotTable tabId="18" name="pt opted bs not opted"/>
    <pivotTable tabId="19" name="Revenue by age grp"/>
    <pivotTable tabId="17" name="revenue by plan type"/>
  </pivotTables>
  <data>
    <tabular pivotCacheId="37725227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AE51036F-2D41-42EE-B57F-FD45939AF5B8}" sourceName="Plan_Type">
  <pivotTables>
    <pivotTable tabId="15" name="male and female"/>
  </pivotTables>
  <data>
    <tabular pivotCacheId="377252278">
      <items count="3">
        <i x="1" s="1"/>
        <i x="0"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_Stage" xr10:uid="{AE494B72-9CB5-4083-8AA5-743E6024FE2A}" sourceName="Group_Stage">
  <pivotTables>
    <pivotTable tabId="14" name="best plan"/>
    <pivotTable tabId="15" name="male and female"/>
    <pivotTable tabId="18" name="pt opted bs not opted"/>
    <pivotTable tabId="17" name="revenue by plan type"/>
  </pivotTables>
  <data>
    <tabular pivotCacheId="377252278">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Fee" xr10:uid="{47782072-E22B-4CE7-B316-AA551552101B}" sourceName="Monthly_Fee">
  <pivotTables>
    <pivotTable tabId="15" name="male and female"/>
    <pivotTable tabId="16" name="membership by age grp"/>
    <pivotTable tabId="18" name="pt opted bs not opted"/>
    <pivotTable tabId="19" name="Revenue by age grp"/>
  </pivotTables>
  <data>
    <tabular pivotCacheId="377252278">
      <items count="6">
        <i x="3" s="1"/>
        <i x="4"/>
        <i x="0"/>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A68C0B8-C831-4479-BA14-60737C23B179}" cache="Slicer_Gender" caption="Gender" rowHeight="241300"/>
  <slicer name="Plan_Type" xr10:uid="{87F92C13-8376-4EB5-AD03-EA23EFEA8C56}" cache="Slicer_Plan_Type" caption="Plan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420D017-66BE-4012-A379-45C61A8AF239}" cache="Slicer_Gender" caption="Gender" rowHeight="241300"/>
  <slicer name="Group_Stage" xr10:uid="{A80DC8A9-2AE3-4F9E-B078-FDCB477DF893}" cache="Slicer_Group_Stage" caption="Group_Stage" showCaption="0" rowHeight="241300"/>
  <slicer name="Monthly_Fee" xr10:uid="{57CBB711-DA78-44F4-A40C-FB2B88653D26}" cache="Slicer_Monthly_Fee" caption="Monthly_Fe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BB78F8C-B1BC-40CD-B648-BC6C338D5383}" cache="Slicer_Gender" caption="Gender" columnCount="2" rowHeight="241300"/>
  <slicer name="Group_Stage 1" xr10:uid="{629A9F3A-BB30-44D9-9134-3215F0A0A9D7}" cache="Slicer_Group_Stage" caption="Group_Stage" columnCount="3" showCaption="0" rowHeight="241300"/>
  <slicer name="Monthly_Fee 1" xr10:uid="{48CB5C9C-128E-46BD-8166-09274D75F02B}" cache="Slicer_Monthly_Fee" caption="Monthly_Fee"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6E75C-CF62-4DAE-A265-BDB7F1E9D1D1}" name="Table1" displayName="Table1" ref="A1:M2001" totalsRowShown="0" headerRowDxfId="2">
  <autoFilter ref="A1:M2001" xr:uid="{6956E75C-CF62-4DAE-A265-BDB7F1E9D1D1}"/>
  <tableColumns count="13">
    <tableColumn id="1" xr3:uid="{4A833558-024B-4800-9197-897D17EDC783}" name="member_id"/>
    <tableColumn id="2" xr3:uid="{EDCD3ABA-E716-4929-AC33-184ADD8FF503}" name="Age"/>
    <tableColumn id="3" xr3:uid="{52A43791-A8B8-41F7-A5E7-5E9168FE05EA}" name="Gender"/>
    <tableColumn id="4" xr3:uid="{FD6CAD27-1ECD-4C15-84CA-D87061A033BF}" name="Plan_Type"/>
    <tableColumn id="5" xr3:uid="{230A506A-364D-4EC8-A245-C601352BE49E}" name="Join_Date" dataDxfId="1"/>
    <tableColumn id="6" xr3:uid="{220D056B-3E1D-48C1-8008-2FE231912073}" name="Last_Date" dataDxfId="0"/>
    <tableColumn id="7" xr3:uid="{5D7AE614-DBE3-4706-A51E-E44B67EABBA2}" name="Monthly_Fee"/>
    <tableColumn id="8" xr3:uid="{3E5C53A7-176C-44B2-B0F0-9FECE5D83B7F}" name="PT_Opted"/>
    <tableColumn id="9" xr3:uid="{B91AEF5F-D4C9-4122-9E9B-CD26BA8E0477}" name="Status"/>
    <tableColumn id="10" xr3:uid="{3D7AD281-5F9E-4494-B76B-F9E3D5C9C37B}" name="Total_Revenue">
      <calculatedColumnFormula>IF(D2="Monthly",G2,IF(D2="Quarterly",G2*3,G2*12))</calculatedColumnFormula>
    </tableColumn>
    <tableColumn id="11" xr3:uid="{078A5FB5-8915-4635-BE12-1217E9D3673C}" name="Group_Stage">
      <calculatedColumnFormula>IF(B2&lt;25,"18-24",IF(B2&lt;35,"25-34","35+"))</calculatedColumnFormula>
    </tableColumn>
    <tableColumn id="12" xr3:uid="{2AC0DFAE-838F-4FBB-A733-50A653A7E0E8}" name="Member_type">
      <calculatedColumnFormula>IF(F2&lt;TODAY()-30,"High Risk","Safe")</calculatedColumnFormula>
    </tableColumn>
    <tableColumn id="13" xr3:uid="{726227F2-0291-4354-A830-71B385D93C11}" name="Month">
      <calculatedColumnFormula>TEXT(E2,"mmm-yyyy")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C8720944-8E70-46B9-BAFF-51D3BE53F7FB}" sourceName="Join_Date">
  <pivotTables>
    <pivotTable tabId="19" name="Revenue by age grp"/>
    <pivotTable tabId="14" name="best plan"/>
    <pivotTable tabId="15" name="male and female"/>
    <pivotTable tabId="16" name="membership by age grp"/>
    <pivotTable tabId="18" name="pt opted bs not opted"/>
    <pivotTable tabId="17" name="revenue by plan type"/>
  </pivotTables>
  <state minimalRefreshVersion="6" lastRefreshVersion="6" pivotCacheId="377252278" filterType="dateBetween">
    <selection startDate="2024-07-01T00:00:00" endDate="2024-09-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_Date" xr10:uid="{D900BF3B-823B-4187-ABF3-1C51ABD1884F}" cache="NativeTimeline_Join_Date" caption="Join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_Date 1" xr10:uid="{8946C64E-EF2F-4325-9BF4-EF0684715E61}" cache="NativeTimeline_Join_Date" caption="Join_Date" level="1" selectionLevel="1" scrollPosition="2024-04-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04E2-7CFD-4275-A0C7-3CA42D226C4A}">
  <dimension ref="A3:E10"/>
  <sheetViews>
    <sheetView workbookViewId="0">
      <selection activeCell="A6" sqref="A6"/>
    </sheetView>
  </sheetViews>
  <sheetFormatPr defaultRowHeight="14.5" x14ac:dyDescent="0.35"/>
  <cols>
    <col min="1" max="1" width="12.36328125" bestFit="1" customWidth="1"/>
    <col min="2" max="2" width="19.7265625" bestFit="1" customWidth="1"/>
  </cols>
  <sheetData>
    <row r="3" spans="1:5" x14ac:dyDescent="0.35">
      <c r="A3" s="5" t="s">
        <v>21</v>
      </c>
      <c r="B3" t="s">
        <v>23</v>
      </c>
    </row>
    <row r="4" spans="1:5" x14ac:dyDescent="0.35">
      <c r="A4" s="6">
        <v>800</v>
      </c>
      <c r="B4" s="7">
        <v>0.42756680731364277</v>
      </c>
      <c r="E4" s="9">
        <f>IFERROR(INDEX(A4:A9, MATCH(MAX(B4:B9),B4:B9,0)),0)</f>
        <v>800</v>
      </c>
    </row>
    <row r="5" spans="1:5" x14ac:dyDescent="0.35">
      <c r="A5" s="6">
        <v>1000</v>
      </c>
      <c r="B5" s="7">
        <v>5.6258790436005623E-2</v>
      </c>
    </row>
    <row r="6" spans="1:5" x14ac:dyDescent="0.35">
      <c r="A6" s="6">
        <v>1200</v>
      </c>
      <c r="B6" s="7">
        <v>6.4697609001406475E-2</v>
      </c>
    </row>
    <row r="7" spans="1:5" x14ac:dyDescent="0.35">
      <c r="A7" s="6">
        <v>1300</v>
      </c>
      <c r="B7" s="7">
        <v>0.25597749648382562</v>
      </c>
    </row>
    <row r="8" spans="1:5" x14ac:dyDescent="0.35">
      <c r="A8" s="6">
        <v>1500</v>
      </c>
      <c r="B8" s="7">
        <v>0.14767932489451477</v>
      </c>
    </row>
    <row r="9" spans="1:5" x14ac:dyDescent="0.35">
      <c r="A9" s="6">
        <v>1700</v>
      </c>
      <c r="B9" s="7">
        <v>4.7819971870604779E-2</v>
      </c>
    </row>
    <row r="10" spans="1:5" x14ac:dyDescent="0.35">
      <c r="A10" s="6" t="s">
        <v>22</v>
      </c>
      <c r="B10"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0DE5-D927-4C53-89D1-270D4D30615F}">
  <dimension ref="A3:C11"/>
  <sheetViews>
    <sheetView zoomScale="79" workbookViewId="0">
      <selection activeCell="AC27" sqref="AC27"/>
    </sheetView>
  </sheetViews>
  <sheetFormatPr defaultRowHeight="14.5" x14ac:dyDescent="0.35"/>
  <cols>
    <col min="1" max="1" width="13.08984375" bestFit="1" customWidth="1"/>
    <col min="2" max="2" width="18.36328125" bestFit="1" customWidth="1"/>
  </cols>
  <sheetData>
    <row r="3" spans="1:3" x14ac:dyDescent="0.35">
      <c r="A3" s="5" t="s">
        <v>21</v>
      </c>
      <c r="B3" t="s">
        <v>27</v>
      </c>
    </row>
    <row r="4" spans="1:3" x14ac:dyDescent="0.35">
      <c r="A4" s="6" t="s">
        <v>10</v>
      </c>
      <c r="B4" s="13">
        <v>7</v>
      </c>
    </row>
    <row r="5" spans="1:3" x14ac:dyDescent="0.35">
      <c r="A5" s="6" t="s">
        <v>9</v>
      </c>
      <c r="B5" s="13">
        <v>12</v>
      </c>
    </row>
    <row r="6" spans="1:3" x14ac:dyDescent="0.35">
      <c r="A6" s="6" t="s">
        <v>22</v>
      </c>
      <c r="B6" s="13">
        <v>19</v>
      </c>
    </row>
    <row r="10" spans="1:3" x14ac:dyDescent="0.35">
      <c r="A10" t="s">
        <v>30</v>
      </c>
      <c r="B10">
        <f>IFERROR(GETPIVOTDATA("member_id",$A$3,"Gender","F"),0)</f>
        <v>7</v>
      </c>
      <c r="C10" s="10">
        <f>IFERROR(B10/($B$10+$B$11),0)</f>
        <v>0.36842105263157893</v>
      </c>
    </row>
    <row r="11" spans="1:3" x14ac:dyDescent="0.35">
      <c r="A11" t="s">
        <v>31</v>
      </c>
      <c r="B11">
        <f>IFERROR(GETPIVOTDATA("member_id",$A$3,"Gender","M"),0)</f>
        <v>12</v>
      </c>
      <c r="C11" s="10">
        <f>IFERROR(B11/($B$10+$B$11),0)</f>
        <v>0.63157894736842102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6E7FC-0108-4112-882D-C5860C01CF3F}">
  <dimension ref="A3:B7"/>
  <sheetViews>
    <sheetView workbookViewId="0">
      <selection activeCell="B6" sqref="B6"/>
    </sheetView>
  </sheetViews>
  <sheetFormatPr defaultRowHeight="14.5" x14ac:dyDescent="0.35"/>
  <cols>
    <col min="1" max="1" width="12.36328125" bestFit="1" customWidth="1"/>
    <col min="2" max="2" width="18.36328125" bestFit="1" customWidth="1"/>
  </cols>
  <sheetData>
    <row r="3" spans="1:2" x14ac:dyDescent="0.35">
      <c r="A3" s="5" t="s">
        <v>21</v>
      </c>
      <c r="B3" t="s">
        <v>27</v>
      </c>
    </row>
    <row r="4" spans="1:2" x14ac:dyDescent="0.35">
      <c r="A4" s="6" t="s">
        <v>24</v>
      </c>
      <c r="B4" s="13">
        <v>6</v>
      </c>
    </row>
    <row r="5" spans="1:2" x14ac:dyDescent="0.35">
      <c r="A5" s="6" t="s">
        <v>25</v>
      </c>
      <c r="B5" s="13">
        <v>13</v>
      </c>
    </row>
    <row r="6" spans="1:2" x14ac:dyDescent="0.35">
      <c r="A6" s="6" t="s">
        <v>26</v>
      </c>
      <c r="B6" s="13">
        <v>19</v>
      </c>
    </row>
    <row r="7" spans="1:2" x14ac:dyDescent="0.35">
      <c r="A7" s="6" t="s">
        <v>22</v>
      </c>
      <c r="B7" s="13">
        <v>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DD00-DE1F-442E-AA88-F606859C5E41}">
  <dimension ref="A3:B10"/>
  <sheetViews>
    <sheetView workbookViewId="0">
      <selection activeCell="B8" sqref="B8"/>
    </sheetView>
  </sheetViews>
  <sheetFormatPr defaultRowHeight="14.5" x14ac:dyDescent="0.35"/>
  <cols>
    <col min="1" max="1" width="12.36328125" bestFit="1" customWidth="1"/>
    <col min="2" max="2" width="19.7265625" bestFit="1" customWidth="1"/>
  </cols>
  <sheetData>
    <row r="3" spans="1:2" x14ac:dyDescent="0.35">
      <c r="A3" s="5" t="s">
        <v>21</v>
      </c>
      <c r="B3" t="s">
        <v>23</v>
      </c>
    </row>
    <row r="4" spans="1:2" x14ac:dyDescent="0.35">
      <c r="A4" s="6">
        <v>800</v>
      </c>
      <c r="B4">
        <v>182400</v>
      </c>
    </row>
    <row r="5" spans="1:2" x14ac:dyDescent="0.35">
      <c r="A5" s="6">
        <v>1000</v>
      </c>
      <c r="B5">
        <v>24000</v>
      </c>
    </row>
    <row r="6" spans="1:2" x14ac:dyDescent="0.35">
      <c r="A6" s="6">
        <v>1200</v>
      </c>
      <c r="B6">
        <v>27600</v>
      </c>
    </row>
    <row r="7" spans="1:2" x14ac:dyDescent="0.35">
      <c r="A7" s="6">
        <v>1300</v>
      </c>
      <c r="B7">
        <v>109200</v>
      </c>
    </row>
    <row r="8" spans="1:2" x14ac:dyDescent="0.35">
      <c r="A8" s="6">
        <v>1500</v>
      </c>
      <c r="B8">
        <v>63000</v>
      </c>
    </row>
    <row r="9" spans="1:2" x14ac:dyDescent="0.35">
      <c r="A9" s="6">
        <v>1700</v>
      </c>
      <c r="B9">
        <v>20400</v>
      </c>
    </row>
    <row r="10" spans="1:2" x14ac:dyDescent="0.35">
      <c r="A10" s="6" t="s">
        <v>22</v>
      </c>
      <c r="B10">
        <v>426600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8DE0-E923-4AD2-913D-F2D8A37DF1EC}">
  <dimension ref="A3:B17"/>
  <sheetViews>
    <sheetView workbookViewId="0">
      <selection activeCell="A17" sqref="A17"/>
    </sheetView>
  </sheetViews>
  <sheetFormatPr defaultRowHeight="14.5" x14ac:dyDescent="0.35"/>
  <cols>
    <col min="1" max="1" width="12.36328125" bestFit="1" customWidth="1"/>
    <col min="2" max="2" width="18.36328125" bestFit="1" customWidth="1"/>
  </cols>
  <sheetData>
    <row r="3" spans="1:2" x14ac:dyDescent="0.35">
      <c r="A3" s="5" t="s">
        <v>21</v>
      </c>
      <c r="B3" t="s">
        <v>27</v>
      </c>
    </row>
    <row r="4" spans="1:2" x14ac:dyDescent="0.35">
      <c r="A4" s="6" t="s">
        <v>14</v>
      </c>
      <c r="B4" s="13">
        <v>19</v>
      </c>
    </row>
    <row r="5" spans="1:2" x14ac:dyDescent="0.35">
      <c r="A5" s="6" t="s">
        <v>22</v>
      </c>
      <c r="B5" s="13">
        <v>19</v>
      </c>
    </row>
    <row r="15" spans="1:2" x14ac:dyDescent="0.35">
      <c r="A15" t="s">
        <v>33</v>
      </c>
    </row>
    <row r="16" spans="1:2" x14ac:dyDescent="0.35">
      <c r="A16" t="s">
        <v>34</v>
      </c>
    </row>
    <row r="17" spans="1:1" x14ac:dyDescent="0.35">
      <c r="A17" t="s">
        <v>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02"/>
  <sheetViews>
    <sheetView topLeftCell="C1721" workbookViewId="0">
      <selection activeCell="J1983" sqref="J1983"/>
    </sheetView>
  </sheetViews>
  <sheetFormatPr defaultRowHeight="14.5" x14ac:dyDescent="0.35"/>
  <cols>
    <col min="1" max="1" width="15" bestFit="1" customWidth="1"/>
    <col min="2" max="2" width="8.453125" bestFit="1" customWidth="1"/>
    <col min="3" max="3" width="11.54296875" bestFit="1" customWidth="1"/>
    <col min="4" max="4" width="14" bestFit="1" customWidth="1"/>
    <col min="5" max="5" width="13.6328125" bestFit="1" customWidth="1"/>
    <col min="6" max="6" width="13.7265625" bestFit="1" customWidth="1"/>
    <col min="7" max="7" width="16.36328125" bestFit="1" customWidth="1"/>
    <col min="8" max="8" width="13.7265625" bestFit="1" customWidth="1"/>
    <col min="9" max="9" width="10.6328125" bestFit="1" customWidth="1"/>
    <col min="10" max="10" width="17.90625" bestFit="1" customWidth="1"/>
    <col min="11" max="11" width="16.1796875" bestFit="1" customWidth="1"/>
    <col min="12" max="12" width="17.26953125" bestFit="1" customWidth="1"/>
    <col min="13" max="13" width="11.08984375" bestFit="1" customWidth="1"/>
    <col min="15" max="15" width="10.08984375" bestFit="1" customWidth="1"/>
    <col min="17" max="17" width="13.7265625" bestFit="1" customWidth="1"/>
  </cols>
  <sheetData>
    <row r="1" spans="1:18" x14ac:dyDescent="0.35">
      <c r="A1" s="1" t="s">
        <v>0</v>
      </c>
      <c r="B1" s="1" t="s">
        <v>1</v>
      </c>
      <c r="C1" s="1" t="s">
        <v>2</v>
      </c>
      <c r="D1" s="1" t="s">
        <v>3</v>
      </c>
      <c r="E1" s="1" t="s">
        <v>4</v>
      </c>
      <c r="F1" s="1" t="s">
        <v>5</v>
      </c>
      <c r="G1" s="1" t="s">
        <v>6</v>
      </c>
      <c r="H1" s="1" t="s">
        <v>7</v>
      </c>
      <c r="I1" s="1" t="s">
        <v>8</v>
      </c>
      <c r="J1" s="3" t="s">
        <v>18</v>
      </c>
      <c r="K1" s="3" t="s">
        <v>19</v>
      </c>
      <c r="L1" s="3" t="s">
        <v>20</v>
      </c>
      <c r="M1" s="3" t="s">
        <v>28</v>
      </c>
    </row>
    <row r="2" spans="1:18" x14ac:dyDescent="0.35">
      <c r="A2">
        <v>10001</v>
      </c>
      <c r="B2">
        <v>24</v>
      </c>
      <c r="C2" t="s">
        <v>9</v>
      </c>
      <c r="D2" t="s">
        <v>11</v>
      </c>
      <c r="E2" s="2">
        <v>45994</v>
      </c>
      <c r="F2" s="2">
        <v>46027</v>
      </c>
      <c r="G2">
        <v>1200</v>
      </c>
      <c r="H2" t="s">
        <v>14</v>
      </c>
      <c r="I2" t="s">
        <v>16</v>
      </c>
      <c r="J2">
        <f>IF(D2="Monthly",G2,IF(D2="Quarterly",G2*3,G2*12))</f>
        <v>1200</v>
      </c>
      <c r="K2" t="str">
        <f t="shared" ref="K2:K65" si="0">IF(B2&lt;25,"18-24",IF(B2&lt;35,"25-34","35+"))</f>
        <v>18-24</v>
      </c>
      <c r="L2" t="str">
        <f ca="1">IF(F2&lt;TODAY()-30,"High Risk","Safe")</f>
        <v>Safe</v>
      </c>
      <c r="M2" t="str">
        <f>TEXT(E2,"mmm-yyyy")</f>
        <v>Dec-2025</v>
      </c>
      <c r="O2">
        <f>COUNTA(A:A)-1</f>
        <v>2000</v>
      </c>
      <c r="R2">
        <f>SUM(J:J)</f>
        <v>9206300</v>
      </c>
    </row>
    <row r="3" spans="1:18" x14ac:dyDescent="0.35">
      <c r="A3">
        <v>10002</v>
      </c>
      <c r="B3">
        <v>37</v>
      </c>
      <c r="C3" t="s">
        <v>9</v>
      </c>
      <c r="D3" t="s">
        <v>12</v>
      </c>
      <c r="E3" s="2">
        <v>45842</v>
      </c>
      <c r="F3" s="2">
        <v>46032</v>
      </c>
      <c r="G3">
        <v>1300</v>
      </c>
      <c r="H3" t="s">
        <v>15</v>
      </c>
      <c r="I3" t="s">
        <v>16</v>
      </c>
      <c r="J3">
        <f t="shared" ref="J3:J66" si="1">IF(D3="Monthly",G3,IF(D3="Quarterly",G3*3,G3*12))</f>
        <v>15600</v>
      </c>
      <c r="K3" t="str">
        <f t="shared" si="0"/>
        <v>35+</v>
      </c>
      <c r="L3" t="str">
        <f t="shared" ref="L3:L66" ca="1" si="2">IF(F3&lt;TODAY()-30,"High Risk","Safe")</f>
        <v>Safe</v>
      </c>
      <c r="M3" t="str">
        <f t="shared" ref="M3:M66" si="3">TEXT(E3,"mmm-yyyy")</f>
        <v>Jul-2025</v>
      </c>
      <c r="O3" s="4"/>
      <c r="Q3" s="8">
        <f>SUM(Table1[Total_Revenue])</f>
        <v>9206300</v>
      </c>
    </row>
    <row r="4" spans="1:18" x14ac:dyDescent="0.35">
      <c r="A4">
        <v>10003</v>
      </c>
      <c r="B4">
        <v>32</v>
      </c>
      <c r="C4" t="s">
        <v>9</v>
      </c>
      <c r="D4" t="s">
        <v>11</v>
      </c>
      <c r="E4" s="2">
        <v>45784</v>
      </c>
      <c r="F4" s="2">
        <v>46030</v>
      </c>
      <c r="G4">
        <v>1700</v>
      </c>
      <c r="H4" t="s">
        <v>15</v>
      </c>
      <c r="I4" t="s">
        <v>16</v>
      </c>
      <c r="J4">
        <f t="shared" si="1"/>
        <v>1700</v>
      </c>
      <c r="K4" t="str">
        <f t="shared" si="0"/>
        <v>25-34</v>
      </c>
      <c r="L4" t="str">
        <f t="shared" ca="1" si="2"/>
        <v>Safe</v>
      </c>
      <c r="M4" t="str">
        <f t="shared" si="3"/>
        <v>May-2025</v>
      </c>
    </row>
    <row r="5" spans="1:18" x14ac:dyDescent="0.35">
      <c r="A5">
        <v>10004</v>
      </c>
      <c r="B5">
        <v>28</v>
      </c>
      <c r="C5" t="s">
        <v>9</v>
      </c>
      <c r="D5" t="s">
        <v>12</v>
      </c>
      <c r="E5" s="2">
        <v>45648</v>
      </c>
      <c r="F5" s="2">
        <v>45920</v>
      </c>
      <c r="G5">
        <v>800</v>
      </c>
      <c r="H5" t="s">
        <v>14</v>
      </c>
      <c r="I5" t="s">
        <v>17</v>
      </c>
      <c r="J5">
        <f t="shared" si="1"/>
        <v>9600</v>
      </c>
      <c r="K5" t="str">
        <f t="shared" si="0"/>
        <v>25-34</v>
      </c>
      <c r="L5" t="str">
        <f t="shared" ca="1" si="2"/>
        <v>High Risk</v>
      </c>
      <c r="M5" t="str">
        <f t="shared" si="3"/>
        <v>Dec-2024</v>
      </c>
      <c r="P5">
        <f>COUNTA(Table1[member_id])</f>
        <v>2000</v>
      </c>
    </row>
    <row r="6" spans="1:18" x14ac:dyDescent="0.35">
      <c r="A6">
        <v>10005</v>
      </c>
      <c r="B6">
        <v>25</v>
      </c>
      <c r="C6" t="s">
        <v>9</v>
      </c>
      <c r="D6" t="s">
        <v>13</v>
      </c>
      <c r="E6" s="2">
        <v>45351</v>
      </c>
      <c r="F6" s="2">
        <v>45923</v>
      </c>
      <c r="G6">
        <v>1000</v>
      </c>
      <c r="H6" t="s">
        <v>14</v>
      </c>
      <c r="I6" t="s">
        <v>17</v>
      </c>
      <c r="J6">
        <f t="shared" si="1"/>
        <v>3000</v>
      </c>
      <c r="K6" t="str">
        <f t="shared" si="0"/>
        <v>25-34</v>
      </c>
      <c r="L6" t="str">
        <f t="shared" ca="1" si="2"/>
        <v>High Risk</v>
      </c>
      <c r="M6" t="str">
        <f t="shared" si="3"/>
        <v>Feb-2024</v>
      </c>
    </row>
    <row r="7" spans="1:18" x14ac:dyDescent="0.35">
      <c r="A7">
        <v>10006</v>
      </c>
      <c r="B7">
        <v>38</v>
      </c>
      <c r="C7" t="s">
        <v>10</v>
      </c>
      <c r="D7" t="s">
        <v>12</v>
      </c>
      <c r="E7" s="2">
        <v>45538</v>
      </c>
      <c r="F7" s="2">
        <v>45979</v>
      </c>
      <c r="G7">
        <v>800</v>
      </c>
      <c r="H7" t="s">
        <v>14</v>
      </c>
      <c r="I7" t="s">
        <v>17</v>
      </c>
      <c r="J7">
        <f t="shared" si="1"/>
        <v>9600</v>
      </c>
      <c r="K7" t="str">
        <f t="shared" si="0"/>
        <v>35+</v>
      </c>
      <c r="L7" t="str">
        <f t="shared" ca="1" si="2"/>
        <v>High Risk</v>
      </c>
      <c r="M7" t="str">
        <f t="shared" si="3"/>
        <v>Sep-2024</v>
      </c>
      <c r="Q7">
        <f>COUNTIF(Table1[Status],"Active")</f>
        <v>1516</v>
      </c>
    </row>
    <row r="8" spans="1:18" x14ac:dyDescent="0.35">
      <c r="A8">
        <v>10007</v>
      </c>
      <c r="B8">
        <v>24</v>
      </c>
      <c r="C8" t="s">
        <v>9</v>
      </c>
      <c r="D8" t="s">
        <v>13</v>
      </c>
      <c r="E8" s="2">
        <v>45640</v>
      </c>
      <c r="F8" s="2">
        <v>46023</v>
      </c>
      <c r="G8">
        <v>1000</v>
      </c>
      <c r="H8" t="s">
        <v>14</v>
      </c>
      <c r="I8" t="s">
        <v>16</v>
      </c>
      <c r="J8">
        <f t="shared" si="1"/>
        <v>3000</v>
      </c>
      <c r="K8" t="str">
        <f t="shared" si="0"/>
        <v>18-24</v>
      </c>
      <c r="L8" t="str">
        <f t="shared" ca="1" si="2"/>
        <v>Safe</v>
      </c>
      <c r="M8" t="str">
        <f t="shared" si="3"/>
        <v>Dec-2024</v>
      </c>
    </row>
    <row r="9" spans="1:18" x14ac:dyDescent="0.35">
      <c r="A9">
        <v>10008</v>
      </c>
      <c r="B9">
        <v>43</v>
      </c>
      <c r="C9" t="s">
        <v>9</v>
      </c>
      <c r="D9" t="s">
        <v>13</v>
      </c>
      <c r="E9" s="2">
        <v>45827</v>
      </c>
      <c r="F9" s="2">
        <v>46017</v>
      </c>
      <c r="G9">
        <v>1500</v>
      </c>
      <c r="H9" t="s">
        <v>15</v>
      </c>
      <c r="I9" t="s">
        <v>16</v>
      </c>
      <c r="J9">
        <f t="shared" si="1"/>
        <v>4500</v>
      </c>
      <c r="K9" t="str">
        <f t="shared" si="0"/>
        <v>35+</v>
      </c>
      <c r="L9" t="str">
        <f t="shared" ca="1" si="2"/>
        <v>Safe</v>
      </c>
      <c r="M9" t="str">
        <f t="shared" si="3"/>
        <v>Jun-2025</v>
      </c>
    </row>
    <row r="10" spans="1:18" x14ac:dyDescent="0.35">
      <c r="A10">
        <v>10009</v>
      </c>
      <c r="B10">
        <v>36</v>
      </c>
      <c r="C10" t="s">
        <v>9</v>
      </c>
      <c r="D10" t="s">
        <v>11</v>
      </c>
      <c r="E10" s="2">
        <v>45953</v>
      </c>
      <c r="F10" s="2">
        <v>46008</v>
      </c>
      <c r="G10">
        <v>1200</v>
      </c>
      <c r="H10" t="s">
        <v>14</v>
      </c>
      <c r="I10" t="s">
        <v>16</v>
      </c>
      <c r="J10">
        <f t="shared" si="1"/>
        <v>1200</v>
      </c>
      <c r="K10" t="str">
        <f t="shared" si="0"/>
        <v>35+</v>
      </c>
      <c r="L10" t="str">
        <f t="shared" ca="1" si="2"/>
        <v>Safe</v>
      </c>
      <c r="M10" t="str">
        <f t="shared" si="3"/>
        <v>Oct-2025</v>
      </c>
      <c r="Q10" s="7">
        <f>COUNTIF(Table1[Status],"Inactive")/COUNTA(Table1[Status])</f>
        <v>0.24199999999999999</v>
      </c>
    </row>
    <row r="11" spans="1:18" x14ac:dyDescent="0.35">
      <c r="A11">
        <v>10010</v>
      </c>
      <c r="B11">
        <v>40</v>
      </c>
      <c r="C11" t="s">
        <v>10</v>
      </c>
      <c r="D11" t="s">
        <v>12</v>
      </c>
      <c r="E11" s="2">
        <v>45714</v>
      </c>
      <c r="F11" s="2">
        <v>46032</v>
      </c>
      <c r="G11">
        <v>1300</v>
      </c>
      <c r="H11" t="s">
        <v>15</v>
      </c>
      <c r="I11" t="s">
        <v>16</v>
      </c>
      <c r="J11">
        <f t="shared" si="1"/>
        <v>15600</v>
      </c>
      <c r="K11" t="str">
        <f t="shared" si="0"/>
        <v>35+</v>
      </c>
      <c r="L11" t="str">
        <f t="shared" ca="1" si="2"/>
        <v>Safe</v>
      </c>
      <c r="M11" t="str">
        <f t="shared" si="3"/>
        <v>Feb-2025</v>
      </c>
    </row>
    <row r="12" spans="1:18" x14ac:dyDescent="0.35">
      <c r="A12">
        <v>10011</v>
      </c>
      <c r="B12">
        <v>28</v>
      </c>
      <c r="C12" t="s">
        <v>10</v>
      </c>
      <c r="D12" t="s">
        <v>11</v>
      </c>
      <c r="E12" s="2">
        <v>45220</v>
      </c>
      <c r="F12" s="2">
        <v>46021</v>
      </c>
      <c r="G12">
        <v>1200</v>
      </c>
      <c r="H12" t="s">
        <v>14</v>
      </c>
      <c r="I12" t="s">
        <v>16</v>
      </c>
      <c r="J12">
        <f t="shared" si="1"/>
        <v>1200</v>
      </c>
      <c r="K12" t="str">
        <f t="shared" si="0"/>
        <v>25-34</v>
      </c>
      <c r="L12" t="str">
        <f t="shared" ca="1" si="2"/>
        <v>Safe</v>
      </c>
      <c r="M12" t="str">
        <f t="shared" si="3"/>
        <v>Oct-2023</v>
      </c>
    </row>
    <row r="13" spans="1:18" x14ac:dyDescent="0.35">
      <c r="A13">
        <v>10012</v>
      </c>
      <c r="B13">
        <v>28</v>
      </c>
      <c r="C13" t="s">
        <v>9</v>
      </c>
      <c r="D13" t="s">
        <v>13</v>
      </c>
      <c r="E13" s="2">
        <v>45729</v>
      </c>
      <c r="F13" s="2">
        <v>46022</v>
      </c>
      <c r="G13">
        <v>1500</v>
      </c>
      <c r="H13" t="s">
        <v>15</v>
      </c>
      <c r="I13" t="s">
        <v>16</v>
      </c>
      <c r="J13">
        <f t="shared" si="1"/>
        <v>4500</v>
      </c>
      <c r="K13" t="str">
        <f t="shared" si="0"/>
        <v>25-34</v>
      </c>
      <c r="L13" t="str">
        <f t="shared" ca="1" si="2"/>
        <v>Safe</v>
      </c>
      <c r="M13" t="str">
        <f t="shared" si="3"/>
        <v>Mar-2025</v>
      </c>
      <c r="P13">
        <f>COUNTIF(Table1[Group_Stage],"35+")</f>
        <v>803</v>
      </c>
    </row>
    <row r="14" spans="1:18" x14ac:dyDescent="0.35">
      <c r="A14">
        <v>10013</v>
      </c>
      <c r="B14">
        <v>41</v>
      </c>
      <c r="C14" t="s">
        <v>10</v>
      </c>
      <c r="D14" t="s">
        <v>12</v>
      </c>
      <c r="E14" s="2">
        <v>45469</v>
      </c>
      <c r="F14" s="2">
        <v>46022</v>
      </c>
      <c r="G14">
        <v>800</v>
      </c>
      <c r="H14" t="s">
        <v>14</v>
      </c>
      <c r="I14" t="s">
        <v>16</v>
      </c>
      <c r="J14">
        <f t="shared" si="1"/>
        <v>9600</v>
      </c>
      <c r="K14" t="str">
        <f t="shared" si="0"/>
        <v>35+</v>
      </c>
      <c r="L14" t="str">
        <f t="shared" ca="1" si="2"/>
        <v>Safe</v>
      </c>
      <c r="M14" t="str">
        <f t="shared" si="3"/>
        <v>Jun-2024</v>
      </c>
    </row>
    <row r="15" spans="1:18" x14ac:dyDescent="0.35">
      <c r="A15">
        <v>10014</v>
      </c>
      <c r="B15">
        <v>38</v>
      </c>
      <c r="C15" t="s">
        <v>9</v>
      </c>
      <c r="D15" t="s">
        <v>13</v>
      </c>
      <c r="E15" s="2">
        <v>45648</v>
      </c>
      <c r="F15" s="2">
        <v>46026</v>
      </c>
      <c r="G15">
        <v>1000</v>
      </c>
      <c r="H15" t="s">
        <v>14</v>
      </c>
      <c r="I15" t="s">
        <v>16</v>
      </c>
      <c r="J15">
        <f t="shared" si="1"/>
        <v>3000</v>
      </c>
      <c r="K15" t="str">
        <f t="shared" si="0"/>
        <v>35+</v>
      </c>
      <c r="L15" t="str">
        <f t="shared" ca="1" si="2"/>
        <v>Safe</v>
      </c>
      <c r="M15" t="str">
        <f t="shared" si="3"/>
        <v>Dec-2024</v>
      </c>
    </row>
    <row r="16" spans="1:18" x14ac:dyDescent="0.35">
      <c r="A16">
        <v>10015</v>
      </c>
      <c r="B16">
        <v>21</v>
      </c>
      <c r="C16" t="s">
        <v>10</v>
      </c>
      <c r="D16" t="s">
        <v>11</v>
      </c>
      <c r="E16" s="2">
        <v>45244</v>
      </c>
      <c r="F16" s="2">
        <v>45937</v>
      </c>
      <c r="G16">
        <v>1200</v>
      </c>
      <c r="H16" t="s">
        <v>14</v>
      </c>
      <c r="I16" t="s">
        <v>17</v>
      </c>
      <c r="J16">
        <f t="shared" si="1"/>
        <v>1200</v>
      </c>
      <c r="K16" t="str">
        <f t="shared" si="0"/>
        <v>18-24</v>
      </c>
      <c r="L16" t="str">
        <f t="shared" ca="1" si="2"/>
        <v>High Risk</v>
      </c>
      <c r="M16" t="str">
        <f t="shared" si="3"/>
        <v>Nov-2023</v>
      </c>
    </row>
    <row r="17" spans="1:13" x14ac:dyDescent="0.35">
      <c r="A17">
        <v>10016</v>
      </c>
      <c r="B17">
        <v>25</v>
      </c>
      <c r="C17" t="s">
        <v>9</v>
      </c>
      <c r="D17" t="s">
        <v>13</v>
      </c>
      <c r="E17" s="2">
        <v>45298</v>
      </c>
      <c r="F17" s="2">
        <v>45988</v>
      </c>
      <c r="G17">
        <v>1000</v>
      </c>
      <c r="H17" t="s">
        <v>14</v>
      </c>
      <c r="I17" t="s">
        <v>17</v>
      </c>
      <c r="J17">
        <f t="shared" si="1"/>
        <v>3000</v>
      </c>
      <c r="K17" t="str">
        <f t="shared" si="0"/>
        <v>25-34</v>
      </c>
      <c r="L17" t="str">
        <f t="shared" ca="1" si="2"/>
        <v>High Risk</v>
      </c>
      <c r="M17" t="str">
        <f t="shared" si="3"/>
        <v>Jan-2024</v>
      </c>
    </row>
    <row r="18" spans="1:13" x14ac:dyDescent="0.35">
      <c r="A18">
        <v>10017</v>
      </c>
      <c r="B18">
        <v>41</v>
      </c>
      <c r="C18" t="s">
        <v>10</v>
      </c>
      <c r="D18" t="s">
        <v>11</v>
      </c>
      <c r="E18" s="2">
        <v>45909</v>
      </c>
      <c r="F18" s="2">
        <v>45924</v>
      </c>
      <c r="G18">
        <v>1700</v>
      </c>
      <c r="H18" t="s">
        <v>15</v>
      </c>
      <c r="I18" t="s">
        <v>17</v>
      </c>
      <c r="J18">
        <f t="shared" si="1"/>
        <v>1700</v>
      </c>
      <c r="K18" t="str">
        <f t="shared" si="0"/>
        <v>35+</v>
      </c>
      <c r="L18" t="str">
        <f t="shared" ca="1" si="2"/>
        <v>High Risk</v>
      </c>
      <c r="M18" t="str">
        <f t="shared" si="3"/>
        <v>Sep-2025</v>
      </c>
    </row>
    <row r="19" spans="1:13" x14ac:dyDescent="0.35">
      <c r="A19">
        <v>10018</v>
      </c>
      <c r="B19">
        <v>20</v>
      </c>
      <c r="C19" t="s">
        <v>9</v>
      </c>
      <c r="D19" t="s">
        <v>13</v>
      </c>
      <c r="E19" s="2">
        <v>45342</v>
      </c>
      <c r="F19" s="2">
        <v>46024</v>
      </c>
      <c r="G19">
        <v>1000</v>
      </c>
      <c r="H19" t="s">
        <v>14</v>
      </c>
      <c r="I19" t="s">
        <v>16</v>
      </c>
      <c r="J19">
        <f t="shared" si="1"/>
        <v>3000</v>
      </c>
      <c r="K19" t="str">
        <f t="shared" si="0"/>
        <v>18-24</v>
      </c>
      <c r="L19" t="str">
        <f t="shared" ca="1" si="2"/>
        <v>Safe</v>
      </c>
      <c r="M19" t="str">
        <f t="shared" si="3"/>
        <v>Feb-2024</v>
      </c>
    </row>
    <row r="20" spans="1:13" x14ac:dyDescent="0.35">
      <c r="A20">
        <v>10019</v>
      </c>
      <c r="B20">
        <v>39</v>
      </c>
      <c r="C20" t="s">
        <v>9</v>
      </c>
      <c r="D20" t="s">
        <v>11</v>
      </c>
      <c r="E20" s="2">
        <v>45351</v>
      </c>
      <c r="F20" s="2">
        <v>46009</v>
      </c>
      <c r="G20">
        <v>1200</v>
      </c>
      <c r="H20" t="s">
        <v>14</v>
      </c>
      <c r="I20" t="s">
        <v>16</v>
      </c>
      <c r="J20">
        <f t="shared" si="1"/>
        <v>1200</v>
      </c>
      <c r="K20" t="str">
        <f t="shared" si="0"/>
        <v>35+</v>
      </c>
      <c r="L20" t="str">
        <f t="shared" ca="1" si="2"/>
        <v>Safe</v>
      </c>
      <c r="M20" t="str">
        <f t="shared" si="3"/>
        <v>Feb-2024</v>
      </c>
    </row>
    <row r="21" spans="1:13" x14ac:dyDescent="0.35">
      <c r="A21">
        <v>10020</v>
      </c>
      <c r="B21">
        <v>38</v>
      </c>
      <c r="C21" t="s">
        <v>10</v>
      </c>
      <c r="D21" t="s">
        <v>11</v>
      </c>
      <c r="E21" s="2">
        <v>45735</v>
      </c>
      <c r="F21" s="2">
        <v>46032</v>
      </c>
      <c r="G21">
        <v>1700</v>
      </c>
      <c r="H21" t="s">
        <v>15</v>
      </c>
      <c r="I21" t="s">
        <v>16</v>
      </c>
      <c r="J21">
        <f t="shared" si="1"/>
        <v>1700</v>
      </c>
      <c r="K21" t="str">
        <f t="shared" si="0"/>
        <v>35+</v>
      </c>
      <c r="L21" t="str">
        <f t="shared" ca="1" si="2"/>
        <v>Safe</v>
      </c>
      <c r="M21" t="str">
        <f t="shared" si="3"/>
        <v>Mar-2025</v>
      </c>
    </row>
    <row r="22" spans="1:13" x14ac:dyDescent="0.35">
      <c r="A22">
        <v>10021</v>
      </c>
      <c r="B22">
        <v>19</v>
      </c>
      <c r="C22" t="s">
        <v>9</v>
      </c>
      <c r="D22" t="s">
        <v>11</v>
      </c>
      <c r="E22" s="2">
        <v>45815</v>
      </c>
      <c r="F22" s="2">
        <v>45964</v>
      </c>
      <c r="G22">
        <v>1200</v>
      </c>
      <c r="H22" t="s">
        <v>14</v>
      </c>
      <c r="I22" t="s">
        <v>17</v>
      </c>
      <c r="J22">
        <f t="shared" si="1"/>
        <v>1200</v>
      </c>
      <c r="K22" t="str">
        <f t="shared" si="0"/>
        <v>18-24</v>
      </c>
      <c r="L22" t="str">
        <f t="shared" ca="1" si="2"/>
        <v>High Risk</v>
      </c>
      <c r="M22" t="str">
        <f t="shared" si="3"/>
        <v>Jun-2025</v>
      </c>
    </row>
    <row r="23" spans="1:13" x14ac:dyDescent="0.35">
      <c r="A23">
        <v>10022</v>
      </c>
      <c r="B23">
        <v>41</v>
      </c>
      <c r="C23" t="s">
        <v>9</v>
      </c>
      <c r="D23" t="s">
        <v>13</v>
      </c>
      <c r="E23" s="2">
        <v>45650</v>
      </c>
      <c r="F23" s="2">
        <v>46023</v>
      </c>
      <c r="G23">
        <v>1500</v>
      </c>
      <c r="H23" t="s">
        <v>15</v>
      </c>
      <c r="I23" t="s">
        <v>16</v>
      </c>
      <c r="J23">
        <f t="shared" si="1"/>
        <v>4500</v>
      </c>
      <c r="K23" t="str">
        <f t="shared" si="0"/>
        <v>35+</v>
      </c>
      <c r="L23" t="str">
        <f t="shared" ca="1" si="2"/>
        <v>Safe</v>
      </c>
      <c r="M23" t="str">
        <f t="shared" si="3"/>
        <v>Dec-2024</v>
      </c>
    </row>
    <row r="24" spans="1:13" x14ac:dyDescent="0.35">
      <c r="A24">
        <v>10023</v>
      </c>
      <c r="B24">
        <v>29</v>
      </c>
      <c r="C24" t="s">
        <v>9</v>
      </c>
      <c r="D24" t="s">
        <v>11</v>
      </c>
      <c r="E24" s="2">
        <v>45416</v>
      </c>
      <c r="F24" s="2">
        <v>45916</v>
      </c>
      <c r="G24">
        <v>1200</v>
      </c>
      <c r="H24" t="s">
        <v>14</v>
      </c>
      <c r="I24" t="s">
        <v>17</v>
      </c>
      <c r="J24">
        <f t="shared" si="1"/>
        <v>1200</v>
      </c>
      <c r="K24" t="str">
        <f t="shared" si="0"/>
        <v>25-34</v>
      </c>
      <c r="L24" t="str">
        <f t="shared" ca="1" si="2"/>
        <v>High Risk</v>
      </c>
      <c r="M24" t="str">
        <f t="shared" si="3"/>
        <v>May-2024</v>
      </c>
    </row>
    <row r="25" spans="1:13" x14ac:dyDescent="0.35">
      <c r="A25">
        <v>10024</v>
      </c>
      <c r="B25">
        <v>23</v>
      </c>
      <c r="C25" t="s">
        <v>9</v>
      </c>
      <c r="D25" t="s">
        <v>11</v>
      </c>
      <c r="E25" s="2">
        <v>45541</v>
      </c>
      <c r="F25" s="2">
        <v>46015</v>
      </c>
      <c r="G25">
        <v>1200</v>
      </c>
      <c r="H25" t="s">
        <v>14</v>
      </c>
      <c r="I25" t="s">
        <v>16</v>
      </c>
      <c r="J25">
        <f t="shared" si="1"/>
        <v>1200</v>
      </c>
      <c r="K25" t="str">
        <f t="shared" si="0"/>
        <v>18-24</v>
      </c>
      <c r="L25" t="str">
        <f t="shared" ca="1" si="2"/>
        <v>Safe</v>
      </c>
      <c r="M25" t="str">
        <f t="shared" si="3"/>
        <v>Sep-2024</v>
      </c>
    </row>
    <row r="26" spans="1:13" x14ac:dyDescent="0.35">
      <c r="A26">
        <v>10025</v>
      </c>
      <c r="B26">
        <v>19</v>
      </c>
      <c r="C26" t="s">
        <v>9</v>
      </c>
      <c r="D26" t="s">
        <v>12</v>
      </c>
      <c r="E26" s="2">
        <v>45401</v>
      </c>
      <c r="F26" s="2">
        <v>46014</v>
      </c>
      <c r="G26">
        <v>800</v>
      </c>
      <c r="H26" t="s">
        <v>14</v>
      </c>
      <c r="I26" t="s">
        <v>16</v>
      </c>
      <c r="J26">
        <f t="shared" si="1"/>
        <v>9600</v>
      </c>
      <c r="K26" t="str">
        <f t="shared" si="0"/>
        <v>18-24</v>
      </c>
      <c r="L26" t="str">
        <f t="shared" ca="1" si="2"/>
        <v>Safe</v>
      </c>
      <c r="M26" t="str">
        <f t="shared" si="3"/>
        <v>Apr-2024</v>
      </c>
    </row>
    <row r="27" spans="1:13" x14ac:dyDescent="0.35">
      <c r="A27">
        <v>10026</v>
      </c>
      <c r="B27">
        <v>45</v>
      </c>
      <c r="C27" t="s">
        <v>9</v>
      </c>
      <c r="D27" t="s">
        <v>11</v>
      </c>
      <c r="E27" s="2">
        <v>45579</v>
      </c>
      <c r="F27" s="2">
        <v>45962</v>
      </c>
      <c r="G27">
        <v>1700</v>
      </c>
      <c r="H27" t="s">
        <v>15</v>
      </c>
      <c r="I27" t="s">
        <v>17</v>
      </c>
      <c r="J27">
        <f t="shared" si="1"/>
        <v>1700</v>
      </c>
      <c r="K27" t="str">
        <f t="shared" si="0"/>
        <v>35+</v>
      </c>
      <c r="L27" t="str">
        <f t="shared" ca="1" si="2"/>
        <v>High Risk</v>
      </c>
      <c r="M27" t="str">
        <f t="shared" si="3"/>
        <v>Oct-2024</v>
      </c>
    </row>
    <row r="28" spans="1:13" x14ac:dyDescent="0.35">
      <c r="A28">
        <v>10027</v>
      </c>
      <c r="B28">
        <v>38</v>
      </c>
      <c r="C28" t="s">
        <v>9</v>
      </c>
      <c r="D28" t="s">
        <v>13</v>
      </c>
      <c r="E28" s="2">
        <v>45971</v>
      </c>
      <c r="F28" s="2">
        <v>45950</v>
      </c>
      <c r="G28">
        <v>1500</v>
      </c>
      <c r="H28" t="s">
        <v>15</v>
      </c>
      <c r="I28" t="s">
        <v>17</v>
      </c>
      <c r="J28">
        <f t="shared" si="1"/>
        <v>4500</v>
      </c>
      <c r="K28" t="str">
        <f t="shared" si="0"/>
        <v>35+</v>
      </c>
      <c r="L28" t="str">
        <f t="shared" ca="1" si="2"/>
        <v>High Risk</v>
      </c>
      <c r="M28" t="str">
        <f t="shared" si="3"/>
        <v>Nov-2025</v>
      </c>
    </row>
    <row r="29" spans="1:13" x14ac:dyDescent="0.35">
      <c r="A29">
        <v>10028</v>
      </c>
      <c r="B29">
        <v>18</v>
      </c>
      <c r="C29" t="s">
        <v>9</v>
      </c>
      <c r="D29" t="s">
        <v>12</v>
      </c>
      <c r="E29" s="2">
        <v>45995</v>
      </c>
      <c r="F29" s="2">
        <v>46031</v>
      </c>
      <c r="G29">
        <v>800</v>
      </c>
      <c r="H29" t="s">
        <v>14</v>
      </c>
      <c r="I29" t="s">
        <v>16</v>
      </c>
      <c r="J29">
        <f t="shared" si="1"/>
        <v>9600</v>
      </c>
      <c r="K29" t="str">
        <f t="shared" si="0"/>
        <v>18-24</v>
      </c>
      <c r="L29" t="str">
        <f t="shared" ca="1" si="2"/>
        <v>Safe</v>
      </c>
      <c r="M29" t="str">
        <f t="shared" si="3"/>
        <v>Dec-2025</v>
      </c>
    </row>
    <row r="30" spans="1:13" x14ac:dyDescent="0.35">
      <c r="A30">
        <v>10029</v>
      </c>
      <c r="B30">
        <v>29</v>
      </c>
      <c r="C30" t="s">
        <v>10</v>
      </c>
      <c r="D30" t="s">
        <v>12</v>
      </c>
      <c r="E30" s="2">
        <v>45721</v>
      </c>
      <c r="F30" s="2">
        <v>46018</v>
      </c>
      <c r="G30">
        <v>1300</v>
      </c>
      <c r="H30" t="s">
        <v>15</v>
      </c>
      <c r="I30" t="s">
        <v>16</v>
      </c>
      <c r="J30">
        <f t="shared" si="1"/>
        <v>15600</v>
      </c>
      <c r="K30" t="str">
        <f t="shared" si="0"/>
        <v>25-34</v>
      </c>
      <c r="L30" t="str">
        <f t="shared" ca="1" si="2"/>
        <v>Safe</v>
      </c>
      <c r="M30" t="str">
        <f t="shared" si="3"/>
        <v>Mar-2025</v>
      </c>
    </row>
    <row r="31" spans="1:13" x14ac:dyDescent="0.35">
      <c r="A31">
        <v>10030</v>
      </c>
      <c r="B31">
        <v>43</v>
      </c>
      <c r="C31" t="s">
        <v>9</v>
      </c>
      <c r="D31" t="s">
        <v>13</v>
      </c>
      <c r="E31" s="2">
        <v>45868</v>
      </c>
      <c r="F31" s="2">
        <v>46017</v>
      </c>
      <c r="G31">
        <v>1500</v>
      </c>
      <c r="H31" t="s">
        <v>15</v>
      </c>
      <c r="I31" t="s">
        <v>16</v>
      </c>
      <c r="J31">
        <f t="shared" si="1"/>
        <v>4500</v>
      </c>
      <c r="K31" t="str">
        <f t="shared" si="0"/>
        <v>35+</v>
      </c>
      <c r="L31" t="str">
        <f t="shared" ca="1" si="2"/>
        <v>Safe</v>
      </c>
      <c r="M31" t="str">
        <f t="shared" si="3"/>
        <v>Jul-2025</v>
      </c>
    </row>
    <row r="32" spans="1:13" x14ac:dyDescent="0.35">
      <c r="A32">
        <v>10031</v>
      </c>
      <c r="B32">
        <v>39</v>
      </c>
      <c r="C32" t="s">
        <v>9</v>
      </c>
      <c r="D32" t="s">
        <v>13</v>
      </c>
      <c r="E32" s="2">
        <v>45363</v>
      </c>
      <c r="F32" s="2">
        <v>45917</v>
      </c>
      <c r="G32">
        <v>1000</v>
      </c>
      <c r="H32" t="s">
        <v>14</v>
      </c>
      <c r="I32" t="s">
        <v>17</v>
      </c>
      <c r="J32">
        <f t="shared" si="1"/>
        <v>3000</v>
      </c>
      <c r="K32" t="str">
        <f t="shared" si="0"/>
        <v>35+</v>
      </c>
      <c r="L32" t="str">
        <f t="shared" ca="1" si="2"/>
        <v>High Risk</v>
      </c>
      <c r="M32" t="str">
        <f t="shared" si="3"/>
        <v>Mar-2024</v>
      </c>
    </row>
    <row r="33" spans="1:13" x14ac:dyDescent="0.35">
      <c r="A33">
        <v>10032</v>
      </c>
      <c r="B33">
        <v>29</v>
      </c>
      <c r="C33" t="s">
        <v>9</v>
      </c>
      <c r="D33" t="s">
        <v>12</v>
      </c>
      <c r="E33" s="2">
        <v>45438</v>
      </c>
      <c r="F33" s="2">
        <v>45959</v>
      </c>
      <c r="G33">
        <v>800</v>
      </c>
      <c r="H33" t="s">
        <v>14</v>
      </c>
      <c r="I33" t="s">
        <v>17</v>
      </c>
      <c r="J33">
        <f t="shared" si="1"/>
        <v>9600</v>
      </c>
      <c r="K33" t="str">
        <f t="shared" si="0"/>
        <v>25-34</v>
      </c>
      <c r="L33" t="str">
        <f t="shared" ca="1" si="2"/>
        <v>High Risk</v>
      </c>
      <c r="M33" t="str">
        <f t="shared" si="3"/>
        <v>May-2024</v>
      </c>
    </row>
    <row r="34" spans="1:13" x14ac:dyDescent="0.35">
      <c r="A34">
        <v>10033</v>
      </c>
      <c r="B34">
        <v>42</v>
      </c>
      <c r="C34" t="s">
        <v>9</v>
      </c>
      <c r="D34" t="s">
        <v>11</v>
      </c>
      <c r="E34" s="2">
        <v>45247</v>
      </c>
      <c r="F34" s="2">
        <v>45969</v>
      </c>
      <c r="G34">
        <v>1200</v>
      </c>
      <c r="H34" t="s">
        <v>14</v>
      </c>
      <c r="I34" t="s">
        <v>17</v>
      </c>
      <c r="J34">
        <f t="shared" si="1"/>
        <v>1200</v>
      </c>
      <c r="K34" t="str">
        <f t="shared" si="0"/>
        <v>35+</v>
      </c>
      <c r="L34" t="str">
        <f t="shared" ca="1" si="2"/>
        <v>High Risk</v>
      </c>
      <c r="M34" t="str">
        <f t="shared" si="3"/>
        <v>Nov-2023</v>
      </c>
    </row>
    <row r="35" spans="1:13" x14ac:dyDescent="0.35">
      <c r="A35">
        <v>10034</v>
      </c>
      <c r="B35">
        <v>34</v>
      </c>
      <c r="C35" t="s">
        <v>10</v>
      </c>
      <c r="D35" t="s">
        <v>12</v>
      </c>
      <c r="E35" s="2">
        <v>45588</v>
      </c>
      <c r="F35" s="2">
        <v>46023</v>
      </c>
      <c r="G35">
        <v>800</v>
      </c>
      <c r="H35" t="s">
        <v>14</v>
      </c>
      <c r="I35" t="s">
        <v>16</v>
      </c>
      <c r="J35">
        <f t="shared" si="1"/>
        <v>9600</v>
      </c>
      <c r="K35" t="str">
        <f t="shared" si="0"/>
        <v>25-34</v>
      </c>
      <c r="L35" t="str">
        <f t="shared" ca="1" si="2"/>
        <v>Safe</v>
      </c>
      <c r="M35" t="str">
        <f t="shared" si="3"/>
        <v>Oct-2024</v>
      </c>
    </row>
    <row r="36" spans="1:13" x14ac:dyDescent="0.35">
      <c r="A36">
        <v>10035</v>
      </c>
      <c r="B36">
        <v>44</v>
      </c>
      <c r="C36" t="s">
        <v>9</v>
      </c>
      <c r="D36" t="s">
        <v>11</v>
      </c>
      <c r="E36" s="2">
        <v>45924</v>
      </c>
      <c r="F36" s="2">
        <v>45961</v>
      </c>
      <c r="G36">
        <v>1700</v>
      </c>
      <c r="H36" t="s">
        <v>15</v>
      </c>
      <c r="I36" t="s">
        <v>17</v>
      </c>
      <c r="J36">
        <f t="shared" si="1"/>
        <v>1700</v>
      </c>
      <c r="K36" t="str">
        <f t="shared" si="0"/>
        <v>35+</v>
      </c>
      <c r="L36" t="str">
        <f t="shared" ca="1" si="2"/>
        <v>High Risk</v>
      </c>
      <c r="M36" t="str">
        <f t="shared" si="3"/>
        <v>Sep-2025</v>
      </c>
    </row>
    <row r="37" spans="1:13" x14ac:dyDescent="0.35">
      <c r="A37">
        <v>10036</v>
      </c>
      <c r="B37">
        <v>44</v>
      </c>
      <c r="C37" t="s">
        <v>9</v>
      </c>
      <c r="D37" t="s">
        <v>12</v>
      </c>
      <c r="E37" s="2">
        <v>45457</v>
      </c>
      <c r="F37" s="2">
        <v>46030</v>
      </c>
      <c r="G37">
        <v>800</v>
      </c>
      <c r="H37" t="s">
        <v>14</v>
      </c>
      <c r="I37" t="s">
        <v>16</v>
      </c>
      <c r="J37">
        <f t="shared" si="1"/>
        <v>9600</v>
      </c>
      <c r="K37" t="str">
        <f t="shared" si="0"/>
        <v>35+</v>
      </c>
      <c r="L37" t="str">
        <f t="shared" ca="1" si="2"/>
        <v>Safe</v>
      </c>
      <c r="M37" t="str">
        <f t="shared" si="3"/>
        <v>Jun-2024</v>
      </c>
    </row>
    <row r="38" spans="1:13" x14ac:dyDescent="0.35">
      <c r="A38">
        <v>10037</v>
      </c>
      <c r="B38">
        <v>27</v>
      </c>
      <c r="C38" t="s">
        <v>10</v>
      </c>
      <c r="D38" t="s">
        <v>11</v>
      </c>
      <c r="E38" s="2">
        <v>45302</v>
      </c>
      <c r="F38" s="2">
        <v>45964</v>
      </c>
      <c r="G38">
        <v>1700</v>
      </c>
      <c r="H38" t="s">
        <v>15</v>
      </c>
      <c r="I38" t="s">
        <v>17</v>
      </c>
      <c r="J38">
        <f t="shared" si="1"/>
        <v>1700</v>
      </c>
      <c r="K38" t="str">
        <f t="shared" si="0"/>
        <v>25-34</v>
      </c>
      <c r="L38" t="str">
        <f t="shared" ca="1" si="2"/>
        <v>High Risk</v>
      </c>
      <c r="M38" t="str">
        <f t="shared" si="3"/>
        <v>Jan-2024</v>
      </c>
    </row>
    <row r="39" spans="1:13" x14ac:dyDescent="0.35">
      <c r="A39">
        <v>10038</v>
      </c>
      <c r="B39">
        <v>45</v>
      </c>
      <c r="C39" t="s">
        <v>10</v>
      </c>
      <c r="D39" t="s">
        <v>13</v>
      </c>
      <c r="E39" s="2">
        <v>45985</v>
      </c>
      <c r="F39" s="2">
        <v>45948</v>
      </c>
      <c r="G39">
        <v>1000</v>
      </c>
      <c r="H39" t="s">
        <v>14</v>
      </c>
      <c r="I39" t="s">
        <v>17</v>
      </c>
      <c r="J39">
        <f t="shared" si="1"/>
        <v>3000</v>
      </c>
      <c r="K39" t="str">
        <f t="shared" si="0"/>
        <v>35+</v>
      </c>
      <c r="L39" t="str">
        <f t="shared" ca="1" si="2"/>
        <v>High Risk</v>
      </c>
      <c r="M39" t="str">
        <f t="shared" si="3"/>
        <v>Nov-2025</v>
      </c>
    </row>
    <row r="40" spans="1:13" x14ac:dyDescent="0.35">
      <c r="A40">
        <v>10039</v>
      </c>
      <c r="B40">
        <v>45</v>
      </c>
      <c r="C40" t="s">
        <v>9</v>
      </c>
      <c r="D40" t="s">
        <v>11</v>
      </c>
      <c r="E40" s="2">
        <v>45153</v>
      </c>
      <c r="F40" s="2">
        <v>45933</v>
      </c>
      <c r="G40">
        <v>1200</v>
      </c>
      <c r="H40" t="s">
        <v>14</v>
      </c>
      <c r="I40" t="s">
        <v>17</v>
      </c>
      <c r="J40">
        <f t="shared" si="1"/>
        <v>1200</v>
      </c>
      <c r="K40" t="str">
        <f t="shared" si="0"/>
        <v>35+</v>
      </c>
      <c r="L40" t="str">
        <f t="shared" ca="1" si="2"/>
        <v>High Risk</v>
      </c>
      <c r="M40" t="str">
        <f t="shared" si="3"/>
        <v>Aug-2023</v>
      </c>
    </row>
    <row r="41" spans="1:13" x14ac:dyDescent="0.35">
      <c r="A41">
        <v>10040</v>
      </c>
      <c r="B41">
        <v>33</v>
      </c>
      <c r="C41" t="s">
        <v>10</v>
      </c>
      <c r="D41" t="s">
        <v>13</v>
      </c>
      <c r="E41" s="2">
        <v>45480</v>
      </c>
      <c r="F41" s="2">
        <v>45978</v>
      </c>
      <c r="G41">
        <v>1000</v>
      </c>
      <c r="H41" t="s">
        <v>14</v>
      </c>
      <c r="I41" t="s">
        <v>17</v>
      </c>
      <c r="J41">
        <f t="shared" si="1"/>
        <v>3000</v>
      </c>
      <c r="K41" t="str">
        <f t="shared" si="0"/>
        <v>25-34</v>
      </c>
      <c r="L41" t="str">
        <f t="shared" ca="1" si="2"/>
        <v>High Risk</v>
      </c>
      <c r="M41" t="str">
        <f t="shared" si="3"/>
        <v>Jul-2024</v>
      </c>
    </row>
    <row r="42" spans="1:13" x14ac:dyDescent="0.35">
      <c r="A42">
        <v>10041</v>
      </c>
      <c r="B42">
        <v>32</v>
      </c>
      <c r="C42" t="s">
        <v>10</v>
      </c>
      <c r="D42" t="s">
        <v>11</v>
      </c>
      <c r="E42" s="2">
        <v>45548</v>
      </c>
      <c r="F42" s="2">
        <v>46020</v>
      </c>
      <c r="G42">
        <v>1700</v>
      </c>
      <c r="H42" t="s">
        <v>15</v>
      </c>
      <c r="I42" t="s">
        <v>16</v>
      </c>
      <c r="J42">
        <f t="shared" si="1"/>
        <v>1700</v>
      </c>
      <c r="K42" t="str">
        <f t="shared" si="0"/>
        <v>25-34</v>
      </c>
      <c r="L42" t="str">
        <f t="shared" ca="1" si="2"/>
        <v>Safe</v>
      </c>
      <c r="M42" t="str">
        <f t="shared" si="3"/>
        <v>Sep-2024</v>
      </c>
    </row>
    <row r="43" spans="1:13" x14ac:dyDescent="0.35">
      <c r="A43">
        <v>10042</v>
      </c>
      <c r="B43">
        <v>32</v>
      </c>
      <c r="C43" t="s">
        <v>9</v>
      </c>
      <c r="D43" t="s">
        <v>12</v>
      </c>
      <c r="E43" s="2">
        <v>45703</v>
      </c>
      <c r="F43" s="2">
        <v>46031</v>
      </c>
      <c r="G43">
        <v>800</v>
      </c>
      <c r="H43" t="s">
        <v>14</v>
      </c>
      <c r="I43" t="s">
        <v>16</v>
      </c>
      <c r="J43">
        <f t="shared" si="1"/>
        <v>9600</v>
      </c>
      <c r="K43" t="str">
        <f t="shared" si="0"/>
        <v>25-34</v>
      </c>
      <c r="L43" t="str">
        <f t="shared" ca="1" si="2"/>
        <v>Safe</v>
      </c>
      <c r="M43" t="str">
        <f t="shared" si="3"/>
        <v>Feb-2025</v>
      </c>
    </row>
    <row r="44" spans="1:13" x14ac:dyDescent="0.35">
      <c r="A44">
        <v>10043</v>
      </c>
      <c r="B44">
        <v>36</v>
      </c>
      <c r="C44" t="s">
        <v>10</v>
      </c>
      <c r="D44" t="s">
        <v>12</v>
      </c>
      <c r="E44" s="2">
        <v>45451</v>
      </c>
      <c r="F44" s="2">
        <v>45980</v>
      </c>
      <c r="G44">
        <v>800</v>
      </c>
      <c r="H44" t="s">
        <v>14</v>
      </c>
      <c r="I44" t="s">
        <v>17</v>
      </c>
      <c r="J44">
        <f t="shared" si="1"/>
        <v>9600</v>
      </c>
      <c r="K44" t="str">
        <f t="shared" si="0"/>
        <v>35+</v>
      </c>
      <c r="L44" t="str">
        <f t="shared" ca="1" si="2"/>
        <v>High Risk</v>
      </c>
      <c r="M44" t="str">
        <f t="shared" si="3"/>
        <v>Jun-2024</v>
      </c>
    </row>
    <row r="45" spans="1:13" x14ac:dyDescent="0.35">
      <c r="A45">
        <v>10044</v>
      </c>
      <c r="B45">
        <v>29</v>
      </c>
      <c r="C45" t="s">
        <v>10</v>
      </c>
      <c r="D45" t="s">
        <v>11</v>
      </c>
      <c r="E45" s="2">
        <v>45190</v>
      </c>
      <c r="F45" s="2">
        <v>46028</v>
      </c>
      <c r="G45">
        <v>1700</v>
      </c>
      <c r="H45" t="s">
        <v>15</v>
      </c>
      <c r="I45" t="s">
        <v>16</v>
      </c>
      <c r="J45">
        <f t="shared" si="1"/>
        <v>1700</v>
      </c>
      <c r="K45" t="str">
        <f t="shared" si="0"/>
        <v>25-34</v>
      </c>
      <c r="L45" t="str">
        <f t="shared" ca="1" si="2"/>
        <v>Safe</v>
      </c>
      <c r="M45" t="str">
        <f t="shared" si="3"/>
        <v>Sep-2023</v>
      </c>
    </row>
    <row r="46" spans="1:13" x14ac:dyDescent="0.35">
      <c r="A46">
        <v>10045</v>
      </c>
      <c r="B46">
        <v>40</v>
      </c>
      <c r="C46" t="s">
        <v>9</v>
      </c>
      <c r="D46" t="s">
        <v>12</v>
      </c>
      <c r="E46" s="2">
        <v>45666</v>
      </c>
      <c r="F46" s="2">
        <v>46020</v>
      </c>
      <c r="G46">
        <v>800</v>
      </c>
      <c r="H46" t="s">
        <v>14</v>
      </c>
      <c r="I46" t="s">
        <v>16</v>
      </c>
      <c r="J46">
        <f t="shared" si="1"/>
        <v>9600</v>
      </c>
      <c r="K46" t="str">
        <f t="shared" si="0"/>
        <v>35+</v>
      </c>
      <c r="L46" t="str">
        <f t="shared" ca="1" si="2"/>
        <v>Safe</v>
      </c>
      <c r="M46" t="str">
        <f t="shared" si="3"/>
        <v>Jan-2025</v>
      </c>
    </row>
    <row r="47" spans="1:13" x14ac:dyDescent="0.35">
      <c r="A47">
        <v>10046</v>
      </c>
      <c r="B47">
        <v>37</v>
      </c>
      <c r="C47" t="s">
        <v>9</v>
      </c>
      <c r="D47" t="s">
        <v>12</v>
      </c>
      <c r="E47" s="2">
        <v>45917</v>
      </c>
      <c r="F47" s="2">
        <v>45987</v>
      </c>
      <c r="G47">
        <v>800</v>
      </c>
      <c r="H47" t="s">
        <v>14</v>
      </c>
      <c r="I47" t="s">
        <v>17</v>
      </c>
      <c r="J47">
        <f t="shared" si="1"/>
        <v>9600</v>
      </c>
      <c r="K47" t="str">
        <f t="shared" si="0"/>
        <v>35+</v>
      </c>
      <c r="L47" t="str">
        <f t="shared" ca="1" si="2"/>
        <v>High Risk</v>
      </c>
      <c r="M47" t="str">
        <f t="shared" si="3"/>
        <v>Sep-2025</v>
      </c>
    </row>
    <row r="48" spans="1:13" x14ac:dyDescent="0.35">
      <c r="A48">
        <v>10047</v>
      </c>
      <c r="B48">
        <v>42</v>
      </c>
      <c r="C48" t="s">
        <v>9</v>
      </c>
      <c r="D48" t="s">
        <v>13</v>
      </c>
      <c r="E48" s="2">
        <v>45978</v>
      </c>
      <c r="F48" s="2">
        <v>45947</v>
      </c>
      <c r="G48">
        <v>1000</v>
      </c>
      <c r="H48" t="s">
        <v>14</v>
      </c>
      <c r="I48" t="s">
        <v>17</v>
      </c>
      <c r="J48">
        <f t="shared" si="1"/>
        <v>3000</v>
      </c>
      <c r="K48" t="str">
        <f t="shared" si="0"/>
        <v>35+</v>
      </c>
      <c r="L48" t="str">
        <f t="shared" ca="1" si="2"/>
        <v>High Risk</v>
      </c>
      <c r="M48" t="str">
        <f t="shared" si="3"/>
        <v>Nov-2025</v>
      </c>
    </row>
    <row r="49" spans="1:13" x14ac:dyDescent="0.35">
      <c r="A49">
        <v>10048</v>
      </c>
      <c r="B49">
        <v>20</v>
      </c>
      <c r="C49" t="s">
        <v>10</v>
      </c>
      <c r="D49" t="s">
        <v>11</v>
      </c>
      <c r="E49" s="2">
        <v>45954</v>
      </c>
      <c r="F49" s="2">
        <v>46029</v>
      </c>
      <c r="G49">
        <v>1700</v>
      </c>
      <c r="H49" t="s">
        <v>15</v>
      </c>
      <c r="I49" t="s">
        <v>16</v>
      </c>
      <c r="J49">
        <f t="shared" si="1"/>
        <v>1700</v>
      </c>
      <c r="K49" t="str">
        <f t="shared" si="0"/>
        <v>18-24</v>
      </c>
      <c r="L49" t="str">
        <f t="shared" ca="1" si="2"/>
        <v>Safe</v>
      </c>
      <c r="M49" t="str">
        <f t="shared" si="3"/>
        <v>Oct-2025</v>
      </c>
    </row>
    <row r="50" spans="1:13" x14ac:dyDescent="0.35">
      <c r="A50">
        <v>10049</v>
      </c>
      <c r="B50">
        <v>22</v>
      </c>
      <c r="C50" t="s">
        <v>10</v>
      </c>
      <c r="D50" t="s">
        <v>11</v>
      </c>
      <c r="E50" s="2">
        <v>45360</v>
      </c>
      <c r="F50" s="2">
        <v>45915</v>
      </c>
      <c r="G50">
        <v>1700</v>
      </c>
      <c r="H50" t="s">
        <v>15</v>
      </c>
      <c r="I50" t="s">
        <v>17</v>
      </c>
      <c r="J50">
        <f t="shared" si="1"/>
        <v>1700</v>
      </c>
      <c r="K50" t="str">
        <f t="shared" si="0"/>
        <v>18-24</v>
      </c>
      <c r="L50" t="str">
        <f t="shared" ca="1" si="2"/>
        <v>High Risk</v>
      </c>
      <c r="M50" t="str">
        <f t="shared" si="3"/>
        <v>Mar-2024</v>
      </c>
    </row>
    <row r="51" spans="1:13" x14ac:dyDescent="0.35">
      <c r="A51">
        <v>10050</v>
      </c>
      <c r="B51">
        <v>36</v>
      </c>
      <c r="C51" t="s">
        <v>9</v>
      </c>
      <c r="D51" t="s">
        <v>11</v>
      </c>
      <c r="E51" s="2">
        <v>45199</v>
      </c>
      <c r="F51" s="2">
        <v>46024</v>
      </c>
      <c r="G51">
        <v>1700</v>
      </c>
      <c r="H51" t="s">
        <v>15</v>
      </c>
      <c r="I51" t="s">
        <v>16</v>
      </c>
      <c r="J51">
        <f t="shared" si="1"/>
        <v>1700</v>
      </c>
      <c r="K51" t="str">
        <f t="shared" si="0"/>
        <v>35+</v>
      </c>
      <c r="L51" t="str">
        <f t="shared" ca="1" si="2"/>
        <v>Safe</v>
      </c>
      <c r="M51" t="str">
        <f t="shared" si="3"/>
        <v>Sep-2023</v>
      </c>
    </row>
    <row r="52" spans="1:13" x14ac:dyDescent="0.35">
      <c r="A52">
        <v>10051</v>
      </c>
      <c r="B52">
        <v>24</v>
      </c>
      <c r="C52" t="s">
        <v>9</v>
      </c>
      <c r="D52" t="s">
        <v>11</v>
      </c>
      <c r="E52" s="2">
        <v>46000</v>
      </c>
      <c r="F52" s="2">
        <v>45993</v>
      </c>
      <c r="G52">
        <v>1200</v>
      </c>
      <c r="H52" t="s">
        <v>14</v>
      </c>
      <c r="I52" t="s">
        <v>17</v>
      </c>
      <c r="J52">
        <f t="shared" si="1"/>
        <v>1200</v>
      </c>
      <c r="K52" t="str">
        <f t="shared" si="0"/>
        <v>18-24</v>
      </c>
      <c r="L52" t="str">
        <f t="shared" ca="1" si="2"/>
        <v>High Risk</v>
      </c>
      <c r="M52" t="str">
        <f t="shared" si="3"/>
        <v>Dec-2025</v>
      </c>
    </row>
    <row r="53" spans="1:13" x14ac:dyDescent="0.35">
      <c r="A53">
        <v>10052</v>
      </c>
      <c r="B53">
        <v>38</v>
      </c>
      <c r="C53" t="s">
        <v>9</v>
      </c>
      <c r="D53" t="s">
        <v>12</v>
      </c>
      <c r="E53" s="2">
        <v>45529</v>
      </c>
      <c r="F53" s="2">
        <v>46027</v>
      </c>
      <c r="G53">
        <v>1300</v>
      </c>
      <c r="H53" t="s">
        <v>15</v>
      </c>
      <c r="I53" t="s">
        <v>16</v>
      </c>
      <c r="J53">
        <f t="shared" si="1"/>
        <v>15600</v>
      </c>
      <c r="K53" t="str">
        <f t="shared" si="0"/>
        <v>35+</v>
      </c>
      <c r="L53" t="str">
        <f t="shared" ca="1" si="2"/>
        <v>Safe</v>
      </c>
      <c r="M53" t="str">
        <f t="shared" si="3"/>
        <v>Aug-2024</v>
      </c>
    </row>
    <row r="54" spans="1:13" x14ac:dyDescent="0.35">
      <c r="A54">
        <v>10053</v>
      </c>
      <c r="B54">
        <v>26</v>
      </c>
      <c r="C54" t="s">
        <v>9</v>
      </c>
      <c r="D54" t="s">
        <v>11</v>
      </c>
      <c r="E54" s="2">
        <v>45835</v>
      </c>
      <c r="F54" s="2">
        <v>46009</v>
      </c>
      <c r="G54">
        <v>1700</v>
      </c>
      <c r="H54" t="s">
        <v>15</v>
      </c>
      <c r="I54" t="s">
        <v>16</v>
      </c>
      <c r="J54">
        <f t="shared" si="1"/>
        <v>1700</v>
      </c>
      <c r="K54" t="str">
        <f t="shared" si="0"/>
        <v>25-34</v>
      </c>
      <c r="L54" t="str">
        <f t="shared" ca="1" si="2"/>
        <v>Safe</v>
      </c>
      <c r="M54" t="str">
        <f t="shared" si="3"/>
        <v>Jun-2025</v>
      </c>
    </row>
    <row r="55" spans="1:13" x14ac:dyDescent="0.35">
      <c r="A55">
        <v>10054</v>
      </c>
      <c r="B55">
        <v>24</v>
      </c>
      <c r="C55" t="s">
        <v>9</v>
      </c>
      <c r="D55" t="s">
        <v>12</v>
      </c>
      <c r="E55" s="2">
        <v>45696</v>
      </c>
      <c r="F55" s="2">
        <v>46019</v>
      </c>
      <c r="G55">
        <v>800</v>
      </c>
      <c r="H55" t="s">
        <v>14</v>
      </c>
      <c r="I55" t="s">
        <v>16</v>
      </c>
      <c r="J55">
        <f t="shared" si="1"/>
        <v>9600</v>
      </c>
      <c r="K55" t="str">
        <f t="shared" si="0"/>
        <v>18-24</v>
      </c>
      <c r="L55" t="str">
        <f t="shared" ca="1" si="2"/>
        <v>Safe</v>
      </c>
      <c r="M55" t="str">
        <f t="shared" si="3"/>
        <v>Feb-2025</v>
      </c>
    </row>
    <row r="56" spans="1:13" x14ac:dyDescent="0.35">
      <c r="A56">
        <v>10055</v>
      </c>
      <c r="B56">
        <v>35</v>
      </c>
      <c r="C56" t="s">
        <v>9</v>
      </c>
      <c r="D56" t="s">
        <v>11</v>
      </c>
      <c r="E56" s="2">
        <v>45424</v>
      </c>
      <c r="F56" s="2">
        <v>46013</v>
      </c>
      <c r="G56">
        <v>1200</v>
      </c>
      <c r="H56" t="s">
        <v>14</v>
      </c>
      <c r="I56" t="s">
        <v>16</v>
      </c>
      <c r="J56">
        <f t="shared" si="1"/>
        <v>1200</v>
      </c>
      <c r="K56" t="str">
        <f t="shared" si="0"/>
        <v>35+</v>
      </c>
      <c r="L56" t="str">
        <f t="shared" ca="1" si="2"/>
        <v>Safe</v>
      </c>
      <c r="M56" t="str">
        <f t="shared" si="3"/>
        <v>May-2024</v>
      </c>
    </row>
    <row r="57" spans="1:13" x14ac:dyDescent="0.35">
      <c r="A57">
        <v>10056</v>
      </c>
      <c r="B57">
        <v>21</v>
      </c>
      <c r="C57" t="s">
        <v>10</v>
      </c>
      <c r="D57" t="s">
        <v>13</v>
      </c>
      <c r="E57" s="2">
        <v>45720</v>
      </c>
      <c r="F57" s="2">
        <v>45923</v>
      </c>
      <c r="G57">
        <v>1500</v>
      </c>
      <c r="H57" t="s">
        <v>15</v>
      </c>
      <c r="I57" t="s">
        <v>17</v>
      </c>
      <c r="J57">
        <f t="shared" si="1"/>
        <v>4500</v>
      </c>
      <c r="K57" t="str">
        <f t="shared" si="0"/>
        <v>18-24</v>
      </c>
      <c r="L57" t="str">
        <f t="shared" ca="1" si="2"/>
        <v>High Risk</v>
      </c>
      <c r="M57" t="str">
        <f t="shared" si="3"/>
        <v>Mar-2025</v>
      </c>
    </row>
    <row r="58" spans="1:13" x14ac:dyDescent="0.35">
      <c r="A58">
        <v>10057</v>
      </c>
      <c r="B58">
        <v>42</v>
      </c>
      <c r="C58" t="s">
        <v>9</v>
      </c>
      <c r="D58" t="s">
        <v>12</v>
      </c>
      <c r="E58" s="2">
        <v>45349</v>
      </c>
      <c r="F58" s="2">
        <v>45945</v>
      </c>
      <c r="G58">
        <v>1300</v>
      </c>
      <c r="H58" t="s">
        <v>15</v>
      </c>
      <c r="I58" t="s">
        <v>17</v>
      </c>
      <c r="J58">
        <f t="shared" si="1"/>
        <v>15600</v>
      </c>
      <c r="K58" t="str">
        <f t="shared" si="0"/>
        <v>35+</v>
      </c>
      <c r="L58" t="str">
        <f t="shared" ca="1" si="2"/>
        <v>High Risk</v>
      </c>
      <c r="M58" t="str">
        <f t="shared" si="3"/>
        <v>Feb-2024</v>
      </c>
    </row>
    <row r="59" spans="1:13" x14ac:dyDescent="0.35">
      <c r="A59">
        <v>10058</v>
      </c>
      <c r="B59">
        <v>45</v>
      </c>
      <c r="C59" t="s">
        <v>10</v>
      </c>
      <c r="D59" t="s">
        <v>12</v>
      </c>
      <c r="E59" s="2">
        <v>45597</v>
      </c>
      <c r="F59" s="2">
        <v>46019</v>
      </c>
      <c r="G59">
        <v>800</v>
      </c>
      <c r="H59" t="s">
        <v>14</v>
      </c>
      <c r="I59" t="s">
        <v>16</v>
      </c>
      <c r="J59">
        <f t="shared" si="1"/>
        <v>9600</v>
      </c>
      <c r="K59" t="str">
        <f t="shared" si="0"/>
        <v>35+</v>
      </c>
      <c r="L59" t="str">
        <f t="shared" ca="1" si="2"/>
        <v>Safe</v>
      </c>
      <c r="M59" t="str">
        <f t="shared" si="3"/>
        <v>Nov-2024</v>
      </c>
    </row>
    <row r="60" spans="1:13" x14ac:dyDescent="0.35">
      <c r="A60">
        <v>10059</v>
      </c>
      <c r="B60">
        <v>31</v>
      </c>
      <c r="C60" t="s">
        <v>9</v>
      </c>
      <c r="D60" t="s">
        <v>11</v>
      </c>
      <c r="E60" s="2">
        <v>45644</v>
      </c>
      <c r="F60" s="2">
        <v>46018</v>
      </c>
      <c r="G60">
        <v>1700</v>
      </c>
      <c r="H60" t="s">
        <v>15</v>
      </c>
      <c r="I60" t="s">
        <v>16</v>
      </c>
      <c r="J60">
        <f t="shared" si="1"/>
        <v>1700</v>
      </c>
      <c r="K60" t="str">
        <f t="shared" si="0"/>
        <v>25-34</v>
      </c>
      <c r="L60" t="str">
        <f t="shared" ca="1" si="2"/>
        <v>Safe</v>
      </c>
      <c r="M60" t="str">
        <f t="shared" si="3"/>
        <v>Dec-2024</v>
      </c>
    </row>
    <row r="61" spans="1:13" x14ac:dyDescent="0.35">
      <c r="A61">
        <v>10060</v>
      </c>
      <c r="B61">
        <v>35</v>
      </c>
      <c r="C61" t="s">
        <v>9</v>
      </c>
      <c r="D61" t="s">
        <v>13</v>
      </c>
      <c r="E61" s="2">
        <v>45367</v>
      </c>
      <c r="F61" s="2">
        <v>46028</v>
      </c>
      <c r="G61">
        <v>1000</v>
      </c>
      <c r="H61" t="s">
        <v>14</v>
      </c>
      <c r="I61" t="s">
        <v>16</v>
      </c>
      <c r="J61">
        <f t="shared" si="1"/>
        <v>3000</v>
      </c>
      <c r="K61" t="str">
        <f t="shared" si="0"/>
        <v>35+</v>
      </c>
      <c r="L61" t="str">
        <f t="shared" ca="1" si="2"/>
        <v>Safe</v>
      </c>
      <c r="M61" t="str">
        <f t="shared" si="3"/>
        <v>Mar-2024</v>
      </c>
    </row>
    <row r="62" spans="1:13" x14ac:dyDescent="0.35">
      <c r="A62">
        <v>10061</v>
      </c>
      <c r="B62">
        <v>43</v>
      </c>
      <c r="C62" t="s">
        <v>9</v>
      </c>
      <c r="D62" t="s">
        <v>11</v>
      </c>
      <c r="E62" s="2">
        <v>45930</v>
      </c>
      <c r="F62" s="2">
        <v>46015</v>
      </c>
      <c r="G62">
        <v>1200</v>
      </c>
      <c r="H62" t="s">
        <v>14</v>
      </c>
      <c r="I62" t="s">
        <v>16</v>
      </c>
      <c r="J62">
        <f t="shared" si="1"/>
        <v>1200</v>
      </c>
      <c r="K62" t="str">
        <f t="shared" si="0"/>
        <v>35+</v>
      </c>
      <c r="L62" t="str">
        <f t="shared" ca="1" si="2"/>
        <v>Safe</v>
      </c>
      <c r="M62" t="str">
        <f t="shared" si="3"/>
        <v>Sep-2025</v>
      </c>
    </row>
    <row r="63" spans="1:13" x14ac:dyDescent="0.35">
      <c r="A63">
        <v>10062</v>
      </c>
      <c r="B63">
        <v>26</v>
      </c>
      <c r="C63" t="s">
        <v>9</v>
      </c>
      <c r="D63" t="s">
        <v>11</v>
      </c>
      <c r="E63" s="2">
        <v>45518</v>
      </c>
      <c r="F63" s="2">
        <v>45969</v>
      </c>
      <c r="G63">
        <v>1200</v>
      </c>
      <c r="H63" t="s">
        <v>14</v>
      </c>
      <c r="I63" t="s">
        <v>17</v>
      </c>
      <c r="J63">
        <f t="shared" si="1"/>
        <v>1200</v>
      </c>
      <c r="K63" t="str">
        <f t="shared" si="0"/>
        <v>25-34</v>
      </c>
      <c r="L63" t="str">
        <f t="shared" ca="1" si="2"/>
        <v>High Risk</v>
      </c>
      <c r="M63" t="str">
        <f t="shared" si="3"/>
        <v>Aug-2024</v>
      </c>
    </row>
    <row r="64" spans="1:13" x14ac:dyDescent="0.35">
      <c r="A64">
        <v>10063</v>
      </c>
      <c r="B64">
        <v>43</v>
      </c>
      <c r="C64" t="s">
        <v>10</v>
      </c>
      <c r="D64" t="s">
        <v>11</v>
      </c>
      <c r="E64" s="2">
        <v>45786</v>
      </c>
      <c r="F64" s="2">
        <v>46022</v>
      </c>
      <c r="G64">
        <v>1200</v>
      </c>
      <c r="H64" t="s">
        <v>14</v>
      </c>
      <c r="I64" t="s">
        <v>16</v>
      </c>
      <c r="J64">
        <f t="shared" si="1"/>
        <v>1200</v>
      </c>
      <c r="K64" t="str">
        <f t="shared" si="0"/>
        <v>35+</v>
      </c>
      <c r="L64" t="str">
        <f t="shared" ca="1" si="2"/>
        <v>Safe</v>
      </c>
      <c r="M64" t="str">
        <f t="shared" si="3"/>
        <v>May-2025</v>
      </c>
    </row>
    <row r="65" spans="1:13" x14ac:dyDescent="0.35">
      <c r="A65">
        <v>10064</v>
      </c>
      <c r="B65">
        <v>38</v>
      </c>
      <c r="C65" t="s">
        <v>9</v>
      </c>
      <c r="D65" t="s">
        <v>13</v>
      </c>
      <c r="E65" s="2">
        <v>45717</v>
      </c>
      <c r="F65" s="2">
        <v>46014</v>
      </c>
      <c r="G65">
        <v>1000</v>
      </c>
      <c r="H65" t="s">
        <v>14</v>
      </c>
      <c r="I65" t="s">
        <v>16</v>
      </c>
      <c r="J65">
        <f t="shared" si="1"/>
        <v>3000</v>
      </c>
      <c r="K65" t="str">
        <f t="shared" si="0"/>
        <v>35+</v>
      </c>
      <c r="L65" t="str">
        <f t="shared" ca="1" si="2"/>
        <v>Safe</v>
      </c>
      <c r="M65" t="str">
        <f t="shared" si="3"/>
        <v>Mar-2025</v>
      </c>
    </row>
    <row r="66" spans="1:13" x14ac:dyDescent="0.35">
      <c r="A66">
        <v>10065</v>
      </c>
      <c r="B66">
        <v>19</v>
      </c>
      <c r="C66" t="s">
        <v>10</v>
      </c>
      <c r="D66" t="s">
        <v>11</v>
      </c>
      <c r="E66" s="2">
        <v>45209</v>
      </c>
      <c r="F66" s="2">
        <v>46019</v>
      </c>
      <c r="G66">
        <v>1200</v>
      </c>
      <c r="H66" t="s">
        <v>14</v>
      </c>
      <c r="I66" t="s">
        <v>16</v>
      </c>
      <c r="J66">
        <f t="shared" si="1"/>
        <v>1200</v>
      </c>
      <c r="K66" t="str">
        <f t="shared" ref="K66:K129" si="4">IF(B66&lt;25,"18-24",IF(B66&lt;35,"25-34","35+"))</f>
        <v>18-24</v>
      </c>
      <c r="L66" t="str">
        <f t="shared" ca="1" si="2"/>
        <v>Safe</v>
      </c>
      <c r="M66" t="str">
        <f t="shared" si="3"/>
        <v>Oct-2023</v>
      </c>
    </row>
    <row r="67" spans="1:13" x14ac:dyDescent="0.35">
      <c r="A67">
        <v>10066</v>
      </c>
      <c r="B67">
        <v>37</v>
      </c>
      <c r="C67" t="s">
        <v>9</v>
      </c>
      <c r="D67" t="s">
        <v>13</v>
      </c>
      <c r="E67" s="2">
        <v>45909</v>
      </c>
      <c r="F67" s="2">
        <v>45925</v>
      </c>
      <c r="G67">
        <v>1500</v>
      </c>
      <c r="H67" t="s">
        <v>15</v>
      </c>
      <c r="I67" t="s">
        <v>17</v>
      </c>
      <c r="J67">
        <f t="shared" ref="J67:J130" si="5">IF(D67="Monthly",G67,IF(D67="Quarterly",G67*3,G67*12))</f>
        <v>4500</v>
      </c>
      <c r="K67" t="str">
        <f t="shared" si="4"/>
        <v>35+</v>
      </c>
      <c r="L67" t="str">
        <f t="shared" ref="L67:L130" ca="1" si="6">IF(F67&lt;TODAY()-30,"High Risk","Safe")</f>
        <v>High Risk</v>
      </c>
      <c r="M67" t="str">
        <f t="shared" ref="M67:M130" si="7">TEXT(E67,"mmm-yyyy")</f>
        <v>Sep-2025</v>
      </c>
    </row>
    <row r="68" spans="1:13" x14ac:dyDescent="0.35">
      <c r="A68">
        <v>10067</v>
      </c>
      <c r="B68">
        <v>45</v>
      </c>
      <c r="C68" t="s">
        <v>10</v>
      </c>
      <c r="D68" t="s">
        <v>11</v>
      </c>
      <c r="E68" s="2">
        <v>45670</v>
      </c>
      <c r="F68" s="2">
        <v>46031</v>
      </c>
      <c r="G68">
        <v>1200</v>
      </c>
      <c r="H68" t="s">
        <v>14</v>
      </c>
      <c r="I68" t="s">
        <v>16</v>
      </c>
      <c r="J68">
        <f t="shared" si="5"/>
        <v>1200</v>
      </c>
      <c r="K68" t="str">
        <f t="shared" si="4"/>
        <v>35+</v>
      </c>
      <c r="L68" t="str">
        <f t="shared" ca="1" si="6"/>
        <v>Safe</v>
      </c>
      <c r="M68" t="str">
        <f t="shared" si="7"/>
        <v>Jan-2025</v>
      </c>
    </row>
    <row r="69" spans="1:13" x14ac:dyDescent="0.35">
      <c r="A69">
        <v>10068</v>
      </c>
      <c r="B69">
        <v>32</v>
      </c>
      <c r="C69" t="s">
        <v>9</v>
      </c>
      <c r="D69" t="s">
        <v>13</v>
      </c>
      <c r="E69" s="2">
        <v>45565</v>
      </c>
      <c r="F69" s="2">
        <v>46015</v>
      </c>
      <c r="G69">
        <v>1000</v>
      </c>
      <c r="H69" t="s">
        <v>14</v>
      </c>
      <c r="I69" t="s">
        <v>16</v>
      </c>
      <c r="J69">
        <f t="shared" si="5"/>
        <v>3000</v>
      </c>
      <c r="K69" t="str">
        <f t="shared" si="4"/>
        <v>25-34</v>
      </c>
      <c r="L69" t="str">
        <f t="shared" ca="1" si="6"/>
        <v>Safe</v>
      </c>
      <c r="M69" t="str">
        <f t="shared" si="7"/>
        <v>Sep-2024</v>
      </c>
    </row>
    <row r="70" spans="1:13" x14ac:dyDescent="0.35">
      <c r="A70">
        <v>10069</v>
      </c>
      <c r="B70">
        <v>45</v>
      </c>
      <c r="C70" t="s">
        <v>10</v>
      </c>
      <c r="D70" t="s">
        <v>11</v>
      </c>
      <c r="E70" s="2">
        <v>45746</v>
      </c>
      <c r="F70" s="2">
        <v>45963</v>
      </c>
      <c r="G70">
        <v>1700</v>
      </c>
      <c r="H70" t="s">
        <v>15</v>
      </c>
      <c r="I70" t="s">
        <v>17</v>
      </c>
      <c r="J70">
        <f t="shared" si="5"/>
        <v>1700</v>
      </c>
      <c r="K70" t="str">
        <f t="shared" si="4"/>
        <v>35+</v>
      </c>
      <c r="L70" t="str">
        <f t="shared" ca="1" si="6"/>
        <v>High Risk</v>
      </c>
      <c r="M70" t="str">
        <f t="shared" si="7"/>
        <v>Mar-2025</v>
      </c>
    </row>
    <row r="71" spans="1:13" x14ac:dyDescent="0.35">
      <c r="A71">
        <v>10070</v>
      </c>
      <c r="B71">
        <v>24</v>
      </c>
      <c r="C71" t="s">
        <v>10</v>
      </c>
      <c r="D71" t="s">
        <v>13</v>
      </c>
      <c r="E71" s="2">
        <v>45433</v>
      </c>
      <c r="F71" s="2">
        <v>45936</v>
      </c>
      <c r="G71">
        <v>1500</v>
      </c>
      <c r="H71" t="s">
        <v>15</v>
      </c>
      <c r="I71" t="s">
        <v>17</v>
      </c>
      <c r="J71">
        <f t="shared" si="5"/>
        <v>4500</v>
      </c>
      <c r="K71" t="str">
        <f t="shared" si="4"/>
        <v>18-24</v>
      </c>
      <c r="L71" t="str">
        <f t="shared" ca="1" si="6"/>
        <v>High Risk</v>
      </c>
      <c r="M71" t="str">
        <f t="shared" si="7"/>
        <v>May-2024</v>
      </c>
    </row>
    <row r="72" spans="1:13" x14ac:dyDescent="0.35">
      <c r="A72">
        <v>10071</v>
      </c>
      <c r="B72">
        <v>29</v>
      </c>
      <c r="C72" t="s">
        <v>9</v>
      </c>
      <c r="D72" t="s">
        <v>12</v>
      </c>
      <c r="E72" s="2">
        <v>45192</v>
      </c>
      <c r="F72" s="2">
        <v>46032</v>
      </c>
      <c r="G72">
        <v>1300</v>
      </c>
      <c r="H72" t="s">
        <v>15</v>
      </c>
      <c r="I72" t="s">
        <v>16</v>
      </c>
      <c r="J72">
        <f t="shared" si="5"/>
        <v>15600</v>
      </c>
      <c r="K72" t="str">
        <f t="shared" si="4"/>
        <v>25-34</v>
      </c>
      <c r="L72" t="str">
        <f t="shared" ca="1" si="6"/>
        <v>Safe</v>
      </c>
      <c r="M72" t="str">
        <f t="shared" si="7"/>
        <v>Sep-2023</v>
      </c>
    </row>
    <row r="73" spans="1:13" x14ac:dyDescent="0.35">
      <c r="A73">
        <v>10072</v>
      </c>
      <c r="B73">
        <v>25</v>
      </c>
      <c r="C73" t="s">
        <v>9</v>
      </c>
      <c r="D73" t="s">
        <v>13</v>
      </c>
      <c r="E73" s="2">
        <v>45269</v>
      </c>
      <c r="F73" s="2">
        <v>46013</v>
      </c>
      <c r="G73">
        <v>1000</v>
      </c>
      <c r="H73" t="s">
        <v>14</v>
      </c>
      <c r="I73" t="s">
        <v>16</v>
      </c>
      <c r="J73">
        <f t="shared" si="5"/>
        <v>3000</v>
      </c>
      <c r="K73" t="str">
        <f t="shared" si="4"/>
        <v>25-34</v>
      </c>
      <c r="L73" t="str">
        <f t="shared" ca="1" si="6"/>
        <v>Safe</v>
      </c>
      <c r="M73" t="str">
        <f t="shared" si="7"/>
        <v>Dec-2023</v>
      </c>
    </row>
    <row r="74" spans="1:13" x14ac:dyDescent="0.35">
      <c r="A74">
        <v>10073</v>
      </c>
      <c r="B74">
        <v>32</v>
      </c>
      <c r="C74" t="s">
        <v>10</v>
      </c>
      <c r="D74" t="s">
        <v>12</v>
      </c>
      <c r="E74" s="2">
        <v>45216</v>
      </c>
      <c r="F74" s="2">
        <v>45934</v>
      </c>
      <c r="G74">
        <v>1300</v>
      </c>
      <c r="H74" t="s">
        <v>15</v>
      </c>
      <c r="I74" t="s">
        <v>17</v>
      </c>
      <c r="J74">
        <f t="shared" si="5"/>
        <v>15600</v>
      </c>
      <c r="K74" t="str">
        <f t="shared" si="4"/>
        <v>25-34</v>
      </c>
      <c r="L74" t="str">
        <f t="shared" ca="1" si="6"/>
        <v>High Risk</v>
      </c>
      <c r="M74" t="str">
        <f t="shared" si="7"/>
        <v>Oct-2023</v>
      </c>
    </row>
    <row r="75" spans="1:13" x14ac:dyDescent="0.35">
      <c r="A75">
        <v>10074</v>
      </c>
      <c r="B75">
        <v>20</v>
      </c>
      <c r="C75" t="s">
        <v>10</v>
      </c>
      <c r="D75" t="s">
        <v>11</v>
      </c>
      <c r="E75" s="2">
        <v>45404</v>
      </c>
      <c r="F75" s="2">
        <v>45928</v>
      </c>
      <c r="G75">
        <v>1700</v>
      </c>
      <c r="H75" t="s">
        <v>15</v>
      </c>
      <c r="I75" t="s">
        <v>17</v>
      </c>
      <c r="J75">
        <f t="shared" si="5"/>
        <v>1700</v>
      </c>
      <c r="K75" t="str">
        <f t="shared" si="4"/>
        <v>18-24</v>
      </c>
      <c r="L75" t="str">
        <f t="shared" ca="1" si="6"/>
        <v>High Risk</v>
      </c>
      <c r="M75" t="str">
        <f t="shared" si="7"/>
        <v>Apr-2024</v>
      </c>
    </row>
    <row r="76" spans="1:13" x14ac:dyDescent="0.35">
      <c r="A76">
        <v>10075</v>
      </c>
      <c r="B76">
        <v>31</v>
      </c>
      <c r="C76" t="s">
        <v>9</v>
      </c>
      <c r="D76" t="s">
        <v>13</v>
      </c>
      <c r="E76" s="2">
        <v>45629</v>
      </c>
      <c r="F76" s="2">
        <v>46015</v>
      </c>
      <c r="G76">
        <v>1000</v>
      </c>
      <c r="H76" t="s">
        <v>14</v>
      </c>
      <c r="I76" t="s">
        <v>16</v>
      </c>
      <c r="J76">
        <f t="shared" si="5"/>
        <v>3000</v>
      </c>
      <c r="K76" t="str">
        <f t="shared" si="4"/>
        <v>25-34</v>
      </c>
      <c r="L76" t="str">
        <f t="shared" ca="1" si="6"/>
        <v>Safe</v>
      </c>
      <c r="M76" t="str">
        <f t="shared" si="7"/>
        <v>Dec-2024</v>
      </c>
    </row>
    <row r="77" spans="1:13" x14ac:dyDescent="0.35">
      <c r="A77">
        <v>10076</v>
      </c>
      <c r="B77">
        <v>34</v>
      </c>
      <c r="C77" t="s">
        <v>10</v>
      </c>
      <c r="D77" t="s">
        <v>11</v>
      </c>
      <c r="E77" s="2">
        <v>45981</v>
      </c>
      <c r="F77" s="2">
        <v>46024</v>
      </c>
      <c r="G77">
        <v>1200</v>
      </c>
      <c r="H77" t="s">
        <v>14</v>
      </c>
      <c r="I77" t="s">
        <v>16</v>
      </c>
      <c r="J77">
        <f t="shared" si="5"/>
        <v>1200</v>
      </c>
      <c r="K77" t="str">
        <f t="shared" si="4"/>
        <v>25-34</v>
      </c>
      <c r="L77" t="str">
        <f t="shared" ca="1" si="6"/>
        <v>Safe</v>
      </c>
      <c r="M77" t="str">
        <f t="shared" si="7"/>
        <v>Nov-2025</v>
      </c>
    </row>
    <row r="78" spans="1:13" x14ac:dyDescent="0.35">
      <c r="A78">
        <v>10077</v>
      </c>
      <c r="B78">
        <v>21</v>
      </c>
      <c r="C78" t="s">
        <v>10</v>
      </c>
      <c r="D78" t="s">
        <v>11</v>
      </c>
      <c r="E78" s="2">
        <v>45584</v>
      </c>
      <c r="F78" s="2">
        <v>46030</v>
      </c>
      <c r="G78">
        <v>1700</v>
      </c>
      <c r="H78" t="s">
        <v>15</v>
      </c>
      <c r="I78" t="s">
        <v>16</v>
      </c>
      <c r="J78">
        <f t="shared" si="5"/>
        <v>1700</v>
      </c>
      <c r="K78" t="str">
        <f t="shared" si="4"/>
        <v>18-24</v>
      </c>
      <c r="L78" t="str">
        <f t="shared" ca="1" si="6"/>
        <v>Safe</v>
      </c>
      <c r="M78" t="str">
        <f t="shared" si="7"/>
        <v>Oct-2024</v>
      </c>
    </row>
    <row r="79" spans="1:13" x14ac:dyDescent="0.35">
      <c r="A79">
        <v>10078</v>
      </c>
      <c r="B79">
        <v>35</v>
      </c>
      <c r="C79" t="s">
        <v>10</v>
      </c>
      <c r="D79" t="s">
        <v>13</v>
      </c>
      <c r="E79" s="2">
        <v>45941</v>
      </c>
      <c r="F79" s="2">
        <v>46020</v>
      </c>
      <c r="G79">
        <v>1000</v>
      </c>
      <c r="H79" t="s">
        <v>14</v>
      </c>
      <c r="I79" t="s">
        <v>16</v>
      </c>
      <c r="J79">
        <f t="shared" si="5"/>
        <v>3000</v>
      </c>
      <c r="K79" t="str">
        <f t="shared" si="4"/>
        <v>35+</v>
      </c>
      <c r="L79" t="str">
        <f t="shared" ca="1" si="6"/>
        <v>Safe</v>
      </c>
      <c r="M79" t="str">
        <f t="shared" si="7"/>
        <v>Oct-2025</v>
      </c>
    </row>
    <row r="80" spans="1:13" x14ac:dyDescent="0.35">
      <c r="A80">
        <v>10079</v>
      </c>
      <c r="B80">
        <v>25</v>
      </c>
      <c r="C80" t="s">
        <v>10</v>
      </c>
      <c r="D80" t="s">
        <v>12</v>
      </c>
      <c r="E80" s="2">
        <v>45921</v>
      </c>
      <c r="F80" s="2">
        <v>46026</v>
      </c>
      <c r="G80">
        <v>800</v>
      </c>
      <c r="H80" t="s">
        <v>14</v>
      </c>
      <c r="I80" t="s">
        <v>16</v>
      </c>
      <c r="J80">
        <f t="shared" si="5"/>
        <v>9600</v>
      </c>
      <c r="K80" t="str">
        <f t="shared" si="4"/>
        <v>25-34</v>
      </c>
      <c r="L80" t="str">
        <f t="shared" ca="1" si="6"/>
        <v>Safe</v>
      </c>
      <c r="M80" t="str">
        <f t="shared" si="7"/>
        <v>Sep-2025</v>
      </c>
    </row>
    <row r="81" spans="1:13" x14ac:dyDescent="0.35">
      <c r="A81">
        <v>10080</v>
      </c>
      <c r="B81">
        <v>21</v>
      </c>
      <c r="C81" t="s">
        <v>10</v>
      </c>
      <c r="D81" t="s">
        <v>11</v>
      </c>
      <c r="E81" s="2">
        <v>45879</v>
      </c>
      <c r="F81" s="2">
        <v>45950</v>
      </c>
      <c r="G81">
        <v>1200</v>
      </c>
      <c r="H81" t="s">
        <v>14</v>
      </c>
      <c r="I81" t="s">
        <v>17</v>
      </c>
      <c r="J81">
        <f t="shared" si="5"/>
        <v>1200</v>
      </c>
      <c r="K81" t="str">
        <f t="shared" si="4"/>
        <v>18-24</v>
      </c>
      <c r="L81" t="str">
        <f t="shared" ca="1" si="6"/>
        <v>High Risk</v>
      </c>
      <c r="M81" t="str">
        <f t="shared" si="7"/>
        <v>Aug-2025</v>
      </c>
    </row>
    <row r="82" spans="1:13" x14ac:dyDescent="0.35">
      <c r="A82">
        <v>10081</v>
      </c>
      <c r="B82">
        <v>19</v>
      </c>
      <c r="C82" t="s">
        <v>9</v>
      </c>
      <c r="D82" t="s">
        <v>13</v>
      </c>
      <c r="E82" s="2">
        <v>45845</v>
      </c>
      <c r="F82" s="2">
        <v>45983</v>
      </c>
      <c r="G82">
        <v>1000</v>
      </c>
      <c r="H82" t="s">
        <v>14</v>
      </c>
      <c r="I82" t="s">
        <v>17</v>
      </c>
      <c r="J82">
        <f t="shared" si="5"/>
        <v>3000</v>
      </c>
      <c r="K82" t="str">
        <f t="shared" si="4"/>
        <v>18-24</v>
      </c>
      <c r="L82" t="str">
        <f t="shared" ca="1" si="6"/>
        <v>High Risk</v>
      </c>
      <c r="M82" t="str">
        <f t="shared" si="7"/>
        <v>Jul-2025</v>
      </c>
    </row>
    <row r="83" spans="1:13" x14ac:dyDescent="0.35">
      <c r="A83">
        <v>10082</v>
      </c>
      <c r="B83">
        <v>23</v>
      </c>
      <c r="C83" t="s">
        <v>9</v>
      </c>
      <c r="D83" t="s">
        <v>13</v>
      </c>
      <c r="E83" s="2">
        <v>45243</v>
      </c>
      <c r="F83" s="2">
        <v>46011</v>
      </c>
      <c r="G83">
        <v>1500</v>
      </c>
      <c r="H83" t="s">
        <v>15</v>
      </c>
      <c r="I83" t="s">
        <v>16</v>
      </c>
      <c r="J83">
        <f t="shared" si="5"/>
        <v>4500</v>
      </c>
      <c r="K83" t="str">
        <f t="shared" si="4"/>
        <v>18-24</v>
      </c>
      <c r="L83" t="str">
        <f t="shared" ca="1" si="6"/>
        <v>Safe</v>
      </c>
      <c r="M83" t="str">
        <f t="shared" si="7"/>
        <v>Nov-2023</v>
      </c>
    </row>
    <row r="84" spans="1:13" x14ac:dyDescent="0.35">
      <c r="A84">
        <v>10083</v>
      </c>
      <c r="B84">
        <v>39</v>
      </c>
      <c r="C84" t="s">
        <v>9</v>
      </c>
      <c r="D84" t="s">
        <v>11</v>
      </c>
      <c r="E84" s="2">
        <v>45539</v>
      </c>
      <c r="F84" s="2">
        <v>46015</v>
      </c>
      <c r="G84">
        <v>1700</v>
      </c>
      <c r="H84" t="s">
        <v>15</v>
      </c>
      <c r="I84" t="s">
        <v>16</v>
      </c>
      <c r="J84">
        <f t="shared" si="5"/>
        <v>1700</v>
      </c>
      <c r="K84" t="str">
        <f t="shared" si="4"/>
        <v>35+</v>
      </c>
      <c r="L84" t="str">
        <f t="shared" ca="1" si="6"/>
        <v>Safe</v>
      </c>
      <c r="M84" t="str">
        <f t="shared" si="7"/>
        <v>Sep-2024</v>
      </c>
    </row>
    <row r="85" spans="1:13" x14ac:dyDescent="0.35">
      <c r="A85">
        <v>10084</v>
      </c>
      <c r="B85">
        <v>27</v>
      </c>
      <c r="C85" t="s">
        <v>10</v>
      </c>
      <c r="D85" t="s">
        <v>11</v>
      </c>
      <c r="E85" s="2">
        <v>45872</v>
      </c>
      <c r="F85" s="2">
        <v>46017</v>
      </c>
      <c r="G85">
        <v>1200</v>
      </c>
      <c r="H85" t="s">
        <v>14</v>
      </c>
      <c r="I85" t="s">
        <v>16</v>
      </c>
      <c r="J85">
        <f t="shared" si="5"/>
        <v>1200</v>
      </c>
      <c r="K85" t="str">
        <f t="shared" si="4"/>
        <v>25-34</v>
      </c>
      <c r="L85" t="str">
        <f t="shared" ca="1" si="6"/>
        <v>Safe</v>
      </c>
      <c r="M85" t="str">
        <f t="shared" si="7"/>
        <v>Aug-2025</v>
      </c>
    </row>
    <row r="86" spans="1:13" x14ac:dyDescent="0.35">
      <c r="A86">
        <v>10085</v>
      </c>
      <c r="B86">
        <v>21</v>
      </c>
      <c r="C86" t="s">
        <v>10</v>
      </c>
      <c r="D86" t="s">
        <v>11</v>
      </c>
      <c r="E86" s="2">
        <v>45392</v>
      </c>
      <c r="F86" s="2">
        <v>46011</v>
      </c>
      <c r="G86">
        <v>1700</v>
      </c>
      <c r="H86" t="s">
        <v>15</v>
      </c>
      <c r="I86" t="s">
        <v>16</v>
      </c>
      <c r="J86">
        <f t="shared" si="5"/>
        <v>1700</v>
      </c>
      <c r="K86" t="str">
        <f t="shared" si="4"/>
        <v>18-24</v>
      </c>
      <c r="L86" t="str">
        <f t="shared" ca="1" si="6"/>
        <v>Safe</v>
      </c>
      <c r="M86" t="str">
        <f t="shared" si="7"/>
        <v>Apr-2024</v>
      </c>
    </row>
    <row r="87" spans="1:13" x14ac:dyDescent="0.35">
      <c r="A87">
        <v>10086</v>
      </c>
      <c r="B87">
        <v>39</v>
      </c>
      <c r="C87" t="s">
        <v>9</v>
      </c>
      <c r="D87" t="s">
        <v>11</v>
      </c>
      <c r="E87" s="2">
        <v>45413</v>
      </c>
      <c r="F87" s="2">
        <v>46028</v>
      </c>
      <c r="G87">
        <v>1700</v>
      </c>
      <c r="H87" t="s">
        <v>15</v>
      </c>
      <c r="I87" t="s">
        <v>16</v>
      </c>
      <c r="J87">
        <f t="shared" si="5"/>
        <v>1700</v>
      </c>
      <c r="K87" t="str">
        <f t="shared" si="4"/>
        <v>35+</v>
      </c>
      <c r="L87" t="str">
        <f t="shared" ca="1" si="6"/>
        <v>Safe</v>
      </c>
      <c r="M87" t="str">
        <f t="shared" si="7"/>
        <v>May-2024</v>
      </c>
    </row>
    <row r="88" spans="1:13" x14ac:dyDescent="0.35">
      <c r="A88">
        <v>10087</v>
      </c>
      <c r="B88">
        <v>35</v>
      </c>
      <c r="C88" t="s">
        <v>10</v>
      </c>
      <c r="D88" t="s">
        <v>11</v>
      </c>
      <c r="E88" s="2">
        <v>45328</v>
      </c>
      <c r="F88" s="2">
        <v>45963</v>
      </c>
      <c r="G88">
        <v>1200</v>
      </c>
      <c r="H88" t="s">
        <v>14</v>
      </c>
      <c r="I88" t="s">
        <v>17</v>
      </c>
      <c r="J88">
        <f t="shared" si="5"/>
        <v>1200</v>
      </c>
      <c r="K88" t="str">
        <f t="shared" si="4"/>
        <v>35+</v>
      </c>
      <c r="L88" t="str">
        <f t="shared" ca="1" si="6"/>
        <v>High Risk</v>
      </c>
      <c r="M88" t="str">
        <f t="shared" si="7"/>
        <v>Feb-2024</v>
      </c>
    </row>
    <row r="89" spans="1:13" x14ac:dyDescent="0.35">
      <c r="A89">
        <v>10088</v>
      </c>
      <c r="B89">
        <v>43</v>
      </c>
      <c r="C89" t="s">
        <v>10</v>
      </c>
      <c r="D89" t="s">
        <v>11</v>
      </c>
      <c r="E89" s="2">
        <v>45206</v>
      </c>
      <c r="F89" s="2">
        <v>45989</v>
      </c>
      <c r="G89">
        <v>1700</v>
      </c>
      <c r="H89" t="s">
        <v>15</v>
      </c>
      <c r="I89" t="s">
        <v>17</v>
      </c>
      <c r="J89">
        <f t="shared" si="5"/>
        <v>1700</v>
      </c>
      <c r="K89" t="str">
        <f t="shared" si="4"/>
        <v>35+</v>
      </c>
      <c r="L89" t="str">
        <f t="shared" ca="1" si="6"/>
        <v>High Risk</v>
      </c>
      <c r="M89" t="str">
        <f t="shared" si="7"/>
        <v>Oct-2023</v>
      </c>
    </row>
    <row r="90" spans="1:13" x14ac:dyDescent="0.35">
      <c r="A90">
        <v>10089</v>
      </c>
      <c r="B90">
        <v>29</v>
      </c>
      <c r="C90" t="s">
        <v>9</v>
      </c>
      <c r="D90" t="s">
        <v>11</v>
      </c>
      <c r="E90" s="2">
        <v>45377</v>
      </c>
      <c r="F90" s="2">
        <v>46029</v>
      </c>
      <c r="G90">
        <v>1200</v>
      </c>
      <c r="H90" t="s">
        <v>14</v>
      </c>
      <c r="I90" t="s">
        <v>16</v>
      </c>
      <c r="J90">
        <f t="shared" si="5"/>
        <v>1200</v>
      </c>
      <c r="K90" t="str">
        <f t="shared" si="4"/>
        <v>25-34</v>
      </c>
      <c r="L90" t="str">
        <f t="shared" ca="1" si="6"/>
        <v>Safe</v>
      </c>
      <c r="M90" t="str">
        <f t="shared" si="7"/>
        <v>Mar-2024</v>
      </c>
    </row>
    <row r="91" spans="1:13" x14ac:dyDescent="0.35">
      <c r="A91">
        <v>10090</v>
      </c>
      <c r="B91">
        <v>19</v>
      </c>
      <c r="C91" t="s">
        <v>9</v>
      </c>
      <c r="D91" t="s">
        <v>13</v>
      </c>
      <c r="E91" s="2">
        <v>45490</v>
      </c>
      <c r="F91" s="2">
        <v>45967</v>
      </c>
      <c r="G91">
        <v>1500</v>
      </c>
      <c r="H91" t="s">
        <v>15</v>
      </c>
      <c r="I91" t="s">
        <v>17</v>
      </c>
      <c r="J91">
        <f t="shared" si="5"/>
        <v>4500</v>
      </c>
      <c r="K91" t="str">
        <f t="shared" si="4"/>
        <v>18-24</v>
      </c>
      <c r="L91" t="str">
        <f t="shared" ca="1" si="6"/>
        <v>High Risk</v>
      </c>
      <c r="M91" t="str">
        <f t="shared" si="7"/>
        <v>Jul-2024</v>
      </c>
    </row>
    <row r="92" spans="1:13" x14ac:dyDescent="0.35">
      <c r="A92">
        <v>10091</v>
      </c>
      <c r="B92">
        <v>27</v>
      </c>
      <c r="C92" t="s">
        <v>9</v>
      </c>
      <c r="D92" t="s">
        <v>13</v>
      </c>
      <c r="E92" s="2">
        <v>45655</v>
      </c>
      <c r="F92" s="2">
        <v>45970</v>
      </c>
      <c r="G92">
        <v>1000</v>
      </c>
      <c r="H92" t="s">
        <v>14</v>
      </c>
      <c r="I92" t="s">
        <v>17</v>
      </c>
      <c r="J92">
        <f t="shared" si="5"/>
        <v>3000</v>
      </c>
      <c r="K92" t="str">
        <f t="shared" si="4"/>
        <v>25-34</v>
      </c>
      <c r="L92" t="str">
        <f t="shared" ca="1" si="6"/>
        <v>High Risk</v>
      </c>
      <c r="M92" t="str">
        <f t="shared" si="7"/>
        <v>Dec-2024</v>
      </c>
    </row>
    <row r="93" spans="1:13" x14ac:dyDescent="0.35">
      <c r="A93">
        <v>10092</v>
      </c>
      <c r="B93">
        <v>21</v>
      </c>
      <c r="C93" t="s">
        <v>9</v>
      </c>
      <c r="D93" t="s">
        <v>12</v>
      </c>
      <c r="E93" s="2">
        <v>45769</v>
      </c>
      <c r="F93" s="2">
        <v>46032</v>
      </c>
      <c r="G93">
        <v>800</v>
      </c>
      <c r="H93" t="s">
        <v>14</v>
      </c>
      <c r="I93" t="s">
        <v>16</v>
      </c>
      <c r="J93">
        <f t="shared" si="5"/>
        <v>9600</v>
      </c>
      <c r="K93" t="str">
        <f t="shared" si="4"/>
        <v>18-24</v>
      </c>
      <c r="L93" t="str">
        <f t="shared" ca="1" si="6"/>
        <v>Safe</v>
      </c>
      <c r="M93" t="str">
        <f t="shared" si="7"/>
        <v>Apr-2025</v>
      </c>
    </row>
    <row r="94" spans="1:13" x14ac:dyDescent="0.35">
      <c r="A94">
        <v>10093</v>
      </c>
      <c r="B94">
        <v>31</v>
      </c>
      <c r="C94" t="s">
        <v>9</v>
      </c>
      <c r="D94" t="s">
        <v>11</v>
      </c>
      <c r="E94" s="2">
        <v>45430</v>
      </c>
      <c r="F94" s="2">
        <v>46018</v>
      </c>
      <c r="G94">
        <v>1200</v>
      </c>
      <c r="H94" t="s">
        <v>14</v>
      </c>
      <c r="I94" t="s">
        <v>16</v>
      </c>
      <c r="J94">
        <f t="shared" si="5"/>
        <v>1200</v>
      </c>
      <c r="K94" t="str">
        <f t="shared" si="4"/>
        <v>25-34</v>
      </c>
      <c r="L94" t="str">
        <f t="shared" ca="1" si="6"/>
        <v>Safe</v>
      </c>
      <c r="M94" t="str">
        <f t="shared" si="7"/>
        <v>May-2024</v>
      </c>
    </row>
    <row r="95" spans="1:13" x14ac:dyDescent="0.35">
      <c r="A95">
        <v>10094</v>
      </c>
      <c r="B95">
        <v>33</v>
      </c>
      <c r="C95" t="s">
        <v>9</v>
      </c>
      <c r="D95" t="s">
        <v>12</v>
      </c>
      <c r="E95" s="2">
        <v>45282</v>
      </c>
      <c r="F95" s="2">
        <v>46022</v>
      </c>
      <c r="G95">
        <v>1300</v>
      </c>
      <c r="H95" t="s">
        <v>15</v>
      </c>
      <c r="I95" t="s">
        <v>16</v>
      </c>
      <c r="J95">
        <f t="shared" si="5"/>
        <v>15600</v>
      </c>
      <c r="K95" t="str">
        <f t="shared" si="4"/>
        <v>25-34</v>
      </c>
      <c r="L95" t="str">
        <f t="shared" ca="1" si="6"/>
        <v>Safe</v>
      </c>
      <c r="M95" t="str">
        <f t="shared" si="7"/>
        <v>Dec-2023</v>
      </c>
    </row>
    <row r="96" spans="1:13" x14ac:dyDescent="0.35">
      <c r="A96">
        <v>10095</v>
      </c>
      <c r="B96">
        <v>32</v>
      </c>
      <c r="C96" t="s">
        <v>9</v>
      </c>
      <c r="D96" t="s">
        <v>12</v>
      </c>
      <c r="E96" s="2">
        <v>45925</v>
      </c>
      <c r="F96" s="2">
        <v>46008</v>
      </c>
      <c r="G96">
        <v>800</v>
      </c>
      <c r="H96" t="s">
        <v>14</v>
      </c>
      <c r="I96" t="s">
        <v>16</v>
      </c>
      <c r="J96">
        <f t="shared" si="5"/>
        <v>9600</v>
      </c>
      <c r="K96" t="str">
        <f t="shared" si="4"/>
        <v>25-34</v>
      </c>
      <c r="L96" t="str">
        <f t="shared" ca="1" si="6"/>
        <v>Safe</v>
      </c>
      <c r="M96" t="str">
        <f t="shared" si="7"/>
        <v>Sep-2025</v>
      </c>
    </row>
    <row r="97" spans="1:13" x14ac:dyDescent="0.35">
      <c r="A97">
        <v>10096</v>
      </c>
      <c r="B97">
        <v>25</v>
      </c>
      <c r="C97" t="s">
        <v>9</v>
      </c>
      <c r="D97" t="s">
        <v>13</v>
      </c>
      <c r="E97" s="2">
        <v>45171</v>
      </c>
      <c r="F97" s="2">
        <v>46020</v>
      </c>
      <c r="G97">
        <v>1000</v>
      </c>
      <c r="H97" t="s">
        <v>14</v>
      </c>
      <c r="I97" t="s">
        <v>16</v>
      </c>
      <c r="J97">
        <f t="shared" si="5"/>
        <v>3000</v>
      </c>
      <c r="K97" t="str">
        <f t="shared" si="4"/>
        <v>25-34</v>
      </c>
      <c r="L97" t="str">
        <f t="shared" ca="1" si="6"/>
        <v>Safe</v>
      </c>
      <c r="M97" t="str">
        <f t="shared" si="7"/>
        <v>Sep-2023</v>
      </c>
    </row>
    <row r="98" spans="1:13" x14ac:dyDescent="0.35">
      <c r="A98">
        <v>10097</v>
      </c>
      <c r="B98">
        <v>31</v>
      </c>
      <c r="C98" t="s">
        <v>9</v>
      </c>
      <c r="D98" t="s">
        <v>11</v>
      </c>
      <c r="E98" s="2">
        <v>45652</v>
      </c>
      <c r="F98" s="2">
        <v>45956</v>
      </c>
      <c r="G98">
        <v>1200</v>
      </c>
      <c r="H98" t="s">
        <v>14</v>
      </c>
      <c r="I98" t="s">
        <v>17</v>
      </c>
      <c r="J98">
        <f t="shared" si="5"/>
        <v>1200</v>
      </c>
      <c r="K98" t="str">
        <f t="shared" si="4"/>
        <v>25-34</v>
      </c>
      <c r="L98" t="str">
        <f t="shared" ca="1" si="6"/>
        <v>High Risk</v>
      </c>
      <c r="M98" t="str">
        <f t="shared" si="7"/>
        <v>Dec-2024</v>
      </c>
    </row>
    <row r="99" spans="1:13" x14ac:dyDescent="0.35">
      <c r="A99">
        <v>10098</v>
      </c>
      <c r="B99">
        <v>40</v>
      </c>
      <c r="C99" t="s">
        <v>9</v>
      </c>
      <c r="D99" t="s">
        <v>12</v>
      </c>
      <c r="E99" s="2">
        <v>45482</v>
      </c>
      <c r="F99" s="2">
        <v>46010</v>
      </c>
      <c r="G99">
        <v>800</v>
      </c>
      <c r="H99" t="s">
        <v>14</v>
      </c>
      <c r="I99" t="s">
        <v>16</v>
      </c>
      <c r="J99">
        <f t="shared" si="5"/>
        <v>9600</v>
      </c>
      <c r="K99" t="str">
        <f t="shared" si="4"/>
        <v>35+</v>
      </c>
      <c r="L99" t="str">
        <f t="shared" ca="1" si="6"/>
        <v>Safe</v>
      </c>
      <c r="M99" t="str">
        <f t="shared" si="7"/>
        <v>Jul-2024</v>
      </c>
    </row>
    <row r="100" spans="1:13" x14ac:dyDescent="0.35">
      <c r="A100">
        <v>10099</v>
      </c>
      <c r="B100">
        <v>45</v>
      </c>
      <c r="C100" t="s">
        <v>10</v>
      </c>
      <c r="D100" t="s">
        <v>11</v>
      </c>
      <c r="E100" s="2">
        <v>45402</v>
      </c>
      <c r="F100" s="2">
        <v>45922</v>
      </c>
      <c r="G100">
        <v>1200</v>
      </c>
      <c r="H100" t="s">
        <v>14</v>
      </c>
      <c r="I100" t="s">
        <v>17</v>
      </c>
      <c r="J100">
        <f t="shared" si="5"/>
        <v>1200</v>
      </c>
      <c r="K100" t="str">
        <f t="shared" si="4"/>
        <v>35+</v>
      </c>
      <c r="L100" t="str">
        <f t="shared" ca="1" si="6"/>
        <v>High Risk</v>
      </c>
      <c r="M100" t="str">
        <f t="shared" si="7"/>
        <v>Apr-2024</v>
      </c>
    </row>
    <row r="101" spans="1:13" x14ac:dyDescent="0.35">
      <c r="A101">
        <v>10100</v>
      </c>
      <c r="B101">
        <v>42</v>
      </c>
      <c r="C101" t="s">
        <v>9</v>
      </c>
      <c r="D101" t="s">
        <v>11</v>
      </c>
      <c r="E101" s="2">
        <v>45684</v>
      </c>
      <c r="F101" s="2">
        <v>46030</v>
      </c>
      <c r="G101">
        <v>1200</v>
      </c>
      <c r="H101" t="s">
        <v>14</v>
      </c>
      <c r="I101" t="s">
        <v>16</v>
      </c>
      <c r="J101">
        <f t="shared" si="5"/>
        <v>1200</v>
      </c>
      <c r="K101" t="str">
        <f t="shared" si="4"/>
        <v>35+</v>
      </c>
      <c r="L101" t="str">
        <f t="shared" ca="1" si="6"/>
        <v>Safe</v>
      </c>
      <c r="M101" t="str">
        <f t="shared" si="7"/>
        <v>Jan-2025</v>
      </c>
    </row>
    <row r="102" spans="1:13" x14ac:dyDescent="0.35">
      <c r="A102">
        <v>10101</v>
      </c>
      <c r="B102">
        <v>25</v>
      </c>
      <c r="C102" t="s">
        <v>10</v>
      </c>
      <c r="D102" t="s">
        <v>13</v>
      </c>
      <c r="E102" s="2">
        <v>45382</v>
      </c>
      <c r="F102" s="2">
        <v>46013</v>
      </c>
      <c r="G102">
        <v>1000</v>
      </c>
      <c r="H102" t="s">
        <v>14</v>
      </c>
      <c r="I102" t="s">
        <v>16</v>
      </c>
      <c r="J102">
        <f t="shared" si="5"/>
        <v>3000</v>
      </c>
      <c r="K102" t="str">
        <f t="shared" si="4"/>
        <v>25-34</v>
      </c>
      <c r="L102" t="str">
        <f t="shared" ca="1" si="6"/>
        <v>Safe</v>
      </c>
      <c r="M102" t="str">
        <f t="shared" si="7"/>
        <v>Mar-2024</v>
      </c>
    </row>
    <row r="103" spans="1:13" x14ac:dyDescent="0.35">
      <c r="A103">
        <v>10102</v>
      </c>
      <c r="B103">
        <v>38</v>
      </c>
      <c r="C103" t="s">
        <v>10</v>
      </c>
      <c r="D103" t="s">
        <v>13</v>
      </c>
      <c r="E103" s="2">
        <v>45396</v>
      </c>
      <c r="F103" s="2">
        <v>46008</v>
      </c>
      <c r="G103">
        <v>1000</v>
      </c>
      <c r="H103" t="s">
        <v>14</v>
      </c>
      <c r="I103" t="s">
        <v>16</v>
      </c>
      <c r="J103">
        <f t="shared" si="5"/>
        <v>3000</v>
      </c>
      <c r="K103" t="str">
        <f t="shared" si="4"/>
        <v>35+</v>
      </c>
      <c r="L103" t="str">
        <f t="shared" ca="1" si="6"/>
        <v>Safe</v>
      </c>
      <c r="M103" t="str">
        <f t="shared" si="7"/>
        <v>Apr-2024</v>
      </c>
    </row>
    <row r="104" spans="1:13" x14ac:dyDescent="0.35">
      <c r="A104">
        <v>10103</v>
      </c>
      <c r="B104">
        <v>33</v>
      </c>
      <c r="C104" t="s">
        <v>9</v>
      </c>
      <c r="D104" t="s">
        <v>11</v>
      </c>
      <c r="E104" s="2">
        <v>45378</v>
      </c>
      <c r="F104" s="2">
        <v>46017</v>
      </c>
      <c r="G104">
        <v>1700</v>
      </c>
      <c r="H104" t="s">
        <v>15</v>
      </c>
      <c r="I104" t="s">
        <v>16</v>
      </c>
      <c r="J104">
        <f t="shared" si="5"/>
        <v>1700</v>
      </c>
      <c r="K104" t="str">
        <f t="shared" si="4"/>
        <v>25-34</v>
      </c>
      <c r="L104" t="str">
        <f t="shared" ca="1" si="6"/>
        <v>Safe</v>
      </c>
      <c r="M104" t="str">
        <f t="shared" si="7"/>
        <v>Mar-2024</v>
      </c>
    </row>
    <row r="105" spans="1:13" x14ac:dyDescent="0.35">
      <c r="A105">
        <v>10104</v>
      </c>
      <c r="B105">
        <v>30</v>
      </c>
      <c r="C105" t="s">
        <v>9</v>
      </c>
      <c r="D105" t="s">
        <v>12</v>
      </c>
      <c r="E105" s="2">
        <v>45511</v>
      </c>
      <c r="F105" s="2">
        <v>45998</v>
      </c>
      <c r="G105">
        <v>800</v>
      </c>
      <c r="H105" t="s">
        <v>14</v>
      </c>
      <c r="I105" t="s">
        <v>17</v>
      </c>
      <c r="J105">
        <f t="shared" si="5"/>
        <v>9600</v>
      </c>
      <c r="K105" t="str">
        <f t="shared" si="4"/>
        <v>25-34</v>
      </c>
      <c r="L105" t="str">
        <f t="shared" ca="1" si="6"/>
        <v>High Risk</v>
      </c>
      <c r="M105" t="str">
        <f t="shared" si="7"/>
        <v>Aug-2024</v>
      </c>
    </row>
    <row r="106" spans="1:13" x14ac:dyDescent="0.35">
      <c r="A106">
        <v>10105</v>
      </c>
      <c r="B106">
        <v>35</v>
      </c>
      <c r="C106" t="s">
        <v>9</v>
      </c>
      <c r="D106" t="s">
        <v>13</v>
      </c>
      <c r="E106" s="2">
        <v>45461</v>
      </c>
      <c r="F106" s="2">
        <v>46031</v>
      </c>
      <c r="G106">
        <v>1000</v>
      </c>
      <c r="H106" t="s">
        <v>14</v>
      </c>
      <c r="I106" t="s">
        <v>16</v>
      </c>
      <c r="J106">
        <f t="shared" si="5"/>
        <v>3000</v>
      </c>
      <c r="K106" t="str">
        <f t="shared" si="4"/>
        <v>35+</v>
      </c>
      <c r="L106" t="str">
        <f t="shared" ca="1" si="6"/>
        <v>Safe</v>
      </c>
      <c r="M106" t="str">
        <f t="shared" si="7"/>
        <v>Jun-2024</v>
      </c>
    </row>
    <row r="107" spans="1:13" x14ac:dyDescent="0.35">
      <c r="A107">
        <v>10106</v>
      </c>
      <c r="B107">
        <v>32</v>
      </c>
      <c r="C107" t="s">
        <v>9</v>
      </c>
      <c r="D107" t="s">
        <v>13</v>
      </c>
      <c r="E107" s="2">
        <v>45172</v>
      </c>
      <c r="F107" s="2">
        <v>45974</v>
      </c>
      <c r="G107">
        <v>1000</v>
      </c>
      <c r="H107" t="s">
        <v>14</v>
      </c>
      <c r="I107" t="s">
        <v>17</v>
      </c>
      <c r="J107">
        <f t="shared" si="5"/>
        <v>3000</v>
      </c>
      <c r="K107" t="str">
        <f t="shared" si="4"/>
        <v>25-34</v>
      </c>
      <c r="L107" t="str">
        <f t="shared" ca="1" si="6"/>
        <v>High Risk</v>
      </c>
      <c r="M107" t="str">
        <f t="shared" si="7"/>
        <v>Sep-2023</v>
      </c>
    </row>
    <row r="108" spans="1:13" x14ac:dyDescent="0.35">
      <c r="A108">
        <v>10107</v>
      </c>
      <c r="B108">
        <v>38</v>
      </c>
      <c r="C108" t="s">
        <v>9</v>
      </c>
      <c r="D108" t="s">
        <v>12</v>
      </c>
      <c r="E108" s="2">
        <v>45321</v>
      </c>
      <c r="F108" s="2">
        <v>46011</v>
      </c>
      <c r="G108">
        <v>800</v>
      </c>
      <c r="H108" t="s">
        <v>14</v>
      </c>
      <c r="I108" t="s">
        <v>16</v>
      </c>
      <c r="J108">
        <f t="shared" si="5"/>
        <v>9600</v>
      </c>
      <c r="K108" t="str">
        <f t="shared" si="4"/>
        <v>35+</v>
      </c>
      <c r="L108" t="str">
        <f t="shared" ca="1" si="6"/>
        <v>Safe</v>
      </c>
      <c r="M108" t="str">
        <f t="shared" si="7"/>
        <v>Jan-2024</v>
      </c>
    </row>
    <row r="109" spans="1:13" x14ac:dyDescent="0.35">
      <c r="A109">
        <v>10108</v>
      </c>
      <c r="B109">
        <v>41</v>
      </c>
      <c r="C109" t="s">
        <v>9</v>
      </c>
      <c r="D109" t="s">
        <v>11</v>
      </c>
      <c r="E109" s="2">
        <v>45966</v>
      </c>
      <c r="F109" s="2">
        <v>46024</v>
      </c>
      <c r="G109">
        <v>1200</v>
      </c>
      <c r="H109" t="s">
        <v>14</v>
      </c>
      <c r="I109" t="s">
        <v>16</v>
      </c>
      <c r="J109">
        <f t="shared" si="5"/>
        <v>1200</v>
      </c>
      <c r="K109" t="str">
        <f t="shared" si="4"/>
        <v>35+</v>
      </c>
      <c r="L109" t="str">
        <f t="shared" ca="1" si="6"/>
        <v>Safe</v>
      </c>
      <c r="M109" t="str">
        <f t="shared" si="7"/>
        <v>Nov-2025</v>
      </c>
    </row>
    <row r="110" spans="1:13" x14ac:dyDescent="0.35">
      <c r="A110">
        <v>10109</v>
      </c>
      <c r="B110">
        <v>43</v>
      </c>
      <c r="C110" t="s">
        <v>9</v>
      </c>
      <c r="D110" t="s">
        <v>12</v>
      </c>
      <c r="E110" s="2">
        <v>45822</v>
      </c>
      <c r="F110" s="2">
        <v>46024</v>
      </c>
      <c r="G110">
        <v>800</v>
      </c>
      <c r="H110" t="s">
        <v>14</v>
      </c>
      <c r="I110" t="s">
        <v>16</v>
      </c>
      <c r="J110">
        <f t="shared" si="5"/>
        <v>9600</v>
      </c>
      <c r="K110" t="str">
        <f t="shared" si="4"/>
        <v>35+</v>
      </c>
      <c r="L110" t="str">
        <f t="shared" ca="1" si="6"/>
        <v>Safe</v>
      </c>
      <c r="M110" t="str">
        <f t="shared" si="7"/>
        <v>Jun-2025</v>
      </c>
    </row>
    <row r="111" spans="1:13" x14ac:dyDescent="0.35">
      <c r="A111">
        <v>10110</v>
      </c>
      <c r="B111">
        <v>42</v>
      </c>
      <c r="C111" t="s">
        <v>9</v>
      </c>
      <c r="D111" t="s">
        <v>13</v>
      </c>
      <c r="E111" s="2">
        <v>45413</v>
      </c>
      <c r="F111" s="2">
        <v>46024</v>
      </c>
      <c r="G111">
        <v>1500</v>
      </c>
      <c r="H111" t="s">
        <v>15</v>
      </c>
      <c r="I111" t="s">
        <v>16</v>
      </c>
      <c r="J111">
        <f t="shared" si="5"/>
        <v>4500</v>
      </c>
      <c r="K111" t="str">
        <f t="shared" si="4"/>
        <v>35+</v>
      </c>
      <c r="L111" t="str">
        <f t="shared" ca="1" si="6"/>
        <v>Safe</v>
      </c>
      <c r="M111" t="str">
        <f t="shared" si="7"/>
        <v>May-2024</v>
      </c>
    </row>
    <row r="112" spans="1:13" x14ac:dyDescent="0.35">
      <c r="A112">
        <v>10111</v>
      </c>
      <c r="B112">
        <v>45</v>
      </c>
      <c r="C112" t="s">
        <v>9</v>
      </c>
      <c r="D112" t="s">
        <v>11</v>
      </c>
      <c r="E112" s="2">
        <v>45191</v>
      </c>
      <c r="F112" s="2">
        <v>46025</v>
      </c>
      <c r="G112">
        <v>1700</v>
      </c>
      <c r="H112" t="s">
        <v>15</v>
      </c>
      <c r="I112" t="s">
        <v>16</v>
      </c>
      <c r="J112">
        <f t="shared" si="5"/>
        <v>1700</v>
      </c>
      <c r="K112" t="str">
        <f t="shared" si="4"/>
        <v>35+</v>
      </c>
      <c r="L112" t="str">
        <f t="shared" ca="1" si="6"/>
        <v>Safe</v>
      </c>
      <c r="M112" t="str">
        <f t="shared" si="7"/>
        <v>Sep-2023</v>
      </c>
    </row>
    <row r="113" spans="1:13" x14ac:dyDescent="0.35">
      <c r="A113">
        <v>10112</v>
      </c>
      <c r="B113">
        <v>45</v>
      </c>
      <c r="C113" t="s">
        <v>9</v>
      </c>
      <c r="D113" t="s">
        <v>12</v>
      </c>
      <c r="E113" s="2">
        <v>45751</v>
      </c>
      <c r="F113" s="2">
        <v>46018</v>
      </c>
      <c r="G113">
        <v>800</v>
      </c>
      <c r="H113" t="s">
        <v>14</v>
      </c>
      <c r="I113" t="s">
        <v>16</v>
      </c>
      <c r="J113">
        <f t="shared" si="5"/>
        <v>9600</v>
      </c>
      <c r="K113" t="str">
        <f t="shared" si="4"/>
        <v>35+</v>
      </c>
      <c r="L113" t="str">
        <f t="shared" ca="1" si="6"/>
        <v>Safe</v>
      </c>
      <c r="M113" t="str">
        <f t="shared" si="7"/>
        <v>Apr-2025</v>
      </c>
    </row>
    <row r="114" spans="1:13" x14ac:dyDescent="0.35">
      <c r="A114">
        <v>10113</v>
      </c>
      <c r="B114">
        <v>45</v>
      </c>
      <c r="C114" t="s">
        <v>9</v>
      </c>
      <c r="D114" t="s">
        <v>13</v>
      </c>
      <c r="E114" s="2">
        <v>45142</v>
      </c>
      <c r="F114" s="2">
        <v>46026</v>
      </c>
      <c r="G114">
        <v>1000</v>
      </c>
      <c r="H114" t="s">
        <v>14</v>
      </c>
      <c r="I114" t="s">
        <v>16</v>
      </c>
      <c r="J114">
        <f t="shared" si="5"/>
        <v>3000</v>
      </c>
      <c r="K114" t="str">
        <f t="shared" si="4"/>
        <v>35+</v>
      </c>
      <c r="L114" t="str">
        <f t="shared" ca="1" si="6"/>
        <v>Safe</v>
      </c>
      <c r="M114" t="str">
        <f t="shared" si="7"/>
        <v>Aug-2023</v>
      </c>
    </row>
    <row r="115" spans="1:13" x14ac:dyDescent="0.35">
      <c r="A115">
        <v>10114</v>
      </c>
      <c r="B115">
        <v>30</v>
      </c>
      <c r="C115" t="s">
        <v>9</v>
      </c>
      <c r="D115" t="s">
        <v>12</v>
      </c>
      <c r="E115" s="2">
        <v>45415</v>
      </c>
      <c r="F115" s="2">
        <v>46028</v>
      </c>
      <c r="G115">
        <v>1300</v>
      </c>
      <c r="H115" t="s">
        <v>15</v>
      </c>
      <c r="I115" t="s">
        <v>16</v>
      </c>
      <c r="J115">
        <f t="shared" si="5"/>
        <v>15600</v>
      </c>
      <c r="K115" t="str">
        <f t="shared" si="4"/>
        <v>25-34</v>
      </c>
      <c r="L115" t="str">
        <f t="shared" ca="1" si="6"/>
        <v>Safe</v>
      </c>
      <c r="M115" t="str">
        <f t="shared" si="7"/>
        <v>May-2024</v>
      </c>
    </row>
    <row r="116" spans="1:13" x14ac:dyDescent="0.35">
      <c r="A116">
        <v>10115</v>
      </c>
      <c r="B116">
        <v>26</v>
      </c>
      <c r="C116" t="s">
        <v>9</v>
      </c>
      <c r="D116" t="s">
        <v>12</v>
      </c>
      <c r="E116" s="2">
        <v>45624</v>
      </c>
      <c r="F116" s="2">
        <v>46025</v>
      </c>
      <c r="G116">
        <v>1300</v>
      </c>
      <c r="H116" t="s">
        <v>15</v>
      </c>
      <c r="I116" t="s">
        <v>16</v>
      </c>
      <c r="J116">
        <f t="shared" si="5"/>
        <v>15600</v>
      </c>
      <c r="K116" t="str">
        <f t="shared" si="4"/>
        <v>25-34</v>
      </c>
      <c r="L116" t="str">
        <f t="shared" ca="1" si="6"/>
        <v>Safe</v>
      </c>
      <c r="M116" t="str">
        <f t="shared" si="7"/>
        <v>Nov-2024</v>
      </c>
    </row>
    <row r="117" spans="1:13" x14ac:dyDescent="0.35">
      <c r="A117">
        <v>10116</v>
      </c>
      <c r="B117">
        <v>32</v>
      </c>
      <c r="C117" t="s">
        <v>10</v>
      </c>
      <c r="D117" t="s">
        <v>12</v>
      </c>
      <c r="E117" s="2">
        <v>45335</v>
      </c>
      <c r="F117" s="2">
        <v>46020</v>
      </c>
      <c r="G117">
        <v>1300</v>
      </c>
      <c r="H117" t="s">
        <v>15</v>
      </c>
      <c r="I117" t="s">
        <v>16</v>
      </c>
      <c r="J117">
        <f t="shared" si="5"/>
        <v>15600</v>
      </c>
      <c r="K117" t="str">
        <f t="shared" si="4"/>
        <v>25-34</v>
      </c>
      <c r="L117" t="str">
        <f t="shared" ca="1" si="6"/>
        <v>Safe</v>
      </c>
      <c r="M117" t="str">
        <f t="shared" si="7"/>
        <v>Feb-2024</v>
      </c>
    </row>
    <row r="118" spans="1:13" x14ac:dyDescent="0.35">
      <c r="A118">
        <v>10117</v>
      </c>
      <c r="B118">
        <v>30</v>
      </c>
      <c r="C118" t="s">
        <v>9</v>
      </c>
      <c r="D118" t="s">
        <v>13</v>
      </c>
      <c r="E118" s="2">
        <v>45583</v>
      </c>
      <c r="F118" s="2">
        <v>46012</v>
      </c>
      <c r="G118">
        <v>1000</v>
      </c>
      <c r="H118" t="s">
        <v>14</v>
      </c>
      <c r="I118" t="s">
        <v>16</v>
      </c>
      <c r="J118">
        <f t="shared" si="5"/>
        <v>3000</v>
      </c>
      <c r="K118" t="str">
        <f t="shared" si="4"/>
        <v>25-34</v>
      </c>
      <c r="L118" t="str">
        <f t="shared" ca="1" si="6"/>
        <v>Safe</v>
      </c>
      <c r="M118" t="str">
        <f t="shared" si="7"/>
        <v>Oct-2024</v>
      </c>
    </row>
    <row r="119" spans="1:13" x14ac:dyDescent="0.35">
      <c r="A119">
        <v>10118</v>
      </c>
      <c r="B119">
        <v>18</v>
      </c>
      <c r="C119" t="s">
        <v>9</v>
      </c>
      <c r="D119" t="s">
        <v>12</v>
      </c>
      <c r="E119" s="2">
        <v>45930</v>
      </c>
      <c r="F119" s="2">
        <v>45980</v>
      </c>
      <c r="G119">
        <v>1300</v>
      </c>
      <c r="H119" t="s">
        <v>15</v>
      </c>
      <c r="I119" t="s">
        <v>17</v>
      </c>
      <c r="J119">
        <f t="shared" si="5"/>
        <v>15600</v>
      </c>
      <c r="K119" t="str">
        <f t="shared" si="4"/>
        <v>18-24</v>
      </c>
      <c r="L119" t="str">
        <f t="shared" ca="1" si="6"/>
        <v>High Risk</v>
      </c>
      <c r="M119" t="str">
        <f t="shared" si="7"/>
        <v>Sep-2025</v>
      </c>
    </row>
    <row r="120" spans="1:13" x14ac:dyDescent="0.35">
      <c r="A120">
        <v>10119</v>
      </c>
      <c r="B120">
        <v>42</v>
      </c>
      <c r="C120" t="s">
        <v>9</v>
      </c>
      <c r="D120" t="s">
        <v>13</v>
      </c>
      <c r="E120" s="2">
        <v>45699</v>
      </c>
      <c r="F120" s="2">
        <v>46012</v>
      </c>
      <c r="G120">
        <v>1000</v>
      </c>
      <c r="H120" t="s">
        <v>14</v>
      </c>
      <c r="I120" t="s">
        <v>16</v>
      </c>
      <c r="J120">
        <f t="shared" si="5"/>
        <v>3000</v>
      </c>
      <c r="K120" t="str">
        <f t="shared" si="4"/>
        <v>35+</v>
      </c>
      <c r="L120" t="str">
        <f t="shared" ca="1" si="6"/>
        <v>Safe</v>
      </c>
      <c r="M120" t="str">
        <f t="shared" si="7"/>
        <v>Feb-2025</v>
      </c>
    </row>
    <row r="121" spans="1:13" x14ac:dyDescent="0.35">
      <c r="A121">
        <v>10120</v>
      </c>
      <c r="B121">
        <v>24</v>
      </c>
      <c r="C121" t="s">
        <v>9</v>
      </c>
      <c r="D121" t="s">
        <v>11</v>
      </c>
      <c r="E121" s="2">
        <v>45617</v>
      </c>
      <c r="F121" s="2">
        <v>45913</v>
      </c>
      <c r="G121">
        <v>1200</v>
      </c>
      <c r="H121" t="s">
        <v>14</v>
      </c>
      <c r="I121" t="s">
        <v>17</v>
      </c>
      <c r="J121">
        <f t="shared" si="5"/>
        <v>1200</v>
      </c>
      <c r="K121" t="str">
        <f t="shared" si="4"/>
        <v>18-24</v>
      </c>
      <c r="L121" t="str">
        <f t="shared" ca="1" si="6"/>
        <v>High Risk</v>
      </c>
      <c r="M121" t="str">
        <f t="shared" si="7"/>
        <v>Nov-2024</v>
      </c>
    </row>
    <row r="122" spans="1:13" x14ac:dyDescent="0.35">
      <c r="A122">
        <v>10121</v>
      </c>
      <c r="B122">
        <v>26</v>
      </c>
      <c r="C122" t="s">
        <v>10</v>
      </c>
      <c r="D122" t="s">
        <v>12</v>
      </c>
      <c r="E122" s="2">
        <v>45351</v>
      </c>
      <c r="F122" s="2">
        <v>45944</v>
      </c>
      <c r="G122">
        <v>800</v>
      </c>
      <c r="H122" t="s">
        <v>14</v>
      </c>
      <c r="I122" t="s">
        <v>17</v>
      </c>
      <c r="J122">
        <f t="shared" si="5"/>
        <v>9600</v>
      </c>
      <c r="K122" t="str">
        <f t="shared" si="4"/>
        <v>25-34</v>
      </c>
      <c r="L122" t="str">
        <f t="shared" ca="1" si="6"/>
        <v>High Risk</v>
      </c>
      <c r="M122" t="str">
        <f t="shared" si="7"/>
        <v>Feb-2024</v>
      </c>
    </row>
    <row r="123" spans="1:13" x14ac:dyDescent="0.35">
      <c r="A123">
        <v>10122</v>
      </c>
      <c r="B123">
        <v>41</v>
      </c>
      <c r="C123" t="s">
        <v>10</v>
      </c>
      <c r="D123" t="s">
        <v>11</v>
      </c>
      <c r="E123" s="2">
        <v>45971</v>
      </c>
      <c r="F123" s="2">
        <v>46027</v>
      </c>
      <c r="G123">
        <v>1200</v>
      </c>
      <c r="H123" t="s">
        <v>14</v>
      </c>
      <c r="I123" t="s">
        <v>16</v>
      </c>
      <c r="J123">
        <f t="shared" si="5"/>
        <v>1200</v>
      </c>
      <c r="K123" t="str">
        <f t="shared" si="4"/>
        <v>35+</v>
      </c>
      <c r="L123" t="str">
        <f t="shared" ca="1" si="6"/>
        <v>Safe</v>
      </c>
      <c r="M123" t="str">
        <f t="shared" si="7"/>
        <v>Nov-2025</v>
      </c>
    </row>
    <row r="124" spans="1:13" x14ac:dyDescent="0.35">
      <c r="A124">
        <v>10123</v>
      </c>
      <c r="B124">
        <v>18</v>
      </c>
      <c r="C124" t="s">
        <v>9</v>
      </c>
      <c r="D124" t="s">
        <v>13</v>
      </c>
      <c r="E124" s="2">
        <v>45423</v>
      </c>
      <c r="F124" s="2">
        <v>45936</v>
      </c>
      <c r="G124">
        <v>1000</v>
      </c>
      <c r="H124" t="s">
        <v>14</v>
      </c>
      <c r="I124" t="s">
        <v>17</v>
      </c>
      <c r="J124">
        <f t="shared" si="5"/>
        <v>3000</v>
      </c>
      <c r="K124" t="str">
        <f t="shared" si="4"/>
        <v>18-24</v>
      </c>
      <c r="L124" t="str">
        <f t="shared" ca="1" si="6"/>
        <v>High Risk</v>
      </c>
      <c r="M124" t="str">
        <f t="shared" si="7"/>
        <v>May-2024</v>
      </c>
    </row>
    <row r="125" spans="1:13" x14ac:dyDescent="0.35">
      <c r="A125">
        <v>10124</v>
      </c>
      <c r="B125">
        <v>29</v>
      </c>
      <c r="C125" t="s">
        <v>10</v>
      </c>
      <c r="D125" t="s">
        <v>12</v>
      </c>
      <c r="E125" s="2">
        <v>45445</v>
      </c>
      <c r="F125" s="2">
        <v>46019</v>
      </c>
      <c r="G125">
        <v>1300</v>
      </c>
      <c r="H125" t="s">
        <v>15</v>
      </c>
      <c r="I125" t="s">
        <v>16</v>
      </c>
      <c r="J125">
        <f t="shared" si="5"/>
        <v>15600</v>
      </c>
      <c r="K125" t="str">
        <f t="shared" si="4"/>
        <v>25-34</v>
      </c>
      <c r="L125" t="str">
        <f t="shared" ca="1" si="6"/>
        <v>Safe</v>
      </c>
      <c r="M125" t="str">
        <f t="shared" si="7"/>
        <v>Jun-2024</v>
      </c>
    </row>
    <row r="126" spans="1:13" x14ac:dyDescent="0.35">
      <c r="A126">
        <v>10125</v>
      </c>
      <c r="B126">
        <v>25</v>
      </c>
      <c r="C126" t="s">
        <v>10</v>
      </c>
      <c r="D126" t="s">
        <v>13</v>
      </c>
      <c r="E126" s="2">
        <v>45438</v>
      </c>
      <c r="F126" s="2">
        <v>46029</v>
      </c>
      <c r="G126">
        <v>1000</v>
      </c>
      <c r="H126" t="s">
        <v>14</v>
      </c>
      <c r="I126" t="s">
        <v>16</v>
      </c>
      <c r="J126">
        <f t="shared" si="5"/>
        <v>3000</v>
      </c>
      <c r="K126" t="str">
        <f t="shared" si="4"/>
        <v>25-34</v>
      </c>
      <c r="L126" t="str">
        <f t="shared" ca="1" si="6"/>
        <v>Safe</v>
      </c>
      <c r="M126" t="str">
        <f t="shared" si="7"/>
        <v>May-2024</v>
      </c>
    </row>
    <row r="127" spans="1:13" x14ac:dyDescent="0.35">
      <c r="A127">
        <v>10126</v>
      </c>
      <c r="B127">
        <v>41</v>
      </c>
      <c r="C127" t="s">
        <v>10</v>
      </c>
      <c r="D127" t="s">
        <v>13</v>
      </c>
      <c r="E127" s="2">
        <v>45291</v>
      </c>
      <c r="F127" s="2">
        <v>46015</v>
      </c>
      <c r="G127">
        <v>1000</v>
      </c>
      <c r="H127" t="s">
        <v>14</v>
      </c>
      <c r="I127" t="s">
        <v>16</v>
      </c>
      <c r="J127">
        <f t="shared" si="5"/>
        <v>3000</v>
      </c>
      <c r="K127" t="str">
        <f t="shared" si="4"/>
        <v>35+</v>
      </c>
      <c r="L127" t="str">
        <f t="shared" ca="1" si="6"/>
        <v>Safe</v>
      </c>
      <c r="M127" t="str">
        <f t="shared" si="7"/>
        <v>Dec-2023</v>
      </c>
    </row>
    <row r="128" spans="1:13" x14ac:dyDescent="0.35">
      <c r="A128">
        <v>10127</v>
      </c>
      <c r="B128">
        <v>28</v>
      </c>
      <c r="C128" t="s">
        <v>10</v>
      </c>
      <c r="D128" t="s">
        <v>12</v>
      </c>
      <c r="E128" s="2">
        <v>45957</v>
      </c>
      <c r="F128" s="2">
        <v>45919</v>
      </c>
      <c r="G128">
        <v>800</v>
      </c>
      <c r="H128" t="s">
        <v>14</v>
      </c>
      <c r="I128" t="s">
        <v>17</v>
      </c>
      <c r="J128">
        <f t="shared" si="5"/>
        <v>9600</v>
      </c>
      <c r="K128" t="str">
        <f t="shared" si="4"/>
        <v>25-34</v>
      </c>
      <c r="L128" t="str">
        <f t="shared" ca="1" si="6"/>
        <v>High Risk</v>
      </c>
      <c r="M128" t="str">
        <f t="shared" si="7"/>
        <v>Oct-2025</v>
      </c>
    </row>
    <row r="129" spans="1:13" x14ac:dyDescent="0.35">
      <c r="A129">
        <v>10128</v>
      </c>
      <c r="B129">
        <v>36</v>
      </c>
      <c r="C129" t="s">
        <v>10</v>
      </c>
      <c r="D129" t="s">
        <v>13</v>
      </c>
      <c r="E129" s="2">
        <v>45210</v>
      </c>
      <c r="F129" s="2">
        <v>46023</v>
      </c>
      <c r="G129">
        <v>1500</v>
      </c>
      <c r="H129" t="s">
        <v>15</v>
      </c>
      <c r="I129" t="s">
        <v>16</v>
      </c>
      <c r="J129">
        <f t="shared" si="5"/>
        <v>4500</v>
      </c>
      <c r="K129" t="str">
        <f t="shared" si="4"/>
        <v>35+</v>
      </c>
      <c r="L129" t="str">
        <f t="shared" ca="1" si="6"/>
        <v>Safe</v>
      </c>
      <c r="M129" t="str">
        <f t="shared" si="7"/>
        <v>Oct-2023</v>
      </c>
    </row>
    <row r="130" spans="1:13" x14ac:dyDescent="0.35">
      <c r="A130">
        <v>10129</v>
      </c>
      <c r="B130">
        <v>34</v>
      </c>
      <c r="C130" t="s">
        <v>9</v>
      </c>
      <c r="D130" t="s">
        <v>12</v>
      </c>
      <c r="E130" s="2">
        <v>46000</v>
      </c>
      <c r="F130" s="2">
        <v>46017</v>
      </c>
      <c r="G130">
        <v>1300</v>
      </c>
      <c r="H130" t="s">
        <v>15</v>
      </c>
      <c r="I130" t="s">
        <v>16</v>
      </c>
      <c r="J130">
        <f t="shared" si="5"/>
        <v>15600</v>
      </c>
      <c r="K130" t="str">
        <f t="shared" ref="K130:K193" si="8">IF(B130&lt;25,"18-24",IF(B130&lt;35,"25-34","35+"))</f>
        <v>25-34</v>
      </c>
      <c r="L130" t="str">
        <f t="shared" ca="1" si="6"/>
        <v>Safe</v>
      </c>
      <c r="M130" t="str">
        <f t="shared" si="7"/>
        <v>Dec-2025</v>
      </c>
    </row>
    <row r="131" spans="1:13" x14ac:dyDescent="0.35">
      <c r="A131">
        <v>10130</v>
      </c>
      <c r="B131">
        <v>25</v>
      </c>
      <c r="C131" t="s">
        <v>9</v>
      </c>
      <c r="D131" t="s">
        <v>11</v>
      </c>
      <c r="E131" s="2">
        <v>45702</v>
      </c>
      <c r="F131" s="2">
        <v>46018</v>
      </c>
      <c r="G131">
        <v>1700</v>
      </c>
      <c r="H131" t="s">
        <v>15</v>
      </c>
      <c r="I131" t="s">
        <v>16</v>
      </c>
      <c r="J131">
        <f t="shared" ref="J131:J194" si="9">IF(D131="Monthly",G131,IF(D131="Quarterly",G131*3,G131*12))</f>
        <v>1700</v>
      </c>
      <c r="K131" t="str">
        <f t="shared" si="8"/>
        <v>25-34</v>
      </c>
      <c r="L131" t="str">
        <f t="shared" ref="L131:L194" ca="1" si="10">IF(F131&lt;TODAY()-30,"High Risk","Safe")</f>
        <v>Safe</v>
      </c>
      <c r="M131" t="str">
        <f t="shared" ref="M131:M194" si="11">TEXT(E131,"mmm-yyyy")</f>
        <v>Feb-2025</v>
      </c>
    </row>
    <row r="132" spans="1:13" x14ac:dyDescent="0.35">
      <c r="A132">
        <v>10131</v>
      </c>
      <c r="B132">
        <v>20</v>
      </c>
      <c r="C132" t="s">
        <v>9</v>
      </c>
      <c r="D132" t="s">
        <v>11</v>
      </c>
      <c r="E132" s="2">
        <v>45978</v>
      </c>
      <c r="F132" s="2">
        <v>46015</v>
      </c>
      <c r="G132">
        <v>1200</v>
      </c>
      <c r="H132" t="s">
        <v>14</v>
      </c>
      <c r="I132" t="s">
        <v>16</v>
      </c>
      <c r="J132">
        <f t="shared" si="9"/>
        <v>1200</v>
      </c>
      <c r="K132" t="str">
        <f t="shared" si="8"/>
        <v>18-24</v>
      </c>
      <c r="L132" t="str">
        <f t="shared" ca="1" si="10"/>
        <v>Safe</v>
      </c>
      <c r="M132" t="str">
        <f t="shared" si="11"/>
        <v>Nov-2025</v>
      </c>
    </row>
    <row r="133" spans="1:13" x14ac:dyDescent="0.35">
      <c r="A133">
        <v>10132</v>
      </c>
      <c r="B133">
        <v>20</v>
      </c>
      <c r="C133" t="s">
        <v>9</v>
      </c>
      <c r="D133" t="s">
        <v>11</v>
      </c>
      <c r="E133" s="2">
        <v>45138</v>
      </c>
      <c r="F133" s="2">
        <v>46018</v>
      </c>
      <c r="G133">
        <v>1200</v>
      </c>
      <c r="H133" t="s">
        <v>14</v>
      </c>
      <c r="I133" t="s">
        <v>16</v>
      </c>
      <c r="J133">
        <f t="shared" si="9"/>
        <v>1200</v>
      </c>
      <c r="K133" t="str">
        <f t="shared" si="8"/>
        <v>18-24</v>
      </c>
      <c r="L133" t="str">
        <f t="shared" ca="1" si="10"/>
        <v>Safe</v>
      </c>
      <c r="M133" t="str">
        <f t="shared" si="11"/>
        <v>Jul-2023</v>
      </c>
    </row>
    <row r="134" spans="1:13" x14ac:dyDescent="0.35">
      <c r="A134">
        <v>10133</v>
      </c>
      <c r="B134">
        <v>18</v>
      </c>
      <c r="C134" t="s">
        <v>9</v>
      </c>
      <c r="D134" t="s">
        <v>13</v>
      </c>
      <c r="E134" s="2">
        <v>45254</v>
      </c>
      <c r="F134" s="2">
        <v>45973</v>
      </c>
      <c r="G134">
        <v>1500</v>
      </c>
      <c r="H134" t="s">
        <v>15</v>
      </c>
      <c r="I134" t="s">
        <v>17</v>
      </c>
      <c r="J134">
        <f t="shared" si="9"/>
        <v>4500</v>
      </c>
      <c r="K134" t="str">
        <f t="shared" si="8"/>
        <v>18-24</v>
      </c>
      <c r="L134" t="str">
        <f t="shared" ca="1" si="10"/>
        <v>High Risk</v>
      </c>
      <c r="M134" t="str">
        <f t="shared" si="11"/>
        <v>Nov-2023</v>
      </c>
    </row>
    <row r="135" spans="1:13" x14ac:dyDescent="0.35">
      <c r="A135">
        <v>10134</v>
      </c>
      <c r="B135">
        <v>44</v>
      </c>
      <c r="C135" t="s">
        <v>9</v>
      </c>
      <c r="D135" t="s">
        <v>13</v>
      </c>
      <c r="E135" s="2">
        <v>45574</v>
      </c>
      <c r="F135" s="2">
        <v>46021</v>
      </c>
      <c r="G135">
        <v>1000</v>
      </c>
      <c r="H135" t="s">
        <v>14</v>
      </c>
      <c r="I135" t="s">
        <v>16</v>
      </c>
      <c r="J135">
        <f t="shared" si="9"/>
        <v>3000</v>
      </c>
      <c r="K135" t="str">
        <f t="shared" si="8"/>
        <v>35+</v>
      </c>
      <c r="L135" t="str">
        <f t="shared" ca="1" si="10"/>
        <v>Safe</v>
      </c>
      <c r="M135" t="str">
        <f t="shared" si="11"/>
        <v>Oct-2024</v>
      </c>
    </row>
    <row r="136" spans="1:13" x14ac:dyDescent="0.35">
      <c r="A136">
        <v>10135</v>
      </c>
      <c r="B136">
        <v>22</v>
      </c>
      <c r="C136" t="s">
        <v>9</v>
      </c>
      <c r="D136" t="s">
        <v>12</v>
      </c>
      <c r="E136" s="2">
        <v>45681</v>
      </c>
      <c r="F136" s="2">
        <v>46022</v>
      </c>
      <c r="G136">
        <v>1300</v>
      </c>
      <c r="H136" t="s">
        <v>15</v>
      </c>
      <c r="I136" t="s">
        <v>16</v>
      </c>
      <c r="J136">
        <f t="shared" si="9"/>
        <v>15600</v>
      </c>
      <c r="K136" t="str">
        <f t="shared" si="8"/>
        <v>18-24</v>
      </c>
      <c r="L136" t="str">
        <f t="shared" ca="1" si="10"/>
        <v>Safe</v>
      </c>
      <c r="M136" t="str">
        <f t="shared" si="11"/>
        <v>Jan-2025</v>
      </c>
    </row>
    <row r="137" spans="1:13" x14ac:dyDescent="0.35">
      <c r="A137">
        <v>10136</v>
      </c>
      <c r="B137">
        <v>27</v>
      </c>
      <c r="C137" t="s">
        <v>10</v>
      </c>
      <c r="D137" t="s">
        <v>11</v>
      </c>
      <c r="E137" s="2">
        <v>45443</v>
      </c>
      <c r="F137" s="2">
        <v>46010</v>
      </c>
      <c r="G137">
        <v>1700</v>
      </c>
      <c r="H137" t="s">
        <v>15</v>
      </c>
      <c r="I137" t="s">
        <v>16</v>
      </c>
      <c r="J137">
        <f t="shared" si="9"/>
        <v>1700</v>
      </c>
      <c r="K137" t="str">
        <f t="shared" si="8"/>
        <v>25-34</v>
      </c>
      <c r="L137" t="str">
        <f t="shared" ca="1" si="10"/>
        <v>Safe</v>
      </c>
      <c r="M137" t="str">
        <f t="shared" si="11"/>
        <v>May-2024</v>
      </c>
    </row>
    <row r="138" spans="1:13" x14ac:dyDescent="0.35">
      <c r="A138">
        <v>10137</v>
      </c>
      <c r="B138">
        <v>24</v>
      </c>
      <c r="C138" t="s">
        <v>10</v>
      </c>
      <c r="D138" t="s">
        <v>13</v>
      </c>
      <c r="E138" s="2">
        <v>45846</v>
      </c>
      <c r="F138" s="2">
        <v>46011</v>
      </c>
      <c r="G138">
        <v>1000</v>
      </c>
      <c r="H138" t="s">
        <v>14</v>
      </c>
      <c r="I138" t="s">
        <v>16</v>
      </c>
      <c r="J138">
        <f t="shared" si="9"/>
        <v>3000</v>
      </c>
      <c r="K138" t="str">
        <f t="shared" si="8"/>
        <v>18-24</v>
      </c>
      <c r="L138" t="str">
        <f t="shared" ca="1" si="10"/>
        <v>Safe</v>
      </c>
      <c r="M138" t="str">
        <f t="shared" si="11"/>
        <v>Jul-2025</v>
      </c>
    </row>
    <row r="139" spans="1:13" x14ac:dyDescent="0.35">
      <c r="A139">
        <v>10138</v>
      </c>
      <c r="B139">
        <v>43</v>
      </c>
      <c r="C139" t="s">
        <v>9</v>
      </c>
      <c r="D139" t="s">
        <v>11</v>
      </c>
      <c r="E139" s="2">
        <v>45736</v>
      </c>
      <c r="F139" s="2">
        <v>46014</v>
      </c>
      <c r="G139">
        <v>1700</v>
      </c>
      <c r="H139" t="s">
        <v>15</v>
      </c>
      <c r="I139" t="s">
        <v>16</v>
      </c>
      <c r="J139">
        <f t="shared" si="9"/>
        <v>1700</v>
      </c>
      <c r="K139" t="str">
        <f t="shared" si="8"/>
        <v>35+</v>
      </c>
      <c r="L139" t="str">
        <f t="shared" ca="1" si="10"/>
        <v>Safe</v>
      </c>
      <c r="M139" t="str">
        <f t="shared" si="11"/>
        <v>Mar-2025</v>
      </c>
    </row>
    <row r="140" spans="1:13" x14ac:dyDescent="0.35">
      <c r="A140">
        <v>10139</v>
      </c>
      <c r="B140">
        <v>26</v>
      </c>
      <c r="C140" t="s">
        <v>9</v>
      </c>
      <c r="D140" t="s">
        <v>11</v>
      </c>
      <c r="E140" s="2">
        <v>45145</v>
      </c>
      <c r="F140" s="2">
        <v>45995</v>
      </c>
      <c r="G140">
        <v>1200</v>
      </c>
      <c r="H140" t="s">
        <v>14</v>
      </c>
      <c r="I140" t="s">
        <v>17</v>
      </c>
      <c r="J140">
        <f t="shared" si="9"/>
        <v>1200</v>
      </c>
      <c r="K140" t="str">
        <f t="shared" si="8"/>
        <v>25-34</v>
      </c>
      <c r="L140" t="str">
        <f t="shared" ca="1" si="10"/>
        <v>High Risk</v>
      </c>
      <c r="M140" t="str">
        <f t="shared" si="11"/>
        <v>Aug-2023</v>
      </c>
    </row>
    <row r="141" spans="1:13" x14ac:dyDescent="0.35">
      <c r="A141">
        <v>10140</v>
      </c>
      <c r="B141">
        <v>45</v>
      </c>
      <c r="C141" t="s">
        <v>10</v>
      </c>
      <c r="D141" t="s">
        <v>13</v>
      </c>
      <c r="E141" s="2">
        <v>45946</v>
      </c>
      <c r="F141" s="2">
        <v>46019</v>
      </c>
      <c r="G141">
        <v>1000</v>
      </c>
      <c r="H141" t="s">
        <v>14</v>
      </c>
      <c r="I141" t="s">
        <v>16</v>
      </c>
      <c r="J141">
        <f t="shared" si="9"/>
        <v>3000</v>
      </c>
      <c r="K141" t="str">
        <f t="shared" si="8"/>
        <v>35+</v>
      </c>
      <c r="L141" t="str">
        <f t="shared" ca="1" si="10"/>
        <v>Safe</v>
      </c>
      <c r="M141" t="str">
        <f t="shared" si="11"/>
        <v>Oct-2025</v>
      </c>
    </row>
    <row r="142" spans="1:13" x14ac:dyDescent="0.35">
      <c r="A142">
        <v>10141</v>
      </c>
      <c r="B142">
        <v>24</v>
      </c>
      <c r="C142" t="s">
        <v>9</v>
      </c>
      <c r="D142" t="s">
        <v>11</v>
      </c>
      <c r="E142" s="2">
        <v>45367</v>
      </c>
      <c r="F142" s="2">
        <v>46020</v>
      </c>
      <c r="G142">
        <v>1200</v>
      </c>
      <c r="H142" t="s">
        <v>14</v>
      </c>
      <c r="I142" t="s">
        <v>16</v>
      </c>
      <c r="J142">
        <f t="shared" si="9"/>
        <v>1200</v>
      </c>
      <c r="K142" t="str">
        <f t="shared" si="8"/>
        <v>18-24</v>
      </c>
      <c r="L142" t="str">
        <f t="shared" ca="1" si="10"/>
        <v>Safe</v>
      </c>
      <c r="M142" t="str">
        <f t="shared" si="11"/>
        <v>Mar-2024</v>
      </c>
    </row>
    <row r="143" spans="1:13" x14ac:dyDescent="0.35">
      <c r="A143">
        <v>10142</v>
      </c>
      <c r="B143">
        <v>26</v>
      </c>
      <c r="C143" t="s">
        <v>10</v>
      </c>
      <c r="D143" t="s">
        <v>11</v>
      </c>
      <c r="E143" s="2">
        <v>45281</v>
      </c>
      <c r="F143" s="2">
        <v>46012</v>
      </c>
      <c r="G143">
        <v>1700</v>
      </c>
      <c r="H143" t="s">
        <v>15</v>
      </c>
      <c r="I143" t="s">
        <v>16</v>
      </c>
      <c r="J143">
        <f t="shared" si="9"/>
        <v>1700</v>
      </c>
      <c r="K143" t="str">
        <f t="shared" si="8"/>
        <v>25-34</v>
      </c>
      <c r="L143" t="str">
        <f t="shared" ca="1" si="10"/>
        <v>Safe</v>
      </c>
      <c r="M143" t="str">
        <f t="shared" si="11"/>
        <v>Dec-2023</v>
      </c>
    </row>
    <row r="144" spans="1:13" x14ac:dyDescent="0.35">
      <c r="A144">
        <v>10143</v>
      </c>
      <c r="B144">
        <v>25</v>
      </c>
      <c r="C144" t="s">
        <v>9</v>
      </c>
      <c r="D144" t="s">
        <v>11</v>
      </c>
      <c r="E144" s="2">
        <v>45201</v>
      </c>
      <c r="F144" s="2">
        <v>45968</v>
      </c>
      <c r="G144">
        <v>1200</v>
      </c>
      <c r="H144" t="s">
        <v>14</v>
      </c>
      <c r="I144" t="s">
        <v>17</v>
      </c>
      <c r="J144">
        <f t="shared" si="9"/>
        <v>1200</v>
      </c>
      <c r="K144" t="str">
        <f t="shared" si="8"/>
        <v>25-34</v>
      </c>
      <c r="L144" t="str">
        <f t="shared" ca="1" si="10"/>
        <v>High Risk</v>
      </c>
      <c r="M144" t="str">
        <f t="shared" si="11"/>
        <v>Oct-2023</v>
      </c>
    </row>
    <row r="145" spans="1:13" x14ac:dyDescent="0.35">
      <c r="A145">
        <v>10144</v>
      </c>
      <c r="B145">
        <v>29</v>
      </c>
      <c r="C145" t="s">
        <v>9</v>
      </c>
      <c r="D145" t="s">
        <v>11</v>
      </c>
      <c r="E145" s="2">
        <v>45560</v>
      </c>
      <c r="F145" s="2">
        <v>46018</v>
      </c>
      <c r="G145">
        <v>1200</v>
      </c>
      <c r="H145" t="s">
        <v>14</v>
      </c>
      <c r="I145" t="s">
        <v>16</v>
      </c>
      <c r="J145">
        <f t="shared" si="9"/>
        <v>1200</v>
      </c>
      <c r="K145" t="str">
        <f t="shared" si="8"/>
        <v>25-34</v>
      </c>
      <c r="L145" t="str">
        <f t="shared" ca="1" si="10"/>
        <v>Safe</v>
      </c>
      <c r="M145" t="str">
        <f t="shared" si="11"/>
        <v>Sep-2024</v>
      </c>
    </row>
    <row r="146" spans="1:13" x14ac:dyDescent="0.35">
      <c r="A146">
        <v>10145</v>
      </c>
      <c r="B146">
        <v>19</v>
      </c>
      <c r="C146" t="s">
        <v>10</v>
      </c>
      <c r="D146" t="s">
        <v>13</v>
      </c>
      <c r="E146" s="2">
        <v>45793</v>
      </c>
      <c r="F146" s="2">
        <v>46029</v>
      </c>
      <c r="G146">
        <v>1000</v>
      </c>
      <c r="H146" t="s">
        <v>14</v>
      </c>
      <c r="I146" t="s">
        <v>16</v>
      </c>
      <c r="J146">
        <f t="shared" si="9"/>
        <v>3000</v>
      </c>
      <c r="K146" t="str">
        <f t="shared" si="8"/>
        <v>18-24</v>
      </c>
      <c r="L146" t="str">
        <f t="shared" ca="1" si="10"/>
        <v>Safe</v>
      </c>
      <c r="M146" t="str">
        <f t="shared" si="11"/>
        <v>May-2025</v>
      </c>
    </row>
    <row r="147" spans="1:13" x14ac:dyDescent="0.35">
      <c r="A147">
        <v>10146</v>
      </c>
      <c r="B147">
        <v>18</v>
      </c>
      <c r="C147" t="s">
        <v>9</v>
      </c>
      <c r="D147" t="s">
        <v>11</v>
      </c>
      <c r="E147" s="2">
        <v>45491</v>
      </c>
      <c r="F147" s="2">
        <v>45952</v>
      </c>
      <c r="G147">
        <v>1700</v>
      </c>
      <c r="H147" t="s">
        <v>15</v>
      </c>
      <c r="I147" t="s">
        <v>17</v>
      </c>
      <c r="J147">
        <f t="shared" si="9"/>
        <v>1700</v>
      </c>
      <c r="K147" t="str">
        <f t="shared" si="8"/>
        <v>18-24</v>
      </c>
      <c r="L147" t="str">
        <f t="shared" ca="1" si="10"/>
        <v>High Risk</v>
      </c>
      <c r="M147" t="str">
        <f t="shared" si="11"/>
        <v>Jul-2024</v>
      </c>
    </row>
    <row r="148" spans="1:13" x14ac:dyDescent="0.35">
      <c r="A148">
        <v>10147</v>
      </c>
      <c r="B148">
        <v>33</v>
      </c>
      <c r="C148" t="s">
        <v>9</v>
      </c>
      <c r="D148" t="s">
        <v>13</v>
      </c>
      <c r="E148" s="2">
        <v>45331</v>
      </c>
      <c r="F148" s="2">
        <v>46023</v>
      </c>
      <c r="G148">
        <v>1500</v>
      </c>
      <c r="H148" t="s">
        <v>15</v>
      </c>
      <c r="I148" t="s">
        <v>16</v>
      </c>
      <c r="J148">
        <f t="shared" si="9"/>
        <v>4500</v>
      </c>
      <c r="K148" t="str">
        <f t="shared" si="8"/>
        <v>25-34</v>
      </c>
      <c r="L148" t="str">
        <f t="shared" ca="1" si="10"/>
        <v>Safe</v>
      </c>
      <c r="M148" t="str">
        <f t="shared" si="11"/>
        <v>Feb-2024</v>
      </c>
    </row>
    <row r="149" spans="1:13" x14ac:dyDescent="0.35">
      <c r="A149">
        <v>10148</v>
      </c>
      <c r="B149">
        <v>40</v>
      </c>
      <c r="C149" t="s">
        <v>10</v>
      </c>
      <c r="D149" t="s">
        <v>12</v>
      </c>
      <c r="E149" s="2">
        <v>45714</v>
      </c>
      <c r="F149" s="2">
        <v>46018</v>
      </c>
      <c r="G149">
        <v>1300</v>
      </c>
      <c r="H149" t="s">
        <v>15</v>
      </c>
      <c r="I149" t="s">
        <v>16</v>
      </c>
      <c r="J149">
        <f t="shared" si="9"/>
        <v>15600</v>
      </c>
      <c r="K149" t="str">
        <f t="shared" si="8"/>
        <v>35+</v>
      </c>
      <c r="L149" t="str">
        <f t="shared" ca="1" si="10"/>
        <v>Safe</v>
      </c>
      <c r="M149" t="str">
        <f t="shared" si="11"/>
        <v>Feb-2025</v>
      </c>
    </row>
    <row r="150" spans="1:13" x14ac:dyDescent="0.35">
      <c r="A150">
        <v>10149</v>
      </c>
      <c r="B150">
        <v>40</v>
      </c>
      <c r="C150" t="s">
        <v>9</v>
      </c>
      <c r="D150" t="s">
        <v>13</v>
      </c>
      <c r="E150" s="2">
        <v>45453</v>
      </c>
      <c r="F150" s="2">
        <v>46031</v>
      </c>
      <c r="G150">
        <v>1500</v>
      </c>
      <c r="H150" t="s">
        <v>15</v>
      </c>
      <c r="I150" t="s">
        <v>16</v>
      </c>
      <c r="J150">
        <f t="shared" si="9"/>
        <v>4500</v>
      </c>
      <c r="K150" t="str">
        <f t="shared" si="8"/>
        <v>35+</v>
      </c>
      <c r="L150" t="str">
        <f t="shared" ca="1" si="10"/>
        <v>Safe</v>
      </c>
      <c r="M150" t="str">
        <f t="shared" si="11"/>
        <v>Jun-2024</v>
      </c>
    </row>
    <row r="151" spans="1:13" x14ac:dyDescent="0.35">
      <c r="A151">
        <v>10150</v>
      </c>
      <c r="B151">
        <v>41</v>
      </c>
      <c r="C151" t="s">
        <v>9</v>
      </c>
      <c r="D151" t="s">
        <v>12</v>
      </c>
      <c r="E151" s="2">
        <v>45254</v>
      </c>
      <c r="F151" s="2">
        <v>46013</v>
      </c>
      <c r="G151">
        <v>800</v>
      </c>
      <c r="H151" t="s">
        <v>14</v>
      </c>
      <c r="I151" t="s">
        <v>16</v>
      </c>
      <c r="J151">
        <f t="shared" si="9"/>
        <v>9600</v>
      </c>
      <c r="K151" t="str">
        <f t="shared" si="8"/>
        <v>35+</v>
      </c>
      <c r="L151" t="str">
        <f t="shared" ca="1" si="10"/>
        <v>Safe</v>
      </c>
      <c r="M151" t="str">
        <f t="shared" si="11"/>
        <v>Nov-2023</v>
      </c>
    </row>
    <row r="152" spans="1:13" x14ac:dyDescent="0.35">
      <c r="A152">
        <v>10151</v>
      </c>
      <c r="B152">
        <v>22</v>
      </c>
      <c r="C152" t="s">
        <v>10</v>
      </c>
      <c r="D152" t="s">
        <v>13</v>
      </c>
      <c r="E152" s="2">
        <v>45773</v>
      </c>
      <c r="F152" s="2">
        <v>46030</v>
      </c>
      <c r="G152">
        <v>1000</v>
      </c>
      <c r="H152" t="s">
        <v>14</v>
      </c>
      <c r="I152" t="s">
        <v>16</v>
      </c>
      <c r="J152">
        <f t="shared" si="9"/>
        <v>3000</v>
      </c>
      <c r="K152" t="str">
        <f t="shared" si="8"/>
        <v>18-24</v>
      </c>
      <c r="L152" t="str">
        <f t="shared" ca="1" si="10"/>
        <v>Safe</v>
      </c>
      <c r="M152" t="str">
        <f t="shared" si="11"/>
        <v>Apr-2025</v>
      </c>
    </row>
    <row r="153" spans="1:13" x14ac:dyDescent="0.35">
      <c r="A153">
        <v>10152</v>
      </c>
      <c r="B153">
        <v>20</v>
      </c>
      <c r="C153" t="s">
        <v>9</v>
      </c>
      <c r="D153" t="s">
        <v>13</v>
      </c>
      <c r="E153" s="2">
        <v>45647</v>
      </c>
      <c r="F153" s="2">
        <v>46011</v>
      </c>
      <c r="G153">
        <v>1000</v>
      </c>
      <c r="H153" t="s">
        <v>14</v>
      </c>
      <c r="I153" t="s">
        <v>16</v>
      </c>
      <c r="J153">
        <f t="shared" si="9"/>
        <v>3000</v>
      </c>
      <c r="K153" t="str">
        <f t="shared" si="8"/>
        <v>18-24</v>
      </c>
      <c r="L153" t="str">
        <f t="shared" ca="1" si="10"/>
        <v>Safe</v>
      </c>
      <c r="M153" t="str">
        <f t="shared" si="11"/>
        <v>Dec-2024</v>
      </c>
    </row>
    <row r="154" spans="1:13" x14ac:dyDescent="0.35">
      <c r="A154">
        <v>10153</v>
      </c>
      <c r="B154">
        <v>29</v>
      </c>
      <c r="C154" t="s">
        <v>10</v>
      </c>
      <c r="D154" t="s">
        <v>12</v>
      </c>
      <c r="E154" s="2">
        <v>45801</v>
      </c>
      <c r="F154" s="2">
        <v>46011</v>
      </c>
      <c r="G154">
        <v>1300</v>
      </c>
      <c r="H154" t="s">
        <v>15</v>
      </c>
      <c r="I154" t="s">
        <v>16</v>
      </c>
      <c r="J154">
        <f t="shared" si="9"/>
        <v>15600</v>
      </c>
      <c r="K154" t="str">
        <f t="shared" si="8"/>
        <v>25-34</v>
      </c>
      <c r="L154" t="str">
        <f t="shared" ca="1" si="10"/>
        <v>Safe</v>
      </c>
      <c r="M154" t="str">
        <f t="shared" si="11"/>
        <v>May-2025</v>
      </c>
    </row>
    <row r="155" spans="1:13" x14ac:dyDescent="0.35">
      <c r="A155">
        <v>10154</v>
      </c>
      <c r="B155">
        <v>25</v>
      </c>
      <c r="C155" t="s">
        <v>9</v>
      </c>
      <c r="D155" t="s">
        <v>11</v>
      </c>
      <c r="E155" s="2">
        <v>45215</v>
      </c>
      <c r="F155" s="2">
        <v>46028</v>
      </c>
      <c r="G155">
        <v>1200</v>
      </c>
      <c r="H155" t="s">
        <v>14</v>
      </c>
      <c r="I155" t="s">
        <v>16</v>
      </c>
      <c r="J155">
        <f t="shared" si="9"/>
        <v>1200</v>
      </c>
      <c r="K155" t="str">
        <f t="shared" si="8"/>
        <v>25-34</v>
      </c>
      <c r="L155" t="str">
        <f t="shared" ca="1" si="10"/>
        <v>Safe</v>
      </c>
      <c r="M155" t="str">
        <f t="shared" si="11"/>
        <v>Oct-2023</v>
      </c>
    </row>
    <row r="156" spans="1:13" x14ac:dyDescent="0.35">
      <c r="A156">
        <v>10155</v>
      </c>
      <c r="B156">
        <v>39</v>
      </c>
      <c r="C156" t="s">
        <v>9</v>
      </c>
      <c r="D156" t="s">
        <v>12</v>
      </c>
      <c r="E156" s="2">
        <v>45400</v>
      </c>
      <c r="F156" s="2">
        <v>46013</v>
      </c>
      <c r="G156">
        <v>1300</v>
      </c>
      <c r="H156" t="s">
        <v>15</v>
      </c>
      <c r="I156" t="s">
        <v>16</v>
      </c>
      <c r="J156">
        <f t="shared" si="9"/>
        <v>15600</v>
      </c>
      <c r="K156" t="str">
        <f t="shared" si="8"/>
        <v>35+</v>
      </c>
      <c r="L156" t="str">
        <f t="shared" ca="1" si="10"/>
        <v>Safe</v>
      </c>
      <c r="M156" t="str">
        <f t="shared" si="11"/>
        <v>Apr-2024</v>
      </c>
    </row>
    <row r="157" spans="1:13" x14ac:dyDescent="0.35">
      <c r="A157">
        <v>10156</v>
      </c>
      <c r="B157">
        <v>44</v>
      </c>
      <c r="C157" t="s">
        <v>9</v>
      </c>
      <c r="D157" t="s">
        <v>11</v>
      </c>
      <c r="E157" s="2">
        <v>45905</v>
      </c>
      <c r="F157" s="2">
        <v>46019</v>
      </c>
      <c r="G157">
        <v>1200</v>
      </c>
      <c r="H157" t="s">
        <v>14</v>
      </c>
      <c r="I157" t="s">
        <v>16</v>
      </c>
      <c r="J157">
        <f t="shared" si="9"/>
        <v>1200</v>
      </c>
      <c r="K157" t="str">
        <f t="shared" si="8"/>
        <v>35+</v>
      </c>
      <c r="L157" t="str">
        <f t="shared" ca="1" si="10"/>
        <v>Safe</v>
      </c>
      <c r="M157" t="str">
        <f t="shared" si="11"/>
        <v>Sep-2025</v>
      </c>
    </row>
    <row r="158" spans="1:13" x14ac:dyDescent="0.35">
      <c r="A158">
        <v>10157</v>
      </c>
      <c r="B158">
        <v>20</v>
      </c>
      <c r="C158" t="s">
        <v>9</v>
      </c>
      <c r="D158" t="s">
        <v>11</v>
      </c>
      <c r="E158" s="2">
        <v>45944</v>
      </c>
      <c r="F158" s="2">
        <v>46024</v>
      </c>
      <c r="G158">
        <v>1200</v>
      </c>
      <c r="H158" t="s">
        <v>14</v>
      </c>
      <c r="I158" t="s">
        <v>16</v>
      </c>
      <c r="J158">
        <f t="shared" si="9"/>
        <v>1200</v>
      </c>
      <c r="K158" t="str">
        <f t="shared" si="8"/>
        <v>18-24</v>
      </c>
      <c r="L158" t="str">
        <f t="shared" ca="1" si="10"/>
        <v>Safe</v>
      </c>
      <c r="M158" t="str">
        <f t="shared" si="11"/>
        <v>Oct-2025</v>
      </c>
    </row>
    <row r="159" spans="1:13" x14ac:dyDescent="0.35">
      <c r="A159">
        <v>10158</v>
      </c>
      <c r="B159">
        <v>18</v>
      </c>
      <c r="C159" t="s">
        <v>10</v>
      </c>
      <c r="D159" t="s">
        <v>11</v>
      </c>
      <c r="E159" s="2">
        <v>45765</v>
      </c>
      <c r="F159" s="2">
        <v>45949</v>
      </c>
      <c r="G159">
        <v>1200</v>
      </c>
      <c r="H159" t="s">
        <v>14</v>
      </c>
      <c r="I159" t="s">
        <v>17</v>
      </c>
      <c r="J159">
        <f t="shared" si="9"/>
        <v>1200</v>
      </c>
      <c r="K159" t="str">
        <f t="shared" si="8"/>
        <v>18-24</v>
      </c>
      <c r="L159" t="str">
        <f t="shared" ca="1" si="10"/>
        <v>High Risk</v>
      </c>
      <c r="M159" t="str">
        <f t="shared" si="11"/>
        <v>Apr-2025</v>
      </c>
    </row>
    <row r="160" spans="1:13" x14ac:dyDescent="0.35">
      <c r="A160">
        <v>10159</v>
      </c>
      <c r="B160">
        <v>20</v>
      </c>
      <c r="C160" t="s">
        <v>10</v>
      </c>
      <c r="D160" t="s">
        <v>13</v>
      </c>
      <c r="E160" s="2">
        <v>45589</v>
      </c>
      <c r="F160" s="2">
        <v>46018</v>
      </c>
      <c r="G160">
        <v>1000</v>
      </c>
      <c r="H160" t="s">
        <v>14</v>
      </c>
      <c r="I160" t="s">
        <v>16</v>
      </c>
      <c r="J160">
        <f t="shared" si="9"/>
        <v>3000</v>
      </c>
      <c r="K160" t="str">
        <f t="shared" si="8"/>
        <v>18-24</v>
      </c>
      <c r="L160" t="str">
        <f t="shared" ca="1" si="10"/>
        <v>Safe</v>
      </c>
      <c r="M160" t="str">
        <f t="shared" si="11"/>
        <v>Oct-2024</v>
      </c>
    </row>
    <row r="161" spans="1:13" x14ac:dyDescent="0.35">
      <c r="A161">
        <v>10160</v>
      </c>
      <c r="B161">
        <v>22</v>
      </c>
      <c r="C161" t="s">
        <v>9</v>
      </c>
      <c r="D161" t="s">
        <v>13</v>
      </c>
      <c r="E161" s="2">
        <v>45176</v>
      </c>
      <c r="F161" s="2">
        <v>46025</v>
      </c>
      <c r="G161">
        <v>1500</v>
      </c>
      <c r="H161" t="s">
        <v>15</v>
      </c>
      <c r="I161" t="s">
        <v>16</v>
      </c>
      <c r="J161">
        <f t="shared" si="9"/>
        <v>4500</v>
      </c>
      <c r="K161" t="str">
        <f t="shared" si="8"/>
        <v>18-24</v>
      </c>
      <c r="L161" t="str">
        <f t="shared" ca="1" si="10"/>
        <v>Safe</v>
      </c>
      <c r="M161" t="str">
        <f t="shared" si="11"/>
        <v>Sep-2023</v>
      </c>
    </row>
    <row r="162" spans="1:13" x14ac:dyDescent="0.35">
      <c r="A162">
        <v>10161</v>
      </c>
      <c r="B162">
        <v>32</v>
      </c>
      <c r="C162" t="s">
        <v>10</v>
      </c>
      <c r="D162" t="s">
        <v>13</v>
      </c>
      <c r="E162" s="2">
        <v>45343</v>
      </c>
      <c r="F162" s="2">
        <v>46022</v>
      </c>
      <c r="G162">
        <v>1000</v>
      </c>
      <c r="H162" t="s">
        <v>14</v>
      </c>
      <c r="I162" t="s">
        <v>16</v>
      </c>
      <c r="J162">
        <f t="shared" si="9"/>
        <v>3000</v>
      </c>
      <c r="K162" t="str">
        <f t="shared" si="8"/>
        <v>25-34</v>
      </c>
      <c r="L162" t="str">
        <f t="shared" ca="1" si="10"/>
        <v>Safe</v>
      </c>
      <c r="M162" t="str">
        <f t="shared" si="11"/>
        <v>Feb-2024</v>
      </c>
    </row>
    <row r="163" spans="1:13" x14ac:dyDescent="0.35">
      <c r="A163">
        <v>10162</v>
      </c>
      <c r="B163">
        <v>31</v>
      </c>
      <c r="C163" t="s">
        <v>9</v>
      </c>
      <c r="D163" t="s">
        <v>11</v>
      </c>
      <c r="E163" s="2">
        <v>45736</v>
      </c>
      <c r="F163" s="2">
        <v>45922</v>
      </c>
      <c r="G163">
        <v>1200</v>
      </c>
      <c r="H163" t="s">
        <v>14</v>
      </c>
      <c r="I163" t="s">
        <v>17</v>
      </c>
      <c r="J163">
        <f t="shared" si="9"/>
        <v>1200</v>
      </c>
      <c r="K163" t="str">
        <f t="shared" si="8"/>
        <v>25-34</v>
      </c>
      <c r="L163" t="str">
        <f t="shared" ca="1" si="10"/>
        <v>High Risk</v>
      </c>
      <c r="M163" t="str">
        <f t="shared" si="11"/>
        <v>Mar-2025</v>
      </c>
    </row>
    <row r="164" spans="1:13" x14ac:dyDescent="0.35">
      <c r="A164">
        <v>10163</v>
      </c>
      <c r="B164">
        <v>20</v>
      </c>
      <c r="C164" t="s">
        <v>9</v>
      </c>
      <c r="D164" t="s">
        <v>11</v>
      </c>
      <c r="E164" s="2">
        <v>45430</v>
      </c>
      <c r="F164" s="2">
        <v>45964</v>
      </c>
      <c r="G164">
        <v>1200</v>
      </c>
      <c r="H164" t="s">
        <v>14</v>
      </c>
      <c r="I164" t="s">
        <v>17</v>
      </c>
      <c r="J164">
        <f t="shared" si="9"/>
        <v>1200</v>
      </c>
      <c r="K164" t="str">
        <f t="shared" si="8"/>
        <v>18-24</v>
      </c>
      <c r="L164" t="str">
        <f t="shared" ca="1" si="10"/>
        <v>High Risk</v>
      </c>
      <c r="M164" t="str">
        <f t="shared" si="11"/>
        <v>May-2024</v>
      </c>
    </row>
    <row r="165" spans="1:13" x14ac:dyDescent="0.35">
      <c r="A165">
        <v>10164</v>
      </c>
      <c r="B165">
        <v>18</v>
      </c>
      <c r="C165" t="s">
        <v>9</v>
      </c>
      <c r="D165" t="s">
        <v>11</v>
      </c>
      <c r="E165" s="2">
        <v>45646</v>
      </c>
      <c r="F165" s="2">
        <v>46027</v>
      </c>
      <c r="G165">
        <v>1200</v>
      </c>
      <c r="H165" t="s">
        <v>14</v>
      </c>
      <c r="I165" t="s">
        <v>16</v>
      </c>
      <c r="J165">
        <f t="shared" si="9"/>
        <v>1200</v>
      </c>
      <c r="K165" t="str">
        <f t="shared" si="8"/>
        <v>18-24</v>
      </c>
      <c r="L165" t="str">
        <f t="shared" ca="1" si="10"/>
        <v>Safe</v>
      </c>
      <c r="M165" t="str">
        <f t="shared" si="11"/>
        <v>Dec-2024</v>
      </c>
    </row>
    <row r="166" spans="1:13" x14ac:dyDescent="0.35">
      <c r="A166">
        <v>10165</v>
      </c>
      <c r="B166">
        <v>22</v>
      </c>
      <c r="C166" t="s">
        <v>9</v>
      </c>
      <c r="D166" t="s">
        <v>11</v>
      </c>
      <c r="E166" s="2">
        <v>45608</v>
      </c>
      <c r="F166" s="2">
        <v>46012</v>
      </c>
      <c r="G166">
        <v>1200</v>
      </c>
      <c r="H166" t="s">
        <v>14</v>
      </c>
      <c r="I166" t="s">
        <v>16</v>
      </c>
      <c r="J166">
        <f t="shared" si="9"/>
        <v>1200</v>
      </c>
      <c r="K166" t="str">
        <f t="shared" si="8"/>
        <v>18-24</v>
      </c>
      <c r="L166" t="str">
        <f t="shared" ca="1" si="10"/>
        <v>Safe</v>
      </c>
      <c r="M166" t="str">
        <f t="shared" si="11"/>
        <v>Nov-2024</v>
      </c>
    </row>
    <row r="167" spans="1:13" x14ac:dyDescent="0.35">
      <c r="A167">
        <v>10166</v>
      </c>
      <c r="B167">
        <v>43</v>
      </c>
      <c r="C167" t="s">
        <v>9</v>
      </c>
      <c r="D167" t="s">
        <v>12</v>
      </c>
      <c r="E167" s="2">
        <v>45901</v>
      </c>
      <c r="F167" s="2">
        <v>46008</v>
      </c>
      <c r="G167">
        <v>1300</v>
      </c>
      <c r="H167" t="s">
        <v>15</v>
      </c>
      <c r="I167" t="s">
        <v>16</v>
      </c>
      <c r="J167">
        <f t="shared" si="9"/>
        <v>15600</v>
      </c>
      <c r="K167" t="str">
        <f t="shared" si="8"/>
        <v>35+</v>
      </c>
      <c r="L167" t="str">
        <f t="shared" ca="1" si="10"/>
        <v>Safe</v>
      </c>
      <c r="M167" t="str">
        <f t="shared" si="11"/>
        <v>Sep-2025</v>
      </c>
    </row>
    <row r="168" spans="1:13" x14ac:dyDescent="0.35">
      <c r="A168">
        <v>10167</v>
      </c>
      <c r="B168">
        <v>40</v>
      </c>
      <c r="C168" t="s">
        <v>10</v>
      </c>
      <c r="D168" t="s">
        <v>11</v>
      </c>
      <c r="E168" s="2">
        <v>45426</v>
      </c>
      <c r="F168" s="2">
        <v>46032</v>
      </c>
      <c r="G168">
        <v>1200</v>
      </c>
      <c r="H168" t="s">
        <v>14</v>
      </c>
      <c r="I168" t="s">
        <v>16</v>
      </c>
      <c r="J168">
        <f t="shared" si="9"/>
        <v>1200</v>
      </c>
      <c r="K168" t="str">
        <f t="shared" si="8"/>
        <v>35+</v>
      </c>
      <c r="L168" t="str">
        <f t="shared" ca="1" si="10"/>
        <v>Safe</v>
      </c>
      <c r="M168" t="str">
        <f t="shared" si="11"/>
        <v>May-2024</v>
      </c>
    </row>
    <row r="169" spans="1:13" x14ac:dyDescent="0.35">
      <c r="A169">
        <v>10168</v>
      </c>
      <c r="B169">
        <v>31</v>
      </c>
      <c r="C169" t="s">
        <v>9</v>
      </c>
      <c r="D169" t="s">
        <v>12</v>
      </c>
      <c r="E169" s="2">
        <v>45488</v>
      </c>
      <c r="F169" s="2">
        <v>46011</v>
      </c>
      <c r="G169">
        <v>1300</v>
      </c>
      <c r="H169" t="s">
        <v>15</v>
      </c>
      <c r="I169" t="s">
        <v>16</v>
      </c>
      <c r="J169">
        <f t="shared" si="9"/>
        <v>15600</v>
      </c>
      <c r="K169" t="str">
        <f t="shared" si="8"/>
        <v>25-34</v>
      </c>
      <c r="L169" t="str">
        <f t="shared" ca="1" si="10"/>
        <v>Safe</v>
      </c>
      <c r="M169" t="str">
        <f t="shared" si="11"/>
        <v>Jul-2024</v>
      </c>
    </row>
    <row r="170" spans="1:13" x14ac:dyDescent="0.35">
      <c r="A170">
        <v>10169</v>
      </c>
      <c r="B170">
        <v>24</v>
      </c>
      <c r="C170" t="s">
        <v>9</v>
      </c>
      <c r="D170" t="s">
        <v>12</v>
      </c>
      <c r="E170" s="2">
        <v>45317</v>
      </c>
      <c r="F170" s="2">
        <v>45977</v>
      </c>
      <c r="G170">
        <v>800</v>
      </c>
      <c r="H170" t="s">
        <v>14</v>
      </c>
      <c r="I170" t="s">
        <v>17</v>
      </c>
      <c r="J170">
        <f t="shared" si="9"/>
        <v>9600</v>
      </c>
      <c r="K170" t="str">
        <f t="shared" si="8"/>
        <v>18-24</v>
      </c>
      <c r="L170" t="str">
        <f t="shared" ca="1" si="10"/>
        <v>High Risk</v>
      </c>
      <c r="M170" t="str">
        <f t="shared" si="11"/>
        <v>Jan-2024</v>
      </c>
    </row>
    <row r="171" spans="1:13" x14ac:dyDescent="0.35">
      <c r="A171">
        <v>10170</v>
      </c>
      <c r="B171">
        <v>44</v>
      </c>
      <c r="C171" t="s">
        <v>9</v>
      </c>
      <c r="D171" t="s">
        <v>11</v>
      </c>
      <c r="E171" s="2">
        <v>45193</v>
      </c>
      <c r="F171" s="2">
        <v>46029</v>
      </c>
      <c r="G171">
        <v>1200</v>
      </c>
      <c r="H171" t="s">
        <v>14</v>
      </c>
      <c r="I171" t="s">
        <v>16</v>
      </c>
      <c r="J171">
        <f t="shared" si="9"/>
        <v>1200</v>
      </c>
      <c r="K171" t="str">
        <f t="shared" si="8"/>
        <v>35+</v>
      </c>
      <c r="L171" t="str">
        <f t="shared" ca="1" si="10"/>
        <v>Safe</v>
      </c>
      <c r="M171" t="str">
        <f t="shared" si="11"/>
        <v>Sep-2023</v>
      </c>
    </row>
    <row r="172" spans="1:13" x14ac:dyDescent="0.35">
      <c r="A172">
        <v>10171</v>
      </c>
      <c r="B172">
        <v>26</v>
      </c>
      <c r="C172" t="s">
        <v>9</v>
      </c>
      <c r="D172" t="s">
        <v>13</v>
      </c>
      <c r="E172" s="2">
        <v>45397</v>
      </c>
      <c r="F172" s="2">
        <v>45979</v>
      </c>
      <c r="G172">
        <v>1500</v>
      </c>
      <c r="H172" t="s">
        <v>15</v>
      </c>
      <c r="I172" t="s">
        <v>17</v>
      </c>
      <c r="J172">
        <f t="shared" si="9"/>
        <v>4500</v>
      </c>
      <c r="K172" t="str">
        <f t="shared" si="8"/>
        <v>25-34</v>
      </c>
      <c r="L172" t="str">
        <f t="shared" ca="1" si="10"/>
        <v>High Risk</v>
      </c>
      <c r="M172" t="str">
        <f t="shared" si="11"/>
        <v>Apr-2024</v>
      </c>
    </row>
    <row r="173" spans="1:13" x14ac:dyDescent="0.35">
      <c r="A173">
        <v>10172</v>
      </c>
      <c r="B173">
        <v>32</v>
      </c>
      <c r="C173" t="s">
        <v>10</v>
      </c>
      <c r="D173" t="s">
        <v>11</v>
      </c>
      <c r="E173" s="2">
        <v>45294</v>
      </c>
      <c r="F173" s="2">
        <v>46017</v>
      </c>
      <c r="G173">
        <v>1200</v>
      </c>
      <c r="H173" t="s">
        <v>14</v>
      </c>
      <c r="I173" t="s">
        <v>16</v>
      </c>
      <c r="J173">
        <f t="shared" si="9"/>
        <v>1200</v>
      </c>
      <c r="K173" t="str">
        <f t="shared" si="8"/>
        <v>25-34</v>
      </c>
      <c r="L173" t="str">
        <f t="shared" ca="1" si="10"/>
        <v>Safe</v>
      </c>
      <c r="M173" t="str">
        <f t="shared" si="11"/>
        <v>Jan-2024</v>
      </c>
    </row>
    <row r="174" spans="1:13" x14ac:dyDescent="0.35">
      <c r="A174">
        <v>10173</v>
      </c>
      <c r="B174">
        <v>32</v>
      </c>
      <c r="C174" t="s">
        <v>9</v>
      </c>
      <c r="D174" t="s">
        <v>11</v>
      </c>
      <c r="E174" s="2">
        <v>45193</v>
      </c>
      <c r="F174" s="2">
        <v>46008</v>
      </c>
      <c r="G174">
        <v>1700</v>
      </c>
      <c r="H174" t="s">
        <v>15</v>
      </c>
      <c r="I174" t="s">
        <v>16</v>
      </c>
      <c r="J174">
        <f t="shared" si="9"/>
        <v>1700</v>
      </c>
      <c r="K174" t="str">
        <f t="shared" si="8"/>
        <v>25-34</v>
      </c>
      <c r="L174" t="str">
        <f t="shared" ca="1" si="10"/>
        <v>Safe</v>
      </c>
      <c r="M174" t="str">
        <f t="shared" si="11"/>
        <v>Sep-2023</v>
      </c>
    </row>
    <row r="175" spans="1:13" x14ac:dyDescent="0.35">
      <c r="A175">
        <v>10174</v>
      </c>
      <c r="B175">
        <v>43</v>
      </c>
      <c r="C175" t="s">
        <v>9</v>
      </c>
      <c r="D175" t="s">
        <v>11</v>
      </c>
      <c r="E175" s="2">
        <v>45601</v>
      </c>
      <c r="F175" s="2">
        <v>46018</v>
      </c>
      <c r="G175">
        <v>1200</v>
      </c>
      <c r="H175" t="s">
        <v>14</v>
      </c>
      <c r="I175" t="s">
        <v>16</v>
      </c>
      <c r="J175">
        <f t="shared" si="9"/>
        <v>1200</v>
      </c>
      <c r="K175" t="str">
        <f t="shared" si="8"/>
        <v>35+</v>
      </c>
      <c r="L175" t="str">
        <f t="shared" ca="1" si="10"/>
        <v>Safe</v>
      </c>
      <c r="M175" t="str">
        <f t="shared" si="11"/>
        <v>Nov-2024</v>
      </c>
    </row>
    <row r="176" spans="1:13" x14ac:dyDescent="0.35">
      <c r="A176">
        <v>10175</v>
      </c>
      <c r="B176">
        <v>27</v>
      </c>
      <c r="C176" t="s">
        <v>9</v>
      </c>
      <c r="D176" t="s">
        <v>13</v>
      </c>
      <c r="E176" s="2">
        <v>45785</v>
      </c>
      <c r="F176" s="2">
        <v>46027</v>
      </c>
      <c r="G176">
        <v>1000</v>
      </c>
      <c r="H176" t="s">
        <v>14</v>
      </c>
      <c r="I176" t="s">
        <v>16</v>
      </c>
      <c r="J176">
        <f t="shared" si="9"/>
        <v>3000</v>
      </c>
      <c r="K176" t="str">
        <f t="shared" si="8"/>
        <v>25-34</v>
      </c>
      <c r="L176" t="str">
        <f t="shared" ca="1" si="10"/>
        <v>Safe</v>
      </c>
      <c r="M176" t="str">
        <f t="shared" si="11"/>
        <v>May-2025</v>
      </c>
    </row>
    <row r="177" spans="1:13" x14ac:dyDescent="0.35">
      <c r="A177">
        <v>10176</v>
      </c>
      <c r="B177">
        <v>45</v>
      </c>
      <c r="C177" t="s">
        <v>9</v>
      </c>
      <c r="D177" t="s">
        <v>11</v>
      </c>
      <c r="E177" s="2">
        <v>45172</v>
      </c>
      <c r="F177" s="2">
        <v>46020</v>
      </c>
      <c r="G177">
        <v>1200</v>
      </c>
      <c r="H177" t="s">
        <v>14</v>
      </c>
      <c r="I177" t="s">
        <v>16</v>
      </c>
      <c r="J177">
        <f t="shared" si="9"/>
        <v>1200</v>
      </c>
      <c r="K177" t="str">
        <f t="shared" si="8"/>
        <v>35+</v>
      </c>
      <c r="L177" t="str">
        <f t="shared" ca="1" si="10"/>
        <v>Safe</v>
      </c>
      <c r="M177" t="str">
        <f t="shared" si="11"/>
        <v>Sep-2023</v>
      </c>
    </row>
    <row r="178" spans="1:13" x14ac:dyDescent="0.35">
      <c r="A178">
        <v>10177</v>
      </c>
      <c r="B178">
        <v>30</v>
      </c>
      <c r="C178" t="s">
        <v>9</v>
      </c>
      <c r="D178" t="s">
        <v>13</v>
      </c>
      <c r="E178" s="2">
        <v>45747</v>
      </c>
      <c r="F178" s="2">
        <v>45981</v>
      </c>
      <c r="G178">
        <v>1000</v>
      </c>
      <c r="H178" t="s">
        <v>14</v>
      </c>
      <c r="I178" t="s">
        <v>17</v>
      </c>
      <c r="J178">
        <f t="shared" si="9"/>
        <v>3000</v>
      </c>
      <c r="K178" t="str">
        <f t="shared" si="8"/>
        <v>25-34</v>
      </c>
      <c r="L178" t="str">
        <f t="shared" ca="1" si="10"/>
        <v>High Risk</v>
      </c>
      <c r="M178" t="str">
        <f t="shared" si="11"/>
        <v>Mar-2025</v>
      </c>
    </row>
    <row r="179" spans="1:13" x14ac:dyDescent="0.35">
      <c r="A179">
        <v>10178</v>
      </c>
      <c r="B179">
        <v>36</v>
      </c>
      <c r="C179" t="s">
        <v>9</v>
      </c>
      <c r="D179" t="s">
        <v>13</v>
      </c>
      <c r="E179" s="2">
        <v>45640</v>
      </c>
      <c r="F179" s="2">
        <v>46024</v>
      </c>
      <c r="G179">
        <v>1000</v>
      </c>
      <c r="H179" t="s">
        <v>14</v>
      </c>
      <c r="I179" t="s">
        <v>16</v>
      </c>
      <c r="J179">
        <f t="shared" si="9"/>
        <v>3000</v>
      </c>
      <c r="K179" t="str">
        <f t="shared" si="8"/>
        <v>35+</v>
      </c>
      <c r="L179" t="str">
        <f t="shared" ca="1" si="10"/>
        <v>Safe</v>
      </c>
      <c r="M179" t="str">
        <f t="shared" si="11"/>
        <v>Dec-2024</v>
      </c>
    </row>
    <row r="180" spans="1:13" x14ac:dyDescent="0.35">
      <c r="A180">
        <v>10179</v>
      </c>
      <c r="B180">
        <v>24</v>
      </c>
      <c r="C180" t="s">
        <v>10</v>
      </c>
      <c r="D180" t="s">
        <v>11</v>
      </c>
      <c r="E180" s="2">
        <v>45885</v>
      </c>
      <c r="F180" s="2">
        <v>46017</v>
      </c>
      <c r="G180">
        <v>1200</v>
      </c>
      <c r="H180" t="s">
        <v>14</v>
      </c>
      <c r="I180" t="s">
        <v>16</v>
      </c>
      <c r="J180">
        <f t="shared" si="9"/>
        <v>1200</v>
      </c>
      <c r="K180" t="str">
        <f t="shared" si="8"/>
        <v>18-24</v>
      </c>
      <c r="L180" t="str">
        <f t="shared" ca="1" si="10"/>
        <v>Safe</v>
      </c>
      <c r="M180" t="str">
        <f t="shared" si="11"/>
        <v>Aug-2025</v>
      </c>
    </row>
    <row r="181" spans="1:13" x14ac:dyDescent="0.35">
      <c r="A181">
        <v>10180</v>
      </c>
      <c r="B181">
        <v>34</v>
      </c>
      <c r="C181" t="s">
        <v>10</v>
      </c>
      <c r="D181" t="s">
        <v>13</v>
      </c>
      <c r="E181" s="2">
        <v>45183</v>
      </c>
      <c r="F181" s="2">
        <v>45980</v>
      </c>
      <c r="G181">
        <v>1000</v>
      </c>
      <c r="H181" t="s">
        <v>14</v>
      </c>
      <c r="I181" t="s">
        <v>17</v>
      </c>
      <c r="J181">
        <f t="shared" si="9"/>
        <v>3000</v>
      </c>
      <c r="K181" t="str">
        <f t="shared" si="8"/>
        <v>25-34</v>
      </c>
      <c r="L181" t="str">
        <f t="shared" ca="1" si="10"/>
        <v>High Risk</v>
      </c>
      <c r="M181" t="str">
        <f t="shared" si="11"/>
        <v>Sep-2023</v>
      </c>
    </row>
    <row r="182" spans="1:13" x14ac:dyDescent="0.35">
      <c r="A182">
        <v>10181</v>
      </c>
      <c r="B182">
        <v>37</v>
      </c>
      <c r="C182" t="s">
        <v>9</v>
      </c>
      <c r="D182" t="s">
        <v>12</v>
      </c>
      <c r="E182" s="2">
        <v>45973</v>
      </c>
      <c r="F182" s="2">
        <v>46027</v>
      </c>
      <c r="G182">
        <v>800</v>
      </c>
      <c r="H182" t="s">
        <v>14</v>
      </c>
      <c r="I182" t="s">
        <v>16</v>
      </c>
      <c r="J182">
        <f t="shared" si="9"/>
        <v>9600</v>
      </c>
      <c r="K182" t="str">
        <f t="shared" si="8"/>
        <v>35+</v>
      </c>
      <c r="L182" t="str">
        <f t="shared" ca="1" si="10"/>
        <v>Safe</v>
      </c>
      <c r="M182" t="str">
        <f t="shared" si="11"/>
        <v>Nov-2025</v>
      </c>
    </row>
    <row r="183" spans="1:13" x14ac:dyDescent="0.35">
      <c r="A183">
        <v>10182</v>
      </c>
      <c r="B183">
        <v>21</v>
      </c>
      <c r="C183" t="s">
        <v>9</v>
      </c>
      <c r="D183" t="s">
        <v>11</v>
      </c>
      <c r="E183" s="2">
        <v>45647</v>
      </c>
      <c r="F183" s="2">
        <v>45948</v>
      </c>
      <c r="G183">
        <v>1200</v>
      </c>
      <c r="H183" t="s">
        <v>14</v>
      </c>
      <c r="I183" t="s">
        <v>17</v>
      </c>
      <c r="J183">
        <f t="shared" si="9"/>
        <v>1200</v>
      </c>
      <c r="K183" t="str">
        <f t="shared" si="8"/>
        <v>18-24</v>
      </c>
      <c r="L183" t="str">
        <f t="shared" ca="1" si="10"/>
        <v>High Risk</v>
      </c>
      <c r="M183" t="str">
        <f t="shared" si="11"/>
        <v>Dec-2024</v>
      </c>
    </row>
    <row r="184" spans="1:13" x14ac:dyDescent="0.35">
      <c r="A184">
        <v>10183</v>
      </c>
      <c r="B184">
        <v>22</v>
      </c>
      <c r="C184" t="s">
        <v>9</v>
      </c>
      <c r="D184" t="s">
        <v>11</v>
      </c>
      <c r="E184" s="2">
        <v>45750</v>
      </c>
      <c r="F184" s="2">
        <v>46032</v>
      </c>
      <c r="G184">
        <v>1700</v>
      </c>
      <c r="H184" t="s">
        <v>15</v>
      </c>
      <c r="I184" t="s">
        <v>16</v>
      </c>
      <c r="J184">
        <f t="shared" si="9"/>
        <v>1700</v>
      </c>
      <c r="K184" t="str">
        <f t="shared" si="8"/>
        <v>18-24</v>
      </c>
      <c r="L184" t="str">
        <f t="shared" ca="1" si="10"/>
        <v>Safe</v>
      </c>
      <c r="M184" t="str">
        <f t="shared" si="11"/>
        <v>Apr-2025</v>
      </c>
    </row>
    <row r="185" spans="1:13" x14ac:dyDescent="0.35">
      <c r="A185">
        <v>10184</v>
      </c>
      <c r="B185">
        <v>40</v>
      </c>
      <c r="C185" t="s">
        <v>9</v>
      </c>
      <c r="D185" t="s">
        <v>13</v>
      </c>
      <c r="E185" s="2">
        <v>45989</v>
      </c>
      <c r="F185" s="2">
        <v>46021</v>
      </c>
      <c r="G185">
        <v>1500</v>
      </c>
      <c r="H185" t="s">
        <v>15</v>
      </c>
      <c r="I185" t="s">
        <v>16</v>
      </c>
      <c r="J185">
        <f t="shared" si="9"/>
        <v>4500</v>
      </c>
      <c r="K185" t="str">
        <f t="shared" si="8"/>
        <v>35+</v>
      </c>
      <c r="L185" t="str">
        <f t="shared" ca="1" si="10"/>
        <v>Safe</v>
      </c>
      <c r="M185" t="str">
        <f t="shared" si="11"/>
        <v>Nov-2025</v>
      </c>
    </row>
    <row r="186" spans="1:13" x14ac:dyDescent="0.35">
      <c r="A186">
        <v>10185</v>
      </c>
      <c r="B186">
        <v>24</v>
      </c>
      <c r="C186" t="s">
        <v>9</v>
      </c>
      <c r="D186" t="s">
        <v>11</v>
      </c>
      <c r="E186" s="2">
        <v>45893</v>
      </c>
      <c r="F186" s="2">
        <v>45947</v>
      </c>
      <c r="G186">
        <v>1700</v>
      </c>
      <c r="H186" t="s">
        <v>15</v>
      </c>
      <c r="I186" t="s">
        <v>17</v>
      </c>
      <c r="J186">
        <f t="shared" si="9"/>
        <v>1700</v>
      </c>
      <c r="K186" t="str">
        <f t="shared" si="8"/>
        <v>18-24</v>
      </c>
      <c r="L186" t="str">
        <f t="shared" ca="1" si="10"/>
        <v>High Risk</v>
      </c>
      <c r="M186" t="str">
        <f t="shared" si="11"/>
        <v>Aug-2025</v>
      </c>
    </row>
    <row r="187" spans="1:13" x14ac:dyDescent="0.35">
      <c r="A187">
        <v>10186</v>
      </c>
      <c r="B187">
        <v>30</v>
      </c>
      <c r="C187" t="s">
        <v>9</v>
      </c>
      <c r="D187" t="s">
        <v>13</v>
      </c>
      <c r="E187" s="2">
        <v>45934</v>
      </c>
      <c r="F187" s="2">
        <v>46029</v>
      </c>
      <c r="G187">
        <v>1000</v>
      </c>
      <c r="H187" t="s">
        <v>14</v>
      </c>
      <c r="I187" t="s">
        <v>16</v>
      </c>
      <c r="J187">
        <f t="shared" si="9"/>
        <v>3000</v>
      </c>
      <c r="K187" t="str">
        <f t="shared" si="8"/>
        <v>25-34</v>
      </c>
      <c r="L187" t="str">
        <f t="shared" ca="1" si="10"/>
        <v>Safe</v>
      </c>
      <c r="M187" t="str">
        <f t="shared" si="11"/>
        <v>Oct-2025</v>
      </c>
    </row>
    <row r="188" spans="1:13" x14ac:dyDescent="0.35">
      <c r="A188">
        <v>10187</v>
      </c>
      <c r="B188">
        <v>32</v>
      </c>
      <c r="C188" t="s">
        <v>9</v>
      </c>
      <c r="D188" t="s">
        <v>11</v>
      </c>
      <c r="E188" s="2">
        <v>45516</v>
      </c>
      <c r="F188" s="2">
        <v>46029</v>
      </c>
      <c r="G188">
        <v>1200</v>
      </c>
      <c r="H188" t="s">
        <v>14</v>
      </c>
      <c r="I188" t="s">
        <v>16</v>
      </c>
      <c r="J188">
        <f t="shared" si="9"/>
        <v>1200</v>
      </c>
      <c r="K188" t="str">
        <f t="shared" si="8"/>
        <v>25-34</v>
      </c>
      <c r="L188" t="str">
        <f t="shared" ca="1" si="10"/>
        <v>Safe</v>
      </c>
      <c r="M188" t="str">
        <f t="shared" si="11"/>
        <v>Aug-2024</v>
      </c>
    </row>
    <row r="189" spans="1:13" x14ac:dyDescent="0.35">
      <c r="A189">
        <v>10188</v>
      </c>
      <c r="B189">
        <v>28</v>
      </c>
      <c r="C189" t="s">
        <v>9</v>
      </c>
      <c r="D189" t="s">
        <v>11</v>
      </c>
      <c r="E189" s="2">
        <v>45492</v>
      </c>
      <c r="F189" s="2">
        <v>45934</v>
      </c>
      <c r="G189">
        <v>1200</v>
      </c>
      <c r="H189" t="s">
        <v>14</v>
      </c>
      <c r="I189" t="s">
        <v>17</v>
      </c>
      <c r="J189">
        <f t="shared" si="9"/>
        <v>1200</v>
      </c>
      <c r="K189" t="str">
        <f t="shared" si="8"/>
        <v>25-34</v>
      </c>
      <c r="L189" t="str">
        <f t="shared" ca="1" si="10"/>
        <v>High Risk</v>
      </c>
      <c r="M189" t="str">
        <f t="shared" si="11"/>
        <v>Jul-2024</v>
      </c>
    </row>
    <row r="190" spans="1:13" x14ac:dyDescent="0.35">
      <c r="A190">
        <v>10189</v>
      </c>
      <c r="B190">
        <v>21</v>
      </c>
      <c r="C190" t="s">
        <v>9</v>
      </c>
      <c r="D190" t="s">
        <v>11</v>
      </c>
      <c r="E190" s="2">
        <v>45405</v>
      </c>
      <c r="F190" s="2">
        <v>45991</v>
      </c>
      <c r="G190">
        <v>1200</v>
      </c>
      <c r="H190" t="s">
        <v>14</v>
      </c>
      <c r="I190" t="s">
        <v>17</v>
      </c>
      <c r="J190">
        <f t="shared" si="9"/>
        <v>1200</v>
      </c>
      <c r="K190" t="str">
        <f t="shared" si="8"/>
        <v>18-24</v>
      </c>
      <c r="L190" t="str">
        <f t="shared" ca="1" si="10"/>
        <v>High Risk</v>
      </c>
      <c r="M190" t="str">
        <f t="shared" si="11"/>
        <v>Apr-2024</v>
      </c>
    </row>
    <row r="191" spans="1:13" x14ac:dyDescent="0.35">
      <c r="A191">
        <v>10190</v>
      </c>
      <c r="B191">
        <v>30</v>
      </c>
      <c r="C191" t="s">
        <v>9</v>
      </c>
      <c r="D191" t="s">
        <v>11</v>
      </c>
      <c r="E191" s="2">
        <v>45748</v>
      </c>
      <c r="F191" s="2">
        <v>46009</v>
      </c>
      <c r="G191">
        <v>1700</v>
      </c>
      <c r="H191" t="s">
        <v>15</v>
      </c>
      <c r="I191" t="s">
        <v>16</v>
      </c>
      <c r="J191">
        <f t="shared" si="9"/>
        <v>1700</v>
      </c>
      <c r="K191" t="str">
        <f t="shared" si="8"/>
        <v>25-34</v>
      </c>
      <c r="L191" t="str">
        <f t="shared" ca="1" si="10"/>
        <v>Safe</v>
      </c>
      <c r="M191" t="str">
        <f t="shared" si="11"/>
        <v>Apr-2025</v>
      </c>
    </row>
    <row r="192" spans="1:13" x14ac:dyDescent="0.35">
      <c r="A192">
        <v>10191</v>
      </c>
      <c r="B192">
        <v>24</v>
      </c>
      <c r="C192" t="s">
        <v>9</v>
      </c>
      <c r="D192" t="s">
        <v>13</v>
      </c>
      <c r="E192" s="2">
        <v>45820</v>
      </c>
      <c r="F192" s="2">
        <v>46018</v>
      </c>
      <c r="G192">
        <v>1500</v>
      </c>
      <c r="H192" t="s">
        <v>15</v>
      </c>
      <c r="I192" t="s">
        <v>16</v>
      </c>
      <c r="J192">
        <f t="shared" si="9"/>
        <v>4500</v>
      </c>
      <c r="K192" t="str">
        <f t="shared" si="8"/>
        <v>18-24</v>
      </c>
      <c r="L192" t="str">
        <f t="shared" ca="1" si="10"/>
        <v>Safe</v>
      </c>
      <c r="M192" t="str">
        <f t="shared" si="11"/>
        <v>Jun-2025</v>
      </c>
    </row>
    <row r="193" spans="1:13" x14ac:dyDescent="0.35">
      <c r="A193">
        <v>10192</v>
      </c>
      <c r="B193">
        <v>44</v>
      </c>
      <c r="C193" t="s">
        <v>9</v>
      </c>
      <c r="D193" t="s">
        <v>11</v>
      </c>
      <c r="E193" s="2">
        <v>45610</v>
      </c>
      <c r="F193" s="2">
        <v>46018</v>
      </c>
      <c r="G193">
        <v>1200</v>
      </c>
      <c r="H193" t="s">
        <v>14</v>
      </c>
      <c r="I193" t="s">
        <v>16</v>
      </c>
      <c r="J193">
        <f t="shared" si="9"/>
        <v>1200</v>
      </c>
      <c r="K193" t="str">
        <f t="shared" si="8"/>
        <v>35+</v>
      </c>
      <c r="L193" t="str">
        <f t="shared" ca="1" si="10"/>
        <v>Safe</v>
      </c>
      <c r="M193" t="str">
        <f t="shared" si="11"/>
        <v>Nov-2024</v>
      </c>
    </row>
    <row r="194" spans="1:13" x14ac:dyDescent="0.35">
      <c r="A194">
        <v>10193</v>
      </c>
      <c r="B194">
        <v>36</v>
      </c>
      <c r="C194" t="s">
        <v>9</v>
      </c>
      <c r="D194" t="s">
        <v>12</v>
      </c>
      <c r="E194" s="2">
        <v>45824</v>
      </c>
      <c r="F194" s="2">
        <v>45921</v>
      </c>
      <c r="G194">
        <v>800</v>
      </c>
      <c r="H194" t="s">
        <v>14</v>
      </c>
      <c r="I194" t="s">
        <v>17</v>
      </c>
      <c r="J194">
        <f t="shared" si="9"/>
        <v>9600</v>
      </c>
      <c r="K194" t="str">
        <f t="shared" ref="K194:K257" si="12">IF(B194&lt;25,"18-24",IF(B194&lt;35,"25-34","35+"))</f>
        <v>35+</v>
      </c>
      <c r="L194" t="str">
        <f t="shared" ca="1" si="10"/>
        <v>High Risk</v>
      </c>
      <c r="M194" t="str">
        <f t="shared" si="11"/>
        <v>Jun-2025</v>
      </c>
    </row>
    <row r="195" spans="1:13" x14ac:dyDescent="0.35">
      <c r="A195">
        <v>10194</v>
      </c>
      <c r="B195">
        <v>39</v>
      </c>
      <c r="C195" t="s">
        <v>10</v>
      </c>
      <c r="D195" t="s">
        <v>12</v>
      </c>
      <c r="E195" s="2">
        <v>45614</v>
      </c>
      <c r="F195" s="2">
        <v>46016</v>
      </c>
      <c r="G195">
        <v>800</v>
      </c>
      <c r="H195" t="s">
        <v>14</v>
      </c>
      <c r="I195" t="s">
        <v>16</v>
      </c>
      <c r="J195">
        <f t="shared" ref="J195:J258" si="13">IF(D195="Monthly",G195,IF(D195="Quarterly",G195*3,G195*12))</f>
        <v>9600</v>
      </c>
      <c r="K195" t="str">
        <f t="shared" si="12"/>
        <v>35+</v>
      </c>
      <c r="L195" t="str">
        <f t="shared" ref="L195:L258" ca="1" si="14">IF(F195&lt;TODAY()-30,"High Risk","Safe")</f>
        <v>Safe</v>
      </c>
      <c r="M195" t="str">
        <f t="shared" ref="M195:M258" si="15">TEXT(E195,"mmm-yyyy")</f>
        <v>Nov-2024</v>
      </c>
    </row>
    <row r="196" spans="1:13" x14ac:dyDescent="0.35">
      <c r="A196">
        <v>10195</v>
      </c>
      <c r="B196">
        <v>45</v>
      </c>
      <c r="C196" t="s">
        <v>9</v>
      </c>
      <c r="D196" t="s">
        <v>13</v>
      </c>
      <c r="E196" s="2">
        <v>45557</v>
      </c>
      <c r="F196" s="2">
        <v>45940</v>
      </c>
      <c r="G196">
        <v>1000</v>
      </c>
      <c r="H196" t="s">
        <v>14</v>
      </c>
      <c r="I196" t="s">
        <v>17</v>
      </c>
      <c r="J196">
        <f t="shared" si="13"/>
        <v>3000</v>
      </c>
      <c r="K196" t="str">
        <f t="shared" si="12"/>
        <v>35+</v>
      </c>
      <c r="L196" t="str">
        <f t="shared" ca="1" si="14"/>
        <v>High Risk</v>
      </c>
      <c r="M196" t="str">
        <f t="shared" si="15"/>
        <v>Sep-2024</v>
      </c>
    </row>
    <row r="197" spans="1:13" x14ac:dyDescent="0.35">
      <c r="A197">
        <v>10196</v>
      </c>
      <c r="B197">
        <v>19</v>
      </c>
      <c r="C197" t="s">
        <v>10</v>
      </c>
      <c r="D197" t="s">
        <v>12</v>
      </c>
      <c r="E197" s="2">
        <v>45760</v>
      </c>
      <c r="F197" s="2">
        <v>46024</v>
      </c>
      <c r="G197">
        <v>800</v>
      </c>
      <c r="H197" t="s">
        <v>14</v>
      </c>
      <c r="I197" t="s">
        <v>16</v>
      </c>
      <c r="J197">
        <f t="shared" si="13"/>
        <v>9600</v>
      </c>
      <c r="K197" t="str">
        <f t="shared" si="12"/>
        <v>18-24</v>
      </c>
      <c r="L197" t="str">
        <f t="shared" ca="1" si="14"/>
        <v>Safe</v>
      </c>
      <c r="M197" t="str">
        <f t="shared" si="15"/>
        <v>Apr-2025</v>
      </c>
    </row>
    <row r="198" spans="1:13" x14ac:dyDescent="0.35">
      <c r="A198">
        <v>10197</v>
      </c>
      <c r="B198">
        <v>27</v>
      </c>
      <c r="C198" t="s">
        <v>9</v>
      </c>
      <c r="D198" t="s">
        <v>11</v>
      </c>
      <c r="E198" s="2">
        <v>45935</v>
      </c>
      <c r="F198" s="2">
        <v>46014</v>
      </c>
      <c r="G198">
        <v>1200</v>
      </c>
      <c r="H198" t="s">
        <v>14</v>
      </c>
      <c r="I198" t="s">
        <v>16</v>
      </c>
      <c r="J198">
        <f t="shared" si="13"/>
        <v>1200</v>
      </c>
      <c r="K198" t="str">
        <f t="shared" si="12"/>
        <v>25-34</v>
      </c>
      <c r="L198" t="str">
        <f t="shared" ca="1" si="14"/>
        <v>Safe</v>
      </c>
      <c r="M198" t="str">
        <f t="shared" si="15"/>
        <v>Oct-2025</v>
      </c>
    </row>
    <row r="199" spans="1:13" x14ac:dyDescent="0.35">
      <c r="A199">
        <v>10198</v>
      </c>
      <c r="B199">
        <v>30</v>
      </c>
      <c r="C199" t="s">
        <v>10</v>
      </c>
      <c r="D199" t="s">
        <v>11</v>
      </c>
      <c r="E199" s="2">
        <v>45904</v>
      </c>
      <c r="F199" s="2">
        <v>46009</v>
      </c>
      <c r="G199">
        <v>1200</v>
      </c>
      <c r="H199" t="s">
        <v>14</v>
      </c>
      <c r="I199" t="s">
        <v>16</v>
      </c>
      <c r="J199">
        <f t="shared" si="13"/>
        <v>1200</v>
      </c>
      <c r="K199" t="str">
        <f t="shared" si="12"/>
        <v>25-34</v>
      </c>
      <c r="L199" t="str">
        <f t="shared" ca="1" si="14"/>
        <v>Safe</v>
      </c>
      <c r="M199" t="str">
        <f t="shared" si="15"/>
        <v>Sep-2025</v>
      </c>
    </row>
    <row r="200" spans="1:13" x14ac:dyDescent="0.35">
      <c r="A200">
        <v>10199</v>
      </c>
      <c r="B200">
        <v>42</v>
      </c>
      <c r="C200" t="s">
        <v>9</v>
      </c>
      <c r="D200" t="s">
        <v>13</v>
      </c>
      <c r="E200" s="2">
        <v>45994</v>
      </c>
      <c r="F200" s="2">
        <v>46011</v>
      </c>
      <c r="G200">
        <v>1000</v>
      </c>
      <c r="H200" t="s">
        <v>14</v>
      </c>
      <c r="I200" t="s">
        <v>16</v>
      </c>
      <c r="J200">
        <f t="shared" si="13"/>
        <v>3000</v>
      </c>
      <c r="K200" t="str">
        <f t="shared" si="12"/>
        <v>35+</v>
      </c>
      <c r="L200" t="str">
        <f t="shared" ca="1" si="14"/>
        <v>Safe</v>
      </c>
      <c r="M200" t="str">
        <f t="shared" si="15"/>
        <v>Dec-2025</v>
      </c>
    </row>
    <row r="201" spans="1:13" x14ac:dyDescent="0.35">
      <c r="A201">
        <v>10200</v>
      </c>
      <c r="B201">
        <v>38</v>
      </c>
      <c r="C201" t="s">
        <v>10</v>
      </c>
      <c r="D201" t="s">
        <v>11</v>
      </c>
      <c r="E201" s="2">
        <v>45950</v>
      </c>
      <c r="F201" s="2">
        <v>45933</v>
      </c>
      <c r="G201">
        <v>1700</v>
      </c>
      <c r="H201" t="s">
        <v>15</v>
      </c>
      <c r="I201" t="s">
        <v>17</v>
      </c>
      <c r="J201">
        <f t="shared" si="13"/>
        <v>1700</v>
      </c>
      <c r="K201" t="str">
        <f t="shared" si="12"/>
        <v>35+</v>
      </c>
      <c r="L201" t="str">
        <f t="shared" ca="1" si="14"/>
        <v>High Risk</v>
      </c>
      <c r="M201" t="str">
        <f t="shared" si="15"/>
        <v>Oct-2025</v>
      </c>
    </row>
    <row r="202" spans="1:13" x14ac:dyDescent="0.35">
      <c r="A202">
        <v>10201</v>
      </c>
      <c r="B202">
        <v>23</v>
      </c>
      <c r="C202" t="s">
        <v>10</v>
      </c>
      <c r="D202" t="s">
        <v>13</v>
      </c>
      <c r="E202" s="2">
        <v>45246</v>
      </c>
      <c r="F202" s="2">
        <v>45963</v>
      </c>
      <c r="G202">
        <v>1000</v>
      </c>
      <c r="H202" t="s">
        <v>14</v>
      </c>
      <c r="I202" t="s">
        <v>17</v>
      </c>
      <c r="J202">
        <f t="shared" si="13"/>
        <v>3000</v>
      </c>
      <c r="K202" t="str">
        <f t="shared" si="12"/>
        <v>18-24</v>
      </c>
      <c r="L202" t="str">
        <f t="shared" ca="1" si="14"/>
        <v>High Risk</v>
      </c>
      <c r="M202" t="str">
        <f t="shared" si="15"/>
        <v>Nov-2023</v>
      </c>
    </row>
    <row r="203" spans="1:13" x14ac:dyDescent="0.35">
      <c r="A203">
        <v>10202</v>
      </c>
      <c r="B203">
        <v>45</v>
      </c>
      <c r="C203" t="s">
        <v>9</v>
      </c>
      <c r="D203" t="s">
        <v>11</v>
      </c>
      <c r="E203" s="2">
        <v>45460</v>
      </c>
      <c r="F203" s="2">
        <v>46008</v>
      </c>
      <c r="G203">
        <v>1200</v>
      </c>
      <c r="H203" t="s">
        <v>14</v>
      </c>
      <c r="I203" t="s">
        <v>16</v>
      </c>
      <c r="J203">
        <f t="shared" si="13"/>
        <v>1200</v>
      </c>
      <c r="K203" t="str">
        <f t="shared" si="12"/>
        <v>35+</v>
      </c>
      <c r="L203" t="str">
        <f t="shared" ca="1" si="14"/>
        <v>Safe</v>
      </c>
      <c r="M203" t="str">
        <f t="shared" si="15"/>
        <v>Jun-2024</v>
      </c>
    </row>
    <row r="204" spans="1:13" x14ac:dyDescent="0.35">
      <c r="A204">
        <v>10203</v>
      </c>
      <c r="B204">
        <v>45</v>
      </c>
      <c r="C204" t="s">
        <v>9</v>
      </c>
      <c r="D204" t="s">
        <v>13</v>
      </c>
      <c r="E204" s="2">
        <v>45826</v>
      </c>
      <c r="F204" s="2">
        <v>45956</v>
      </c>
      <c r="G204">
        <v>1000</v>
      </c>
      <c r="H204" t="s">
        <v>14</v>
      </c>
      <c r="I204" t="s">
        <v>17</v>
      </c>
      <c r="J204">
        <f t="shared" si="13"/>
        <v>3000</v>
      </c>
      <c r="K204" t="str">
        <f t="shared" si="12"/>
        <v>35+</v>
      </c>
      <c r="L204" t="str">
        <f t="shared" ca="1" si="14"/>
        <v>High Risk</v>
      </c>
      <c r="M204" t="str">
        <f t="shared" si="15"/>
        <v>Jun-2025</v>
      </c>
    </row>
    <row r="205" spans="1:13" x14ac:dyDescent="0.35">
      <c r="A205">
        <v>10204</v>
      </c>
      <c r="B205">
        <v>29</v>
      </c>
      <c r="C205" t="s">
        <v>9</v>
      </c>
      <c r="D205" t="s">
        <v>12</v>
      </c>
      <c r="E205" s="2">
        <v>45822</v>
      </c>
      <c r="F205" s="2">
        <v>45978</v>
      </c>
      <c r="G205">
        <v>1300</v>
      </c>
      <c r="H205" t="s">
        <v>15</v>
      </c>
      <c r="I205" t="s">
        <v>17</v>
      </c>
      <c r="J205">
        <f t="shared" si="13"/>
        <v>15600</v>
      </c>
      <c r="K205" t="str">
        <f t="shared" si="12"/>
        <v>25-34</v>
      </c>
      <c r="L205" t="str">
        <f t="shared" ca="1" si="14"/>
        <v>High Risk</v>
      </c>
      <c r="M205" t="str">
        <f t="shared" si="15"/>
        <v>Jun-2025</v>
      </c>
    </row>
    <row r="206" spans="1:13" x14ac:dyDescent="0.35">
      <c r="A206">
        <v>10205</v>
      </c>
      <c r="B206">
        <v>29</v>
      </c>
      <c r="C206" t="s">
        <v>9</v>
      </c>
      <c r="D206" t="s">
        <v>12</v>
      </c>
      <c r="E206" s="2">
        <v>45405</v>
      </c>
      <c r="F206" s="2">
        <v>46030</v>
      </c>
      <c r="G206">
        <v>800</v>
      </c>
      <c r="H206" t="s">
        <v>14</v>
      </c>
      <c r="I206" t="s">
        <v>16</v>
      </c>
      <c r="J206">
        <f t="shared" si="13"/>
        <v>9600</v>
      </c>
      <c r="K206" t="str">
        <f t="shared" si="12"/>
        <v>25-34</v>
      </c>
      <c r="L206" t="str">
        <f t="shared" ca="1" si="14"/>
        <v>Safe</v>
      </c>
      <c r="M206" t="str">
        <f t="shared" si="15"/>
        <v>Apr-2024</v>
      </c>
    </row>
    <row r="207" spans="1:13" x14ac:dyDescent="0.35">
      <c r="A207">
        <v>10206</v>
      </c>
      <c r="B207">
        <v>37</v>
      </c>
      <c r="C207" t="s">
        <v>9</v>
      </c>
      <c r="D207" t="s">
        <v>13</v>
      </c>
      <c r="E207" s="2">
        <v>45184</v>
      </c>
      <c r="F207" s="2">
        <v>45924</v>
      </c>
      <c r="G207">
        <v>1000</v>
      </c>
      <c r="H207" t="s">
        <v>14</v>
      </c>
      <c r="I207" t="s">
        <v>17</v>
      </c>
      <c r="J207">
        <f t="shared" si="13"/>
        <v>3000</v>
      </c>
      <c r="K207" t="str">
        <f t="shared" si="12"/>
        <v>35+</v>
      </c>
      <c r="L207" t="str">
        <f t="shared" ca="1" si="14"/>
        <v>High Risk</v>
      </c>
      <c r="M207" t="str">
        <f t="shared" si="15"/>
        <v>Sep-2023</v>
      </c>
    </row>
    <row r="208" spans="1:13" x14ac:dyDescent="0.35">
      <c r="A208">
        <v>10207</v>
      </c>
      <c r="B208">
        <v>28</v>
      </c>
      <c r="C208" t="s">
        <v>9</v>
      </c>
      <c r="D208" t="s">
        <v>13</v>
      </c>
      <c r="E208" s="2">
        <v>45282</v>
      </c>
      <c r="F208" s="2">
        <v>45921</v>
      </c>
      <c r="G208">
        <v>1500</v>
      </c>
      <c r="H208" t="s">
        <v>15</v>
      </c>
      <c r="I208" t="s">
        <v>17</v>
      </c>
      <c r="J208">
        <f t="shared" si="13"/>
        <v>4500</v>
      </c>
      <c r="K208" t="str">
        <f t="shared" si="12"/>
        <v>25-34</v>
      </c>
      <c r="L208" t="str">
        <f t="shared" ca="1" si="14"/>
        <v>High Risk</v>
      </c>
      <c r="M208" t="str">
        <f t="shared" si="15"/>
        <v>Dec-2023</v>
      </c>
    </row>
    <row r="209" spans="1:13" x14ac:dyDescent="0.35">
      <c r="A209">
        <v>10208</v>
      </c>
      <c r="B209">
        <v>43</v>
      </c>
      <c r="C209" t="s">
        <v>9</v>
      </c>
      <c r="D209" t="s">
        <v>13</v>
      </c>
      <c r="E209" s="2">
        <v>45416</v>
      </c>
      <c r="F209" s="2">
        <v>45996</v>
      </c>
      <c r="G209">
        <v>1000</v>
      </c>
      <c r="H209" t="s">
        <v>14</v>
      </c>
      <c r="I209" t="s">
        <v>17</v>
      </c>
      <c r="J209">
        <f t="shared" si="13"/>
        <v>3000</v>
      </c>
      <c r="K209" t="str">
        <f t="shared" si="12"/>
        <v>35+</v>
      </c>
      <c r="L209" t="str">
        <f t="shared" ca="1" si="14"/>
        <v>High Risk</v>
      </c>
      <c r="M209" t="str">
        <f t="shared" si="15"/>
        <v>May-2024</v>
      </c>
    </row>
    <row r="210" spans="1:13" x14ac:dyDescent="0.35">
      <c r="A210">
        <v>10209</v>
      </c>
      <c r="B210">
        <v>40</v>
      </c>
      <c r="C210" t="s">
        <v>9</v>
      </c>
      <c r="D210" t="s">
        <v>13</v>
      </c>
      <c r="E210" s="2">
        <v>45318</v>
      </c>
      <c r="F210" s="2">
        <v>46008</v>
      </c>
      <c r="G210">
        <v>1500</v>
      </c>
      <c r="H210" t="s">
        <v>15</v>
      </c>
      <c r="I210" t="s">
        <v>16</v>
      </c>
      <c r="J210">
        <f t="shared" si="13"/>
        <v>4500</v>
      </c>
      <c r="K210" t="str">
        <f t="shared" si="12"/>
        <v>35+</v>
      </c>
      <c r="L210" t="str">
        <f t="shared" ca="1" si="14"/>
        <v>Safe</v>
      </c>
      <c r="M210" t="str">
        <f t="shared" si="15"/>
        <v>Jan-2024</v>
      </c>
    </row>
    <row r="211" spans="1:13" x14ac:dyDescent="0.35">
      <c r="A211">
        <v>10210</v>
      </c>
      <c r="B211">
        <v>45</v>
      </c>
      <c r="C211" t="s">
        <v>10</v>
      </c>
      <c r="D211" t="s">
        <v>11</v>
      </c>
      <c r="E211" s="2">
        <v>45661</v>
      </c>
      <c r="F211" s="2">
        <v>46027</v>
      </c>
      <c r="G211">
        <v>1700</v>
      </c>
      <c r="H211" t="s">
        <v>15</v>
      </c>
      <c r="I211" t="s">
        <v>16</v>
      </c>
      <c r="J211">
        <f t="shared" si="13"/>
        <v>1700</v>
      </c>
      <c r="K211" t="str">
        <f t="shared" si="12"/>
        <v>35+</v>
      </c>
      <c r="L211" t="str">
        <f t="shared" ca="1" si="14"/>
        <v>Safe</v>
      </c>
      <c r="M211" t="str">
        <f t="shared" si="15"/>
        <v>Jan-2025</v>
      </c>
    </row>
    <row r="212" spans="1:13" x14ac:dyDescent="0.35">
      <c r="A212">
        <v>10211</v>
      </c>
      <c r="B212">
        <v>42</v>
      </c>
      <c r="C212" t="s">
        <v>9</v>
      </c>
      <c r="D212" t="s">
        <v>11</v>
      </c>
      <c r="E212" s="2">
        <v>45918</v>
      </c>
      <c r="F212" s="2">
        <v>46014</v>
      </c>
      <c r="G212">
        <v>1700</v>
      </c>
      <c r="H212" t="s">
        <v>15</v>
      </c>
      <c r="I212" t="s">
        <v>16</v>
      </c>
      <c r="J212">
        <f t="shared" si="13"/>
        <v>1700</v>
      </c>
      <c r="K212" t="str">
        <f t="shared" si="12"/>
        <v>35+</v>
      </c>
      <c r="L212" t="str">
        <f t="shared" ca="1" si="14"/>
        <v>Safe</v>
      </c>
      <c r="M212" t="str">
        <f t="shared" si="15"/>
        <v>Sep-2025</v>
      </c>
    </row>
    <row r="213" spans="1:13" x14ac:dyDescent="0.35">
      <c r="A213">
        <v>10212</v>
      </c>
      <c r="B213">
        <v>24</v>
      </c>
      <c r="C213" t="s">
        <v>10</v>
      </c>
      <c r="D213" t="s">
        <v>13</v>
      </c>
      <c r="E213" s="2">
        <v>45678</v>
      </c>
      <c r="F213" s="2">
        <v>46008</v>
      </c>
      <c r="G213">
        <v>1500</v>
      </c>
      <c r="H213" t="s">
        <v>15</v>
      </c>
      <c r="I213" t="s">
        <v>16</v>
      </c>
      <c r="J213">
        <f t="shared" si="13"/>
        <v>4500</v>
      </c>
      <c r="K213" t="str">
        <f t="shared" si="12"/>
        <v>18-24</v>
      </c>
      <c r="L213" t="str">
        <f t="shared" ca="1" si="14"/>
        <v>Safe</v>
      </c>
      <c r="M213" t="str">
        <f t="shared" si="15"/>
        <v>Jan-2025</v>
      </c>
    </row>
    <row r="214" spans="1:13" x14ac:dyDescent="0.35">
      <c r="A214">
        <v>10213</v>
      </c>
      <c r="B214">
        <v>18</v>
      </c>
      <c r="C214" t="s">
        <v>9</v>
      </c>
      <c r="D214" t="s">
        <v>12</v>
      </c>
      <c r="E214" s="2">
        <v>45807</v>
      </c>
      <c r="F214" s="2">
        <v>46028</v>
      </c>
      <c r="G214">
        <v>800</v>
      </c>
      <c r="H214" t="s">
        <v>14</v>
      </c>
      <c r="I214" t="s">
        <v>16</v>
      </c>
      <c r="J214">
        <f t="shared" si="13"/>
        <v>9600</v>
      </c>
      <c r="K214" t="str">
        <f t="shared" si="12"/>
        <v>18-24</v>
      </c>
      <c r="L214" t="str">
        <f t="shared" ca="1" si="14"/>
        <v>Safe</v>
      </c>
      <c r="M214" t="str">
        <f t="shared" si="15"/>
        <v>May-2025</v>
      </c>
    </row>
    <row r="215" spans="1:13" x14ac:dyDescent="0.35">
      <c r="A215">
        <v>10214</v>
      </c>
      <c r="B215">
        <v>18</v>
      </c>
      <c r="C215" t="s">
        <v>9</v>
      </c>
      <c r="D215" t="s">
        <v>11</v>
      </c>
      <c r="E215" s="2">
        <v>45173</v>
      </c>
      <c r="F215" s="2">
        <v>45948</v>
      </c>
      <c r="G215">
        <v>1700</v>
      </c>
      <c r="H215" t="s">
        <v>15</v>
      </c>
      <c r="I215" t="s">
        <v>17</v>
      </c>
      <c r="J215">
        <f t="shared" si="13"/>
        <v>1700</v>
      </c>
      <c r="K215" t="str">
        <f t="shared" si="12"/>
        <v>18-24</v>
      </c>
      <c r="L215" t="str">
        <f t="shared" ca="1" si="14"/>
        <v>High Risk</v>
      </c>
      <c r="M215" t="str">
        <f t="shared" si="15"/>
        <v>Sep-2023</v>
      </c>
    </row>
    <row r="216" spans="1:13" x14ac:dyDescent="0.35">
      <c r="A216">
        <v>10215</v>
      </c>
      <c r="B216">
        <v>42</v>
      </c>
      <c r="C216" t="s">
        <v>9</v>
      </c>
      <c r="D216" t="s">
        <v>13</v>
      </c>
      <c r="E216" s="2">
        <v>45723</v>
      </c>
      <c r="F216" s="2">
        <v>46014</v>
      </c>
      <c r="G216">
        <v>1500</v>
      </c>
      <c r="H216" t="s">
        <v>15</v>
      </c>
      <c r="I216" t="s">
        <v>16</v>
      </c>
      <c r="J216">
        <f t="shared" si="13"/>
        <v>4500</v>
      </c>
      <c r="K216" t="str">
        <f t="shared" si="12"/>
        <v>35+</v>
      </c>
      <c r="L216" t="str">
        <f t="shared" ca="1" si="14"/>
        <v>Safe</v>
      </c>
      <c r="M216" t="str">
        <f t="shared" si="15"/>
        <v>Mar-2025</v>
      </c>
    </row>
    <row r="217" spans="1:13" x14ac:dyDescent="0.35">
      <c r="A217">
        <v>10216</v>
      </c>
      <c r="B217">
        <v>44</v>
      </c>
      <c r="C217" t="s">
        <v>9</v>
      </c>
      <c r="D217" t="s">
        <v>13</v>
      </c>
      <c r="E217" s="2">
        <v>45204</v>
      </c>
      <c r="F217" s="2">
        <v>45929</v>
      </c>
      <c r="G217">
        <v>1500</v>
      </c>
      <c r="H217" t="s">
        <v>15</v>
      </c>
      <c r="I217" t="s">
        <v>17</v>
      </c>
      <c r="J217">
        <f t="shared" si="13"/>
        <v>4500</v>
      </c>
      <c r="K217" t="str">
        <f t="shared" si="12"/>
        <v>35+</v>
      </c>
      <c r="L217" t="str">
        <f t="shared" ca="1" si="14"/>
        <v>High Risk</v>
      </c>
      <c r="M217" t="str">
        <f t="shared" si="15"/>
        <v>Oct-2023</v>
      </c>
    </row>
    <row r="218" spans="1:13" x14ac:dyDescent="0.35">
      <c r="A218">
        <v>10217</v>
      </c>
      <c r="B218">
        <v>42</v>
      </c>
      <c r="C218" t="s">
        <v>10</v>
      </c>
      <c r="D218" t="s">
        <v>13</v>
      </c>
      <c r="E218" s="2">
        <v>45816</v>
      </c>
      <c r="F218" s="2">
        <v>46016</v>
      </c>
      <c r="G218">
        <v>1500</v>
      </c>
      <c r="H218" t="s">
        <v>15</v>
      </c>
      <c r="I218" t="s">
        <v>16</v>
      </c>
      <c r="J218">
        <f t="shared" si="13"/>
        <v>4500</v>
      </c>
      <c r="K218" t="str">
        <f t="shared" si="12"/>
        <v>35+</v>
      </c>
      <c r="L218" t="str">
        <f t="shared" ca="1" si="14"/>
        <v>Safe</v>
      </c>
      <c r="M218" t="str">
        <f t="shared" si="15"/>
        <v>Jun-2025</v>
      </c>
    </row>
    <row r="219" spans="1:13" x14ac:dyDescent="0.35">
      <c r="A219">
        <v>10218</v>
      </c>
      <c r="B219">
        <v>37</v>
      </c>
      <c r="C219" t="s">
        <v>9</v>
      </c>
      <c r="D219" t="s">
        <v>13</v>
      </c>
      <c r="E219" s="2">
        <v>45556</v>
      </c>
      <c r="F219" s="2">
        <v>46014</v>
      </c>
      <c r="G219">
        <v>1500</v>
      </c>
      <c r="H219" t="s">
        <v>15</v>
      </c>
      <c r="I219" t="s">
        <v>16</v>
      </c>
      <c r="J219">
        <f t="shared" si="13"/>
        <v>4500</v>
      </c>
      <c r="K219" t="str">
        <f t="shared" si="12"/>
        <v>35+</v>
      </c>
      <c r="L219" t="str">
        <f t="shared" ca="1" si="14"/>
        <v>Safe</v>
      </c>
      <c r="M219" t="str">
        <f t="shared" si="15"/>
        <v>Sep-2024</v>
      </c>
    </row>
    <row r="220" spans="1:13" x14ac:dyDescent="0.35">
      <c r="A220">
        <v>10219</v>
      </c>
      <c r="B220">
        <v>30</v>
      </c>
      <c r="C220" t="s">
        <v>10</v>
      </c>
      <c r="D220" t="s">
        <v>11</v>
      </c>
      <c r="E220" s="2">
        <v>45808</v>
      </c>
      <c r="F220" s="2">
        <v>46017</v>
      </c>
      <c r="G220">
        <v>1200</v>
      </c>
      <c r="H220" t="s">
        <v>14</v>
      </c>
      <c r="I220" t="s">
        <v>16</v>
      </c>
      <c r="J220">
        <f t="shared" si="13"/>
        <v>1200</v>
      </c>
      <c r="K220" t="str">
        <f t="shared" si="12"/>
        <v>25-34</v>
      </c>
      <c r="L220" t="str">
        <f t="shared" ca="1" si="14"/>
        <v>Safe</v>
      </c>
      <c r="M220" t="str">
        <f t="shared" si="15"/>
        <v>May-2025</v>
      </c>
    </row>
    <row r="221" spans="1:13" x14ac:dyDescent="0.35">
      <c r="A221">
        <v>10220</v>
      </c>
      <c r="B221">
        <v>26</v>
      </c>
      <c r="C221" t="s">
        <v>9</v>
      </c>
      <c r="D221" t="s">
        <v>13</v>
      </c>
      <c r="E221" s="2">
        <v>45663</v>
      </c>
      <c r="F221" s="2">
        <v>45981</v>
      </c>
      <c r="G221">
        <v>1500</v>
      </c>
      <c r="H221" t="s">
        <v>15</v>
      </c>
      <c r="I221" t="s">
        <v>17</v>
      </c>
      <c r="J221">
        <f t="shared" si="13"/>
        <v>4500</v>
      </c>
      <c r="K221" t="str">
        <f t="shared" si="12"/>
        <v>25-34</v>
      </c>
      <c r="L221" t="str">
        <f t="shared" ca="1" si="14"/>
        <v>High Risk</v>
      </c>
      <c r="M221" t="str">
        <f t="shared" si="15"/>
        <v>Jan-2025</v>
      </c>
    </row>
    <row r="222" spans="1:13" x14ac:dyDescent="0.35">
      <c r="A222">
        <v>10221</v>
      </c>
      <c r="B222">
        <v>20</v>
      </c>
      <c r="C222" t="s">
        <v>9</v>
      </c>
      <c r="D222" t="s">
        <v>12</v>
      </c>
      <c r="E222" s="2">
        <v>45560</v>
      </c>
      <c r="F222" s="2">
        <v>46012</v>
      </c>
      <c r="G222">
        <v>800</v>
      </c>
      <c r="H222" t="s">
        <v>14</v>
      </c>
      <c r="I222" t="s">
        <v>16</v>
      </c>
      <c r="J222">
        <f t="shared" si="13"/>
        <v>9600</v>
      </c>
      <c r="K222" t="str">
        <f t="shared" si="12"/>
        <v>18-24</v>
      </c>
      <c r="L222" t="str">
        <f t="shared" ca="1" si="14"/>
        <v>Safe</v>
      </c>
      <c r="M222" t="str">
        <f t="shared" si="15"/>
        <v>Sep-2024</v>
      </c>
    </row>
    <row r="223" spans="1:13" x14ac:dyDescent="0.35">
      <c r="A223">
        <v>10222</v>
      </c>
      <c r="B223">
        <v>24</v>
      </c>
      <c r="C223" t="s">
        <v>9</v>
      </c>
      <c r="D223" t="s">
        <v>13</v>
      </c>
      <c r="E223" s="2">
        <v>45505</v>
      </c>
      <c r="F223" s="2">
        <v>45935</v>
      </c>
      <c r="G223">
        <v>1000</v>
      </c>
      <c r="H223" t="s">
        <v>14</v>
      </c>
      <c r="I223" t="s">
        <v>17</v>
      </c>
      <c r="J223">
        <f t="shared" si="13"/>
        <v>3000</v>
      </c>
      <c r="K223" t="str">
        <f t="shared" si="12"/>
        <v>18-24</v>
      </c>
      <c r="L223" t="str">
        <f t="shared" ca="1" si="14"/>
        <v>High Risk</v>
      </c>
      <c r="M223" t="str">
        <f t="shared" si="15"/>
        <v>Aug-2024</v>
      </c>
    </row>
    <row r="224" spans="1:13" x14ac:dyDescent="0.35">
      <c r="A224">
        <v>10223</v>
      </c>
      <c r="B224">
        <v>23</v>
      </c>
      <c r="C224" t="s">
        <v>9</v>
      </c>
      <c r="D224" t="s">
        <v>11</v>
      </c>
      <c r="E224" s="2">
        <v>45547</v>
      </c>
      <c r="F224" s="2">
        <v>45935</v>
      </c>
      <c r="G224">
        <v>1700</v>
      </c>
      <c r="H224" t="s">
        <v>15</v>
      </c>
      <c r="I224" t="s">
        <v>17</v>
      </c>
      <c r="J224">
        <f t="shared" si="13"/>
        <v>1700</v>
      </c>
      <c r="K224" t="str">
        <f t="shared" si="12"/>
        <v>18-24</v>
      </c>
      <c r="L224" t="str">
        <f t="shared" ca="1" si="14"/>
        <v>High Risk</v>
      </c>
      <c r="M224" t="str">
        <f t="shared" si="15"/>
        <v>Sep-2024</v>
      </c>
    </row>
    <row r="225" spans="1:13" x14ac:dyDescent="0.35">
      <c r="A225">
        <v>10224</v>
      </c>
      <c r="B225">
        <v>25</v>
      </c>
      <c r="C225" t="s">
        <v>9</v>
      </c>
      <c r="D225" t="s">
        <v>13</v>
      </c>
      <c r="E225" s="2">
        <v>45945</v>
      </c>
      <c r="F225" s="2">
        <v>46027</v>
      </c>
      <c r="G225">
        <v>1000</v>
      </c>
      <c r="H225" t="s">
        <v>14</v>
      </c>
      <c r="I225" t="s">
        <v>16</v>
      </c>
      <c r="J225">
        <f t="shared" si="13"/>
        <v>3000</v>
      </c>
      <c r="K225" t="str">
        <f t="shared" si="12"/>
        <v>25-34</v>
      </c>
      <c r="L225" t="str">
        <f t="shared" ca="1" si="14"/>
        <v>Safe</v>
      </c>
      <c r="M225" t="str">
        <f t="shared" si="15"/>
        <v>Oct-2025</v>
      </c>
    </row>
    <row r="226" spans="1:13" x14ac:dyDescent="0.35">
      <c r="A226">
        <v>10225</v>
      </c>
      <c r="B226">
        <v>44</v>
      </c>
      <c r="C226" t="s">
        <v>9</v>
      </c>
      <c r="D226" t="s">
        <v>12</v>
      </c>
      <c r="E226" s="2">
        <v>45522</v>
      </c>
      <c r="F226" s="2">
        <v>46011</v>
      </c>
      <c r="G226">
        <v>1300</v>
      </c>
      <c r="H226" t="s">
        <v>15</v>
      </c>
      <c r="I226" t="s">
        <v>16</v>
      </c>
      <c r="J226">
        <f t="shared" si="13"/>
        <v>15600</v>
      </c>
      <c r="K226" t="str">
        <f t="shared" si="12"/>
        <v>35+</v>
      </c>
      <c r="L226" t="str">
        <f t="shared" ca="1" si="14"/>
        <v>Safe</v>
      </c>
      <c r="M226" t="str">
        <f t="shared" si="15"/>
        <v>Aug-2024</v>
      </c>
    </row>
    <row r="227" spans="1:13" x14ac:dyDescent="0.35">
      <c r="A227">
        <v>10226</v>
      </c>
      <c r="B227">
        <v>26</v>
      </c>
      <c r="C227" t="s">
        <v>9</v>
      </c>
      <c r="D227" t="s">
        <v>11</v>
      </c>
      <c r="E227" s="2">
        <v>45403</v>
      </c>
      <c r="F227" s="2">
        <v>46025</v>
      </c>
      <c r="G227">
        <v>1700</v>
      </c>
      <c r="H227" t="s">
        <v>15</v>
      </c>
      <c r="I227" t="s">
        <v>16</v>
      </c>
      <c r="J227">
        <f t="shared" si="13"/>
        <v>1700</v>
      </c>
      <c r="K227" t="str">
        <f t="shared" si="12"/>
        <v>25-34</v>
      </c>
      <c r="L227" t="str">
        <f t="shared" ca="1" si="14"/>
        <v>Safe</v>
      </c>
      <c r="M227" t="str">
        <f t="shared" si="15"/>
        <v>Apr-2024</v>
      </c>
    </row>
    <row r="228" spans="1:13" x14ac:dyDescent="0.35">
      <c r="A228">
        <v>10227</v>
      </c>
      <c r="B228">
        <v>22</v>
      </c>
      <c r="C228" t="s">
        <v>9</v>
      </c>
      <c r="D228" t="s">
        <v>12</v>
      </c>
      <c r="E228" s="2">
        <v>45721</v>
      </c>
      <c r="F228" s="2">
        <v>46022</v>
      </c>
      <c r="G228">
        <v>1300</v>
      </c>
      <c r="H228" t="s">
        <v>15</v>
      </c>
      <c r="I228" t="s">
        <v>16</v>
      </c>
      <c r="J228">
        <f t="shared" si="13"/>
        <v>15600</v>
      </c>
      <c r="K228" t="str">
        <f t="shared" si="12"/>
        <v>18-24</v>
      </c>
      <c r="L228" t="str">
        <f t="shared" ca="1" si="14"/>
        <v>Safe</v>
      </c>
      <c r="M228" t="str">
        <f t="shared" si="15"/>
        <v>Mar-2025</v>
      </c>
    </row>
    <row r="229" spans="1:13" x14ac:dyDescent="0.35">
      <c r="A229">
        <v>10228</v>
      </c>
      <c r="B229">
        <v>18</v>
      </c>
      <c r="C229" t="s">
        <v>9</v>
      </c>
      <c r="D229" t="s">
        <v>12</v>
      </c>
      <c r="E229" s="2">
        <v>45226</v>
      </c>
      <c r="F229" s="2">
        <v>46017</v>
      </c>
      <c r="G229">
        <v>1300</v>
      </c>
      <c r="H229" t="s">
        <v>15</v>
      </c>
      <c r="I229" t="s">
        <v>16</v>
      </c>
      <c r="J229">
        <f t="shared" si="13"/>
        <v>15600</v>
      </c>
      <c r="K229" t="str">
        <f t="shared" si="12"/>
        <v>18-24</v>
      </c>
      <c r="L229" t="str">
        <f t="shared" ca="1" si="14"/>
        <v>Safe</v>
      </c>
      <c r="M229" t="str">
        <f t="shared" si="15"/>
        <v>Oct-2023</v>
      </c>
    </row>
    <row r="230" spans="1:13" x14ac:dyDescent="0.35">
      <c r="A230">
        <v>10229</v>
      </c>
      <c r="B230">
        <v>36</v>
      </c>
      <c r="C230" t="s">
        <v>9</v>
      </c>
      <c r="D230" t="s">
        <v>13</v>
      </c>
      <c r="E230" s="2">
        <v>45763</v>
      </c>
      <c r="F230" s="2">
        <v>45951</v>
      </c>
      <c r="G230">
        <v>1000</v>
      </c>
      <c r="H230" t="s">
        <v>14</v>
      </c>
      <c r="I230" t="s">
        <v>17</v>
      </c>
      <c r="J230">
        <f t="shared" si="13"/>
        <v>3000</v>
      </c>
      <c r="K230" t="str">
        <f t="shared" si="12"/>
        <v>35+</v>
      </c>
      <c r="L230" t="str">
        <f t="shared" ca="1" si="14"/>
        <v>High Risk</v>
      </c>
      <c r="M230" t="str">
        <f t="shared" si="15"/>
        <v>Apr-2025</v>
      </c>
    </row>
    <row r="231" spans="1:13" x14ac:dyDescent="0.35">
      <c r="A231">
        <v>10230</v>
      </c>
      <c r="B231">
        <v>27</v>
      </c>
      <c r="C231" t="s">
        <v>9</v>
      </c>
      <c r="D231" t="s">
        <v>12</v>
      </c>
      <c r="E231" s="2">
        <v>45985</v>
      </c>
      <c r="F231" s="2">
        <v>45932</v>
      </c>
      <c r="G231">
        <v>800</v>
      </c>
      <c r="H231" t="s">
        <v>14</v>
      </c>
      <c r="I231" t="s">
        <v>17</v>
      </c>
      <c r="J231">
        <f t="shared" si="13"/>
        <v>9600</v>
      </c>
      <c r="K231" t="str">
        <f t="shared" si="12"/>
        <v>25-34</v>
      </c>
      <c r="L231" t="str">
        <f t="shared" ca="1" si="14"/>
        <v>High Risk</v>
      </c>
      <c r="M231" t="str">
        <f t="shared" si="15"/>
        <v>Nov-2025</v>
      </c>
    </row>
    <row r="232" spans="1:13" x14ac:dyDescent="0.35">
      <c r="A232">
        <v>10231</v>
      </c>
      <c r="B232">
        <v>29</v>
      </c>
      <c r="C232" t="s">
        <v>9</v>
      </c>
      <c r="D232" t="s">
        <v>12</v>
      </c>
      <c r="E232" s="2">
        <v>45647</v>
      </c>
      <c r="F232" s="2">
        <v>46018</v>
      </c>
      <c r="G232">
        <v>1300</v>
      </c>
      <c r="H232" t="s">
        <v>15</v>
      </c>
      <c r="I232" t="s">
        <v>16</v>
      </c>
      <c r="J232">
        <f t="shared" si="13"/>
        <v>15600</v>
      </c>
      <c r="K232" t="str">
        <f t="shared" si="12"/>
        <v>25-34</v>
      </c>
      <c r="L232" t="str">
        <f t="shared" ca="1" si="14"/>
        <v>Safe</v>
      </c>
      <c r="M232" t="str">
        <f t="shared" si="15"/>
        <v>Dec-2024</v>
      </c>
    </row>
    <row r="233" spans="1:13" x14ac:dyDescent="0.35">
      <c r="A233">
        <v>10232</v>
      </c>
      <c r="B233">
        <v>41</v>
      </c>
      <c r="C233" t="s">
        <v>9</v>
      </c>
      <c r="D233" t="s">
        <v>12</v>
      </c>
      <c r="E233" s="2">
        <v>45688</v>
      </c>
      <c r="F233" s="2">
        <v>45988</v>
      </c>
      <c r="G233">
        <v>800</v>
      </c>
      <c r="H233" t="s">
        <v>14</v>
      </c>
      <c r="I233" t="s">
        <v>17</v>
      </c>
      <c r="J233">
        <f t="shared" si="13"/>
        <v>9600</v>
      </c>
      <c r="K233" t="str">
        <f t="shared" si="12"/>
        <v>35+</v>
      </c>
      <c r="L233" t="str">
        <f t="shared" ca="1" si="14"/>
        <v>High Risk</v>
      </c>
      <c r="M233" t="str">
        <f t="shared" si="15"/>
        <v>Jan-2025</v>
      </c>
    </row>
    <row r="234" spans="1:13" x14ac:dyDescent="0.35">
      <c r="A234">
        <v>10233</v>
      </c>
      <c r="B234">
        <v>32</v>
      </c>
      <c r="C234" t="s">
        <v>9</v>
      </c>
      <c r="D234" t="s">
        <v>13</v>
      </c>
      <c r="E234" s="2">
        <v>45517</v>
      </c>
      <c r="F234" s="2">
        <v>45995</v>
      </c>
      <c r="G234">
        <v>1500</v>
      </c>
      <c r="H234" t="s">
        <v>15</v>
      </c>
      <c r="I234" t="s">
        <v>17</v>
      </c>
      <c r="J234">
        <f t="shared" si="13"/>
        <v>4500</v>
      </c>
      <c r="K234" t="str">
        <f t="shared" si="12"/>
        <v>25-34</v>
      </c>
      <c r="L234" t="str">
        <f t="shared" ca="1" si="14"/>
        <v>High Risk</v>
      </c>
      <c r="M234" t="str">
        <f t="shared" si="15"/>
        <v>Aug-2024</v>
      </c>
    </row>
    <row r="235" spans="1:13" x14ac:dyDescent="0.35">
      <c r="A235">
        <v>10234</v>
      </c>
      <c r="B235">
        <v>44</v>
      </c>
      <c r="C235" t="s">
        <v>9</v>
      </c>
      <c r="D235" t="s">
        <v>11</v>
      </c>
      <c r="E235" s="2">
        <v>45548</v>
      </c>
      <c r="F235" s="2">
        <v>46009</v>
      </c>
      <c r="G235">
        <v>1200</v>
      </c>
      <c r="H235" t="s">
        <v>14</v>
      </c>
      <c r="I235" t="s">
        <v>16</v>
      </c>
      <c r="J235">
        <f t="shared" si="13"/>
        <v>1200</v>
      </c>
      <c r="K235" t="str">
        <f t="shared" si="12"/>
        <v>35+</v>
      </c>
      <c r="L235" t="str">
        <f t="shared" ca="1" si="14"/>
        <v>Safe</v>
      </c>
      <c r="M235" t="str">
        <f t="shared" si="15"/>
        <v>Sep-2024</v>
      </c>
    </row>
    <row r="236" spans="1:13" x14ac:dyDescent="0.35">
      <c r="A236">
        <v>10235</v>
      </c>
      <c r="B236">
        <v>39</v>
      </c>
      <c r="C236" t="s">
        <v>9</v>
      </c>
      <c r="D236" t="s">
        <v>11</v>
      </c>
      <c r="E236" s="2">
        <v>45335</v>
      </c>
      <c r="F236" s="2">
        <v>45980</v>
      </c>
      <c r="G236">
        <v>1700</v>
      </c>
      <c r="H236" t="s">
        <v>15</v>
      </c>
      <c r="I236" t="s">
        <v>17</v>
      </c>
      <c r="J236">
        <f t="shared" si="13"/>
        <v>1700</v>
      </c>
      <c r="K236" t="str">
        <f t="shared" si="12"/>
        <v>35+</v>
      </c>
      <c r="L236" t="str">
        <f t="shared" ca="1" si="14"/>
        <v>High Risk</v>
      </c>
      <c r="M236" t="str">
        <f t="shared" si="15"/>
        <v>Feb-2024</v>
      </c>
    </row>
    <row r="237" spans="1:13" x14ac:dyDescent="0.35">
      <c r="A237">
        <v>10236</v>
      </c>
      <c r="B237">
        <v>41</v>
      </c>
      <c r="C237" t="s">
        <v>9</v>
      </c>
      <c r="D237" t="s">
        <v>13</v>
      </c>
      <c r="E237" s="2">
        <v>45750</v>
      </c>
      <c r="F237" s="2">
        <v>46019</v>
      </c>
      <c r="G237">
        <v>1500</v>
      </c>
      <c r="H237" t="s">
        <v>15</v>
      </c>
      <c r="I237" t="s">
        <v>16</v>
      </c>
      <c r="J237">
        <f t="shared" si="13"/>
        <v>4500</v>
      </c>
      <c r="K237" t="str">
        <f t="shared" si="12"/>
        <v>35+</v>
      </c>
      <c r="L237" t="str">
        <f t="shared" ca="1" si="14"/>
        <v>Safe</v>
      </c>
      <c r="M237" t="str">
        <f t="shared" si="15"/>
        <v>Apr-2025</v>
      </c>
    </row>
    <row r="238" spans="1:13" x14ac:dyDescent="0.35">
      <c r="A238">
        <v>10237</v>
      </c>
      <c r="B238">
        <v>26</v>
      </c>
      <c r="C238" t="s">
        <v>10</v>
      </c>
      <c r="D238" t="s">
        <v>11</v>
      </c>
      <c r="E238" s="2">
        <v>45649</v>
      </c>
      <c r="F238" s="2">
        <v>46016</v>
      </c>
      <c r="G238">
        <v>1700</v>
      </c>
      <c r="H238" t="s">
        <v>15</v>
      </c>
      <c r="I238" t="s">
        <v>16</v>
      </c>
      <c r="J238">
        <f t="shared" si="13"/>
        <v>1700</v>
      </c>
      <c r="K238" t="str">
        <f t="shared" si="12"/>
        <v>25-34</v>
      </c>
      <c r="L238" t="str">
        <f t="shared" ca="1" si="14"/>
        <v>Safe</v>
      </c>
      <c r="M238" t="str">
        <f t="shared" si="15"/>
        <v>Dec-2024</v>
      </c>
    </row>
    <row r="239" spans="1:13" x14ac:dyDescent="0.35">
      <c r="A239">
        <v>10238</v>
      </c>
      <c r="B239">
        <v>37</v>
      </c>
      <c r="C239" t="s">
        <v>9</v>
      </c>
      <c r="D239" t="s">
        <v>11</v>
      </c>
      <c r="E239" s="2">
        <v>45512</v>
      </c>
      <c r="F239" s="2">
        <v>46020</v>
      </c>
      <c r="G239">
        <v>1700</v>
      </c>
      <c r="H239" t="s">
        <v>15</v>
      </c>
      <c r="I239" t="s">
        <v>16</v>
      </c>
      <c r="J239">
        <f t="shared" si="13"/>
        <v>1700</v>
      </c>
      <c r="K239" t="str">
        <f t="shared" si="12"/>
        <v>35+</v>
      </c>
      <c r="L239" t="str">
        <f t="shared" ca="1" si="14"/>
        <v>Safe</v>
      </c>
      <c r="M239" t="str">
        <f t="shared" si="15"/>
        <v>Aug-2024</v>
      </c>
    </row>
    <row r="240" spans="1:13" x14ac:dyDescent="0.35">
      <c r="A240">
        <v>10239</v>
      </c>
      <c r="B240">
        <v>34</v>
      </c>
      <c r="C240" t="s">
        <v>9</v>
      </c>
      <c r="D240" t="s">
        <v>12</v>
      </c>
      <c r="E240" s="2">
        <v>45669</v>
      </c>
      <c r="F240" s="2">
        <v>46015</v>
      </c>
      <c r="G240">
        <v>800</v>
      </c>
      <c r="H240" t="s">
        <v>14</v>
      </c>
      <c r="I240" t="s">
        <v>16</v>
      </c>
      <c r="J240">
        <f t="shared" si="13"/>
        <v>9600</v>
      </c>
      <c r="K240" t="str">
        <f t="shared" si="12"/>
        <v>25-34</v>
      </c>
      <c r="L240" t="str">
        <f t="shared" ca="1" si="14"/>
        <v>Safe</v>
      </c>
      <c r="M240" t="str">
        <f t="shared" si="15"/>
        <v>Jan-2025</v>
      </c>
    </row>
    <row r="241" spans="1:13" x14ac:dyDescent="0.35">
      <c r="A241">
        <v>10240</v>
      </c>
      <c r="B241">
        <v>34</v>
      </c>
      <c r="C241" t="s">
        <v>9</v>
      </c>
      <c r="D241" t="s">
        <v>12</v>
      </c>
      <c r="E241" s="2">
        <v>45505</v>
      </c>
      <c r="F241" s="2">
        <v>46026</v>
      </c>
      <c r="G241">
        <v>800</v>
      </c>
      <c r="H241" t="s">
        <v>14</v>
      </c>
      <c r="I241" t="s">
        <v>16</v>
      </c>
      <c r="J241">
        <f t="shared" si="13"/>
        <v>9600</v>
      </c>
      <c r="K241" t="str">
        <f t="shared" si="12"/>
        <v>25-34</v>
      </c>
      <c r="L241" t="str">
        <f t="shared" ca="1" si="14"/>
        <v>Safe</v>
      </c>
      <c r="M241" t="str">
        <f t="shared" si="15"/>
        <v>Aug-2024</v>
      </c>
    </row>
    <row r="242" spans="1:13" x14ac:dyDescent="0.35">
      <c r="A242">
        <v>10241</v>
      </c>
      <c r="B242">
        <v>43</v>
      </c>
      <c r="C242" t="s">
        <v>9</v>
      </c>
      <c r="D242" t="s">
        <v>13</v>
      </c>
      <c r="E242" s="2">
        <v>45251</v>
      </c>
      <c r="F242" s="2">
        <v>45966</v>
      </c>
      <c r="G242">
        <v>1500</v>
      </c>
      <c r="H242" t="s">
        <v>15</v>
      </c>
      <c r="I242" t="s">
        <v>17</v>
      </c>
      <c r="J242">
        <f t="shared" si="13"/>
        <v>4500</v>
      </c>
      <c r="K242" t="str">
        <f t="shared" si="12"/>
        <v>35+</v>
      </c>
      <c r="L242" t="str">
        <f t="shared" ca="1" si="14"/>
        <v>High Risk</v>
      </c>
      <c r="M242" t="str">
        <f t="shared" si="15"/>
        <v>Nov-2023</v>
      </c>
    </row>
    <row r="243" spans="1:13" x14ac:dyDescent="0.35">
      <c r="A243">
        <v>10242</v>
      </c>
      <c r="B243">
        <v>37</v>
      </c>
      <c r="C243" t="s">
        <v>9</v>
      </c>
      <c r="D243" t="s">
        <v>12</v>
      </c>
      <c r="E243" s="2">
        <v>45991</v>
      </c>
      <c r="F243" s="2">
        <v>46022</v>
      </c>
      <c r="G243">
        <v>800</v>
      </c>
      <c r="H243" t="s">
        <v>14</v>
      </c>
      <c r="I243" t="s">
        <v>16</v>
      </c>
      <c r="J243">
        <f t="shared" si="13"/>
        <v>9600</v>
      </c>
      <c r="K243" t="str">
        <f t="shared" si="12"/>
        <v>35+</v>
      </c>
      <c r="L243" t="str">
        <f t="shared" ca="1" si="14"/>
        <v>Safe</v>
      </c>
      <c r="M243" t="str">
        <f t="shared" si="15"/>
        <v>Nov-2025</v>
      </c>
    </row>
    <row r="244" spans="1:13" x14ac:dyDescent="0.35">
      <c r="A244">
        <v>10243</v>
      </c>
      <c r="B244">
        <v>29</v>
      </c>
      <c r="C244" t="s">
        <v>9</v>
      </c>
      <c r="D244" t="s">
        <v>12</v>
      </c>
      <c r="E244" s="2">
        <v>45385</v>
      </c>
      <c r="F244" s="2">
        <v>46012</v>
      </c>
      <c r="G244">
        <v>800</v>
      </c>
      <c r="H244" t="s">
        <v>14</v>
      </c>
      <c r="I244" t="s">
        <v>16</v>
      </c>
      <c r="J244">
        <f t="shared" si="13"/>
        <v>9600</v>
      </c>
      <c r="K244" t="str">
        <f t="shared" si="12"/>
        <v>25-34</v>
      </c>
      <c r="L244" t="str">
        <f t="shared" ca="1" si="14"/>
        <v>Safe</v>
      </c>
      <c r="M244" t="str">
        <f t="shared" si="15"/>
        <v>Apr-2024</v>
      </c>
    </row>
    <row r="245" spans="1:13" x14ac:dyDescent="0.35">
      <c r="A245">
        <v>10244</v>
      </c>
      <c r="B245">
        <v>24</v>
      </c>
      <c r="C245" t="s">
        <v>10</v>
      </c>
      <c r="D245" t="s">
        <v>11</v>
      </c>
      <c r="E245" s="2">
        <v>45857</v>
      </c>
      <c r="F245" s="2">
        <v>45989</v>
      </c>
      <c r="G245">
        <v>1200</v>
      </c>
      <c r="H245" t="s">
        <v>14</v>
      </c>
      <c r="I245" t="s">
        <v>17</v>
      </c>
      <c r="J245">
        <f t="shared" si="13"/>
        <v>1200</v>
      </c>
      <c r="K245" t="str">
        <f t="shared" si="12"/>
        <v>18-24</v>
      </c>
      <c r="L245" t="str">
        <f t="shared" ca="1" si="14"/>
        <v>High Risk</v>
      </c>
      <c r="M245" t="str">
        <f t="shared" si="15"/>
        <v>Jul-2025</v>
      </c>
    </row>
    <row r="246" spans="1:13" x14ac:dyDescent="0.35">
      <c r="A246">
        <v>10245</v>
      </c>
      <c r="B246">
        <v>19</v>
      </c>
      <c r="C246" t="s">
        <v>9</v>
      </c>
      <c r="D246" t="s">
        <v>11</v>
      </c>
      <c r="E246" s="2">
        <v>45588</v>
      </c>
      <c r="F246" s="2">
        <v>46016</v>
      </c>
      <c r="G246">
        <v>1700</v>
      </c>
      <c r="H246" t="s">
        <v>15</v>
      </c>
      <c r="I246" t="s">
        <v>16</v>
      </c>
      <c r="J246">
        <f t="shared" si="13"/>
        <v>1700</v>
      </c>
      <c r="K246" t="str">
        <f t="shared" si="12"/>
        <v>18-24</v>
      </c>
      <c r="L246" t="str">
        <f t="shared" ca="1" si="14"/>
        <v>Safe</v>
      </c>
      <c r="M246" t="str">
        <f t="shared" si="15"/>
        <v>Oct-2024</v>
      </c>
    </row>
    <row r="247" spans="1:13" x14ac:dyDescent="0.35">
      <c r="A247">
        <v>10246</v>
      </c>
      <c r="B247">
        <v>20</v>
      </c>
      <c r="C247" t="s">
        <v>9</v>
      </c>
      <c r="D247" t="s">
        <v>13</v>
      </c>
      <c r="E247" s="2">
        <v>45997</v>
      </c>
      <c r="F247" s="2">
        <v>45940</v>
      </c>
      <c r="G247">
        <v>1000</v>
      </c>
      <c r="H247" t="s">
        <v>14</v>
      </c>
      <c r="I247" t="s">
        <v>17</v>
      </c>
      <c r="J247">
        <f t="shared" si="13"/>
        <v>3000</v>
      </c>
      <c r="K247" t="str">
        <f t="shared" si="12"/>
        <v>18-24</v>
      </c>
      <c r="L247" t="str">
        <f t="shared" ca="1" si="14"/>
        <v>High Risk</v>
      </c>
      <c r="M247" t="str">
        <f t="shared" si="15"/>
        <v>Dec-2025</v>
      </c>
    </row>
    <row r="248" spans="1:13" x14ac:dyDescent="0.35">
      <c r="A248">
        <v>10247</v>
      </c>
      <c r="B248">
        <v>34</v>
      </c>
      <c r="C248" t="s">
        <v>9</v>
      </c>
      <c r="D248" t="s">
        <v>13</v>
      </c>
      <c r="E248" s="2">
        <v>45854</v>
      </c>
      <c r="F248" s="2">
        <v>45989</v>
      </c>
      <c r="G248">
        <v>1000</v>
      </c>
      <c r="H248" t="s">
        <v>14</v>
      </c>
      <c r="I248" t="s">
        <v>17</v>
      </c>
      <c r="J248">
        <f t="shared" si="13"/>
        <v>3000</v>
      </c>
      <c r="K248" t="str">
        <f t="shared" si="12"/>
        <v>25-34</v>
      </c>
      <c r="L248" t="str">
        <f t="shared" ca="1" si="14"/>
        <v>High Risk</v>
      </c>
      <c r="M248" t="str">
        <f t="shared" si="15"/>
        <v>Jul-2025</v>
      </c>
    </row>
    <row r="249" spans="1:13" x14ac:dyDescent="0.35">
      <c r="A249">
        <v>10248</v>
      </c>
      <c r="B249">
        <v>22</v>
      </c>
      <c r="C249" t="s">
        <v>9</v>
      </c>
      <c r="D249" t="s">
        <v>11</v>
      </c>
      <c r="E249" s="2">
        <v>45995</v>
      </c>
      <c r="F249" s="2">
        <v>46008</v>
      </c>
      <c r="G249">
        <v>1200</v>
      </c>
      <c r="H249" t="s">
        <v>14</v>
      </c>
      <c r="I249" t="s">
        <v>16</v>
      </c>
      <c r="J249">
        <f t="shared" si="13"/>
        <v>1200</v>
      </c>
      <c r="K249" t="str">
        <f t="shared" si="12"/>
        <v>18-24</v>
      </c>
      <c r="L249" t="str">
        <f t="shared" ca="1" si="14"/>
        <v>Safe</v>
      </c>
      <c r="M249" t="str">
        <f t="shared" si="15"/>
        <v>Dec-2025</v>
      </c>
    </row>
    <row r="250" spans="1:13" x14ac:dyDescent="0.35">
      <c r="A250">
        <v>10249</v>
      </c>
      <c r="B250">
        <v>34</v>
      </c>
      <c r="C250" t="s">
        <v>9</v>
      </c>
      <c r="D250" t="s">
        <v>13</v>
      </c>
      <c r="E250" s="2">
        <v>45605</v>
      </c>
      <c r="F250" s="2">
        <v>46029</v>
      </c>
      <c r="G250">
        <v>1000</v>
      </c>
      <c r="H250" t="s">
        <v>14</v>
      </c>
      <c r="I250" t="s">
        <v>16</v>
      </c>
      <c r="J250">
        <f t="shared" si="13"/>
        <v>3000</v>
      </c>
      <c r="K250" t="str">
        <f t="shared" si="12"/>
        <v>25-34</v>
      </c>
      <c r="L250" t="str">
        <f t="shared" ca="1" si="14"/>
        <v>Safe</v>
      </c>
      <c r="M250" t="str">
        <f t="shared" si="15"/>
        <v>Nov-2024</v>
      </c>
    </row>
    <row r="251" spans="1:13" x14ac:dyDescent="0.35">
      <c r="A251">
        <v>10250</v>
      </c>
      <c r="B251">
        <v>41</v>
      </c>
      <c r="C251" t="s">
        <v>9</v>
      </c>
      <c r="D251" t="s">
        <v>11</v>
      </c>
      <c r="E251" s="2">
        <v>45737</v>
      </c>
      <c r="F251" s="2">
        <v>45992</v>
      </c>
      <c r="G251">
        <v>1700</v>
      </c>
      <c r="H251" t="s">
        <v>15</v>
      </c>
      <c r="I251" t="s">
        <v>17</v>
      </c>
      <c r="J251">
        <f t="shared" si="13"/>
        <v>1700</v>
      </c>
      <c r="K251" t="str">
        <f t="shared" si="12"/>
        <v>35+</v>
      </c>
      <c r="L251" t="str">
        <f t="shared" ca="1" si="14"/>
        <v>High Risk</v>
      </c>
      <c r="M251" t="str">
        <f t="shared" si="15"/>
        <v>Mar-2025</v>
      </c>
    </row>
    <row r="252" spans="1:13" x14ac:dyDescent="0.35">
      <c r="A252">
        <v>10251</v>
      </c>
      <c r="B252">
        <v>34</v>
      </c>
      <c r="C252" t="s">
        <v>9</v>
      </c>
      <c r="D252" t="s">
        <v>13</v>
      </c>
      <c r="E252" s="2">
        <v>45339</v>
      </c>
      <c r="F252" s="2">
        <v>45961</v>
      </c>
      <c r="G252">
        <v>1500</v>
      </c>
      <c r="H252" t="s">
        <v>15</v>
      </c>
      <c r="I252" t="s">
        <v>17</v>
      </c>
      <c r="J252">
        <f t="shared" si="13"/>
        <v>4500</v>
      </c>
      <c r="K252" t="str">
        <f t="shared" si="12"/>
        <v>25-34</v>
      </c>
      <c r="L252" t="str">
        <f t="shared" ca="1" si="14"/>
        <v>High Risk</v>
      </c>
      <c r="M252" t="str">
        <f t="shared" si="15"/>
        <v>Feb-2024</v>
      </c>
    </row>
    <row r="253" spans="1:13" x14ac:dyDescent="0.35">
      <c r="A253">
        <v>10252</v>
      </c>
      <c r="B253">
        <v>44</v>
      </c>
      <c r="C253" t="s">
        <v>10</v>
      </c>
      <c r="D253" t="s">
        <v>12</v>
      </c>
      <c r="E253" s="2">
        <v>45523</v>
      </c>
      <c r="F253" s="2">
        <v>46022</v>
      </c>
      <c r="G253">
        <v>800</v>
      </c>
      <c r="H253" t="s">
        <v>14</v>
      </c>
      <c r="I253" t="s">
        <v>16</v>
      </c>
      <c r="J253">
        <f t="shared" si="13"/>
        <v>9600</v>
      </c>
      <c r="K253" t="str">
        <f t="shared" si="12"/>
        <v>35+</v>
      </c>
      <c r="L253" t="str">
        <f t="shared" ca="1" si="14"/>
        <v>Safe</v>
      </c>
      <c r="M253" t="str">
        <f t="shared" si="15"/>
        <v>Aug-2024</v>
      </c>
    </row>
    <row r="254" spans="1:13" x14ac:dyDescent="0.35">
      <c r="A254">
        <v>10253</v>
      </c>
      <c r="B254">
        <v>34</v>
      </c>
      <c r="C254" t="s">
        <v>9</v>
      </c>
      <c r="D254" t="s">
        <v>13</v>
      </c>
      <c r="E254" s="2">
        <v>45888</v>
      </c>
      <c r="F254" s="2">
        <v>46024</v>
      </c>
      <c r="G254">
        <v>1000</v>
      </c>
      <c r="H254" t="s">
        <v>14</v>
      </c>
      <c r="I254" t="s">
        <v>16</v>
      </c>
      <c r="J254">
        <f t="shared" si="13"/>
        <v>3000</v>
      </c>
      <c r="K254" t="str">
        <f t="shared" si="12"/>
        <v>25-34</v>
      </c>
      <c r="L254" t="str">
        <f t="shared" ca="1" si="14"/>
        <v>Safe</v>
      </c>
      <c r="M254" t="str">
        <f t="shared" si="15"/>
        <v>Aug-2025</v>
      </c>
    </row>
    <row r="255" spans="1:13" x14ac:dyDescent="0.35">
      <c r="A255">
        <v>10254</v>
      </c>
      <c r="B255">
        <v>19</v>
      </c>
      <c r="C255" t="s">
        <v>9</v>
      </c>
      <c r="D255" t="s">
        <v>12</v>
      </c>
      <c r="E255" s="2">
        <v>45507</v>
      </c>
      <c r="F255" s="2">
        <v>46015</v>
      </c>
      <c r="G255">
        <v>1300</v>
      </c>
      <c r="H255" t="s">
        <v>15</v>
      </c>
      <c r="I255" t="s">
        <v>16</v>
      </c>
      <c r="J255">
        <f t="shared" si="13"/>
        <v>15600</v>
      </c>
      <c r="K255" t="str">
        <f t="shared" si="12"/>
        <v>18-24</v>
      </c>
      <c r="L255" t="str">
        <f t="shared" ca="1" si="14"/>
        <v>Safe</v>
      </c>
      <c r="M255" t="str">
        <f t="shared" si="15"/>
        <v>Aug-2024</v>
      </c>
    </row>
    <row r="256" spans="1:13" x14ac:dyDescent="0.35">
      <c r="A256">
        <v>10255</v>
      </c>
      <c r="B256">
        <v>19</v>
      </c>
      <c r="C256" t="s">
        <v>9</v>
      </c>
      <c r="D256" t="s">
        <v>12</v>
      </c>
      <c r="E256" s="2">
        <v>45146</v>
      </c>
      <c r="F256" s="2">
        <v>46016</v>
      </c>
      <c r="G256">
        <v>800</v>
      </c>
      <c r="H256" t="s">
        <v>14</v>
      </c>
      <c r="I256" t="s">
        <v>16</v>
      </c>
      <c r="J256">
        <f t="shared" si="13"/>
        <v>9600</v>
      </c>
      <c r="K256" t="str">
        <f t="shared" si="12"/>
        <v>18-24</v>
      </c>
      <c r="L256" t="str">
        <f t="shared" ca="1" si="14"/>
        <v>Safe</v>
      </c>
      <c r="M256" t="str">
        <f t="shared" si="15"/>
        <v>Aug-2023</v>
      </c>
    </row>
    <row r="257" spans="1:13" x14ac:dyDescent="0.35">
      <c r="A257">
        <v>10256</v>
      </c>
      <c r="B257">
        <v>45</v>
      </c>
      <c r="C257" t="s">
        <v>9</v>
      </c>
      <c r="D257" t="s">
        <v>12</v>
      </c>
      <c r="E257" s="2">
        <v>45394</v>
      </c>
      <c r="F257" s="2">
        <v>46027</v>
      </c>
      <c r="G257">
        <v>800</v>
      </c>
      <c r="H257" t="s">
        <v>14</v>
      </c>
      <c r="I257" t="s">
        <v>16</v>
      </c>
      <c r="J257">
        <f t="shared" si="13"/>
        <v>9600</v>
      </c>
      <c r="K257" t="str">
        <f t="shared" si="12"/>
        <v>35+</v>
      </c>
      <c r="L257" t="str">
        <f t="shared" ca="1" si="14"/>
        <v>Safe</v>
      </c>
      <c r="M257" t="str">
        <f t="shared" si="15"/>
        <v>Apr-2024</v>
      </c>
    </row>
    <row r="258" spans="1:13" x14ac:dyDescent="0.35">
      <c r="A258">
        <v>10257</v>
      </c>
      <c r="B258">
        <v>39</v>
      </c>
      <c r="C258" t="s">
        <v>9</v>
      </c>
      <c r="D258" t="s">
        <v>12</v>
      </c>
      <c r="E258" s="2">
        <v>45388</v>
      </c>
      <c r="F258" s="2">
        <v>46009</v>
      </c>
      <c r="G258">
        <v>800</v>
      </c>
      <c r="H258" t="s">
        <v>14</v>
      </c>
      <c r="I258" t="s">
        <v>16</v>
      </c>
      <c r="J258">
        <f t="shared" si="13"/>
        <v>9600</v>
      </c>
      <c r="K258" t="str">
        <f t="shared" ref="K258:K321" si="16">IF(B258&lt;25,"18-24",IF(B258&lt;35,"25-34","35+"))</f>
        <v>35+</v>
      </c>
      <c r="L258" t="str">
        <f t="shared" ca="1" si="14"/>
        <v>Safe</v>
      </c>
      <c r="M258" t="str">
        <f t="shared" si="15"/>
        <v>Apr-2024</v>
      </c>
    </row>
    <row r="259" spans="1:13" x14ac:dyDescent="0.35">
      <c r="A259">
        <v>10258</v>
      </c>
      <c r="B259">
        <v>40</v>
      </c>
      <c r="C259" t="s">
        <v>9</v>
      </c>
      <c r="D259" t="s">
        <v>12</v>
      </c>
      <c r="E259" s="2">
        <v>45871</v>
      </c>
      <c r="F259" s="2">
        <v>46012</v>
      </c>
      <c r="G259">
        <v>800</v>
      </c>
      <c r="H259" t="s">
        <v>14</v>
      </c>
      <c r="I259" t="s">
        <v>16</v>
      </c>
      <c r="J259">
        <f t="shared" ref="J259:J322" si="17">IF(D259="Monthly",G259,IF(D259="Quarterly",G259*3,G259*12))</f>
        <v>9600</v>
      </c>
      <c r="K259" t="str">
        <f t="shared" si="16"/>
        <v>35+</v>
      </c>
      <c r="L259" t="str">
        <f t="shared" ref="L259:L322" ca="1" si="18">IF(F259&lt;TODAY()-30,"High Risk","Safe")</f>
        <v>Safe</v>
      </c>
      <c r="M259" t="str">
        <f t="shared" ref="M259:M322" si="19">TEXT(E259,"mmm-yyyy")</f>
        <v>Aug-2025</v>
      </c>
    </row>
    <row r="260" spans="1:13" x14ac:dyDescent="0.35">
      <c r="A260">
        <v>10259</v>
      </c>
      <c r="B260">
        <v>22</v>
      </c>
      <c r="C260" t="s">
        <v>10</v>
      </c>
      <c r="D260" t="s">
        <v>13</v>
      </c>
      <c r="E260" s="2">
        <v>45521</v>
      </c>
      <c r="F260" s="2">
        <v>46015</v>
      </c>
      <c r="G260">
        <v>1000</v>
      </c>
      <c r="H260" t="s">
        <v>14</v>
      </c>
      <c r="I260" t="s">
        <v>16</v>
      </c>
      <c r="J260">
        <f t="shared" si="17"/>
        <v>3000</v>
      </c>
      <c r="K260" t="str">
        <f t="shared" si="16"/>
        <v>18-24</v>
      </c>
      <c r="L260" t="str">
        <f t="shared" ca="1" si="18"/>
        <v>Safe</v>
      </c>
      <c r="M260" t="str">
        <f t="shared" si="19"/>
        <v>Aug-2024</v>
      </c>
    </row>
    <row r="261" spans="1:13" x14ac:dyDescent="0.35">
      <c r="A261">
        <v>10260</v>
      </c>
      <c r="B261">
        <v>18</v>
      </c>
      <c r="C261" t="s">
        <v>10</v>
      </c>
      <c r="D261" t="s">
        <v>11</v>
      </c>
      <c r="E261" s="2">
        <v>45617</v>
      </c>
      <c r="F261" s="2">
        <v>46012</v>
      </c>
      <c r="G261">
        <v>1700</v>
      </c>
      <c r="H261" t="s">
        <v>15</v>
      </c>
      <c r="I261" t="s">
        <v>16</v>
      </c>
      <c r="J261">
        <f t="shared" si="17"/>
        <v>1700</v>
      </c>
      <c r="K261" t="str">
        <f t="shared" si="16"/>
        <v>18-24</v>
      </c>
      <c r="L261" t="str">
        <f t="shared" ca="1" si="18"/>
        <v>Safe</v>
      </c>
      <c r="M261" t="str">
        <f t="shared" si="19"/>
        <v>Nov-2024</v>
      </c>
    </row>
    <row r="262" spans="1:13" x14ac:dyDescent="0.35">
      <c r="A262">
        <v>10261</v>
      </c>
      <c r="B262">
        <v>18</v>
      </c>
      <c r="C262" t="s">
        <v>9</v>
      </c>
      <c r="D262" t="s">
        <v>13</v>
      </c>
      <c r="E262" s="2">
        <v>45239</v>
      </c>
      <c r="F262" s="2">
        <v>46026</v>
      </c>
      <c r="G262">
        <v>1000</v>
      </c>
      <c r="H262" t="s">
        <v>14</v>
      </c>
      <c r="I262" t="s">
        <v>16</v>
      </c>
      <c r="J262">
        <f t="shared" si="17"/>
        <v>3000</v>
      </c>
      <c r="K262" t="str">
        <f t="shared" si="16"/>
        <v>18-24</v>
      </c>
      <c r="L262" t="str">
        <f t="shared" ca="1" si="18"/>
        <v>Safe</v>
      </c>
      <c r="M262" t="str">
        <f t="shared" si="19"/>
        <v>Nov-2023</v>
      </c>
    </row>
    <row r="263" spans="1:13" x14ac:dyDescent="0.35">
      <c r="A263">
        <v>10262</v>
      </c>
      <c r="B263">
        <v>36</v>
      </c>
      <c r="C263" t="s">
        <v>10</v>
      </c>
      <c r="D263" t="s">
        <v>13</v>
      </c>
      <c r="E263" s="2">
        <v>45405</v>
      </c>
      <c r="F263" s="2">
        <v>45942</v>
      </c>
      <c r="G263">
        <v>1500</v>
      </c>
      <c r="H263" t="s">
        <v>15</v>
      </c>
      <c r="I263" t="s">
        <v>17</v>
      </c>
      <c r="J263">
        <f t="shared" si="17"/>
        <v>4500</v>
      </c>
      <c r="K263" t="str">
        <f t="shared" si="16"/>
        <v>35+</v>
      </c>
      <c r="L263" t="str">
        <f t="shared" ca="1" si="18"/>
        <v>High Risk</v>
      </c>
      <c r="M263" t="str">
        <f t="shared" si="19"/>
        <v>Apr-2024</v>
      </c>
    </row>
    <row r="264" spans="1:13" x14ac:dyDescent="0.35">
      <c r="A264">
        <v>10263</v>
      </c>
      <c r="B264">
        <v>19</v>
      </c>
      <c r="C264" t="s">
        <v>9</v>
      </c>
      <c r="D264" t="s">
        <v>11</v>
      </c>
      <c r="E264" s="2">
        <v>45764</v>
      </c>
      <c r="F264" s="2">
        <v>46009</v>
      </c>
      <c r="G264">
        <v>1700</v>
      </c>
      <c r="H264" t="s">
        <v>15</v>
      </c>
      <c r="I264" t="s">
        <v>16</v>
      </c>
      <c r="J264">
        <f t="shared" si="17"/>
        <v>1700</v>
      </c>
      <c r="K264" t="str">
        <f t="shared" si="16"/>
        <v>18-24</v>
      </c>
      <c r="L264" t="str">
        <f t="shared" ca="1" si="18"/>
        <v>Safe</v>
      </c>
      <c r="M264" t="str">
        <f t="shared" si="19"/>
        <v>Apr-2025</v>
      </c>
    </row>
    <row r="265" spans="1:13" x14ac:dyDescent="0.35">
      <c r="A265">
        <v>10264</v>
      </c>
      <c r="B265">
        <v>38</v>
      </c>
      <c r="C265" t="s">
        <v>9</v>
      </c>
      <c r="D265" t="s">
        <v>11</v>
      </c>
      <c r="E265" s="2">
        <v>45470</v>
      </c>
      <c r="F265" s="2">
        <v>46032</v>
      </c>
      <c r="G265">
        <v>1700</v>
      </c>
      <c r="H265" t="s">
        <v>15</v>
      </c>
      <c r="I265" t="s">
        <v>16</v>
      </c>
      <c r="J265">
        <f t="shared" si="17"/>
        <v>1700</v>
      </c>
      <c r="K265" t="str">
        <f t="shared" si="16"/>
        <v>35+</v>
      </c>
      <c r="L265" t="str">
        <f t="shared" ca="1" si="18"/>
        <v>Safe</v>
      </c>
      <c r="M265" t="str">
        <f t="shared" si="19"/>
        <v>Jun-2024</v>
      </c>
    </row>
    <row r="266" spans="1:13" x14ac:dyDescent="0.35">
      <c r="A266">
        <v>10265</v>
      </c>
      <c r="B266">
        <v>29</v>
      </c>
      <c r="C266" t="s">
        <v>9</v>
      </c>
      <c r="D266" t="s">
        <v>12</v>
      </c>
      <c r="E266" s="2">
        <v>45702</v>
      </c>
      <c r="F266" s="2">
        <v>46017</v>
      </c>
      <c r="G266">
        <v>1300</v>
      </c>
      <c r="H266" t="s">
        <v>15</v>
      </c>
      <c r="I266" t="s">
        <v>16</v>
      </c>
      <c r="J266">
        <f t="shared" si="17"/>
        <v>15600</v>
      </c>
      <c r="K266" t="str">
        <f t="shared" si="16"/>
        <v>25-34</v>
      </c>
      <c r="L266" t="str">
        <f t="shared" ca="1" si="18"/>
        <v>Safe</v>
      </c>
      <c r="M266" t="str">
        <f t="shared" si="19"/>
        <v>Feb-2025</v>
      </c>
    </row>
    <row r="267" spans="1:13" x14ac:dyDescent="0.35">
      <c r="A267">
        <v>10266</v>
      </c>
      <c r="B267">
        <v>43</v>
      </c>
      <c r="C267" t="s">
        <v>10</v>
      </c>
      <c r="D267" t="s">
        <v>12</v>
      </c>
      <c r="E267" s="2">
        <v>45887</v>
      </c>
      <c r="F267" s="2">
        <v>46030</v>
      </c>
      <c r="G267">
        <v>1300</v>
      </c>
      <c r="H267" t="s">
        <v>15</v>
      </c>
      <c r="I267" t="s">
        <v>16</v>
      </c>
      <c r="J267">
        <f t="shared" si="17"/>
        <v>15600</v>
      </c>
      <c r="K267" t="str">
        <f t="shared" si="16"/>
        <v>35+</v>
      </c>
      <c r="L267" t="str">
        <f t="shared" ca="1" si="18"/>
        <v>Safe</v>
      </c>
      <c r="M267" t="str">
        <f t="shared" si="19"/>
        <v>Aug-2025</v>
      </c>
    </row>
    <row r="268" spans="1:13" x14ac:dyDescent="0.35">
      <c r="A268">
        <v>10267</v>
      </c>
      <c r="B268">
        <v>23</v>
      </c>
      <c r="C268" t="s">
        <v>9</v>
      </c>
      <c r="D268" t="s">
        <v>12</v>
      </c>
      <c r="E268" s="2">
        <v>45731</v>
      </c>
      <c r="F268" s="2">
        <v>46020</v>
      </c>
      <c r="G268">
        <v>1300</v>
      </c>
      <c r="H268" t="s">
        <v>15</v>
      </c>
      <c r="I268" t="s">
        <v>16</v>
      </c>
      <c r="J268">
        <f t="shared" si="17"/>
        <v>15600</v>
      </c>
      <c r="K268" t="str">
        <f t="shared" si="16"/>
        <v>18-24</v>
      </c>
      <c r="L268" t="str">
        <f t="shared" ca="1" si="18"/>
        <v>Safe</v>
      </c>
      <c r="M268" t="str">
        <f t="shared" si="19"/>
        <v>Mar-2025</v>
      </c>
    </row>
    <row r="269" spans="1:13" x14ac:dyDescent="0.35">
      <c r="A269">
        <v>10268</v>
      </c>
      <c r="B269">
        <v>40</v>
      </c>
      <c r="C269" t="s">
        <v>9</v>
      </c>
      <c r="D269" t="s">
        <v>11</v>
      </c>
      <c r="E269" s="2">
        <v>46002</v>
      </c>
      <c r="F269" s="2">
        <v>46015</v>
      </c>
      <c r="G269">
        <v>1200</v>
      </c>
      <c r="H269" t="s">
        <v>14</v>
      </c>
      <c r="I269" t="s">
        <v>16</v>
      </c>
      <c r="J269">
        <f t="shared" si="17"/>
        <v>1200</v>
      </c>
      <c r="K269" t="str">
        <f t="shared" si="16"/>
        <v>35+</v>
      </c>
      <c r="L269" t="str">
        <f t="shared" ca="1" si="18"/>
        <v>Safe</v>
      </c>
      <c r="M269" t="str">
        <f t="shared" si="19"/>
        <v>Dec-2025</v>
      </c>
    </row>
    <row r="270" spans="1:13" x14ac:dyDescent="0.35">
      <c r="A270">
        <v>10269</v>
      </c>
      <c r="B270">
        <v>21</v>
      </c>
      <c r="C270" t="s">
        <v>9</v>
      </c>
      <c r="D270" t="s">
        <v>11</v>
      </c>
      <c r="E270" s="2">
        <v>45192</v>
      </c>
      <c r="F270" s="2">
        <v>45960</v>
      </c>
      <c r="G270">
        <v>1700</v>
      </c>
      <c r="H270" t="s">
        <v>15</v>
      </c>
      <c r="I270" t="s">
        <v>17</v>
      </c>
      <c r="J270">
        <f t="shared" si="17"/>
        <v>1700</v>
      </c>
      <c r="K270" t="str">
        <f t="shared" si="16"/>
        <v>18-24</v>
      </c>
      <c r="L270" t="str">
        <f t="shared" ca="1" si="18"/>
        <v>High Risk</v>
      </c>
      <c r="M270" t="str">
        <f t="shared" si="19"/>
        <v>Sep-2023</v>
      </c>
    </row>
    <row r="271" spans="1:13" x14ac:dyDescent="0.35">
      <c r="A271">
        <v>10270</v>
      </c>
      <c r="B271">
        <v>40</v>
      </c>
      <c r="C271" t="s">
        <v>9</v>
      </c>
      <c r="D271" t="s">
        <v>11</v>
      </c>
      <c r="E271" s="2">
        <v>45875</v>
      </c>
      <c r="F271" s="2">
        <v>46020</v>
      </c>
      <c r="G271">
        <v>1200</v>
      </c>
      <c r="H271" t="s">
        <v>14</v>
      </c>
      <c r="I271" t="s">
        <v>16</v>
      </c>
      <c r="J271">
        <f t="shared" si="17"/>
        <v>1200</v>
      </c>
      <c r="K271" t="str">
        <f t="shared" si="16"/>
        <v>35+</v>
      </c>
      <c r="L271" t="str">
        <f t="shared" ca="1" si="18"/>
        <v>Safe</v>
      </c>
      <c r="M271" t="str">
        <f t="shared" si="19"/>
        <v>Aug-2025</v>
      </c>
    </row>
    <row r="272" spans="1:13" x14ac:dyDescent="0.35">
      <c r="A272">
        <v>10271</v>
      </c>
      <c r="B272">
        <v>28</v>
      </c>
      <c r="C272" t="s">
        <v>9</v>
      </c>
      <c r="D272" t="s">
        <v>11</v>
      </c>
      <c r="E272" s="2">
        <v>45647</v>
      </c>
      <c r="F272" s="2">
        <v>45927</v>
      </c>
      <c r="G272">
        <v>1700</v>
      </c>
      <c r="H272" t="s">
        <v>15</v>
      </c>
      <c r="I272" t="s">
        <v>17</v>
      </c>
      <c r="J272">
        <f t="shared" si="17"/>
        <v>1700</v>
      </c>
      <c r="K272" t="str">
        <f t="shared" si="16"/>
        <v>25-34</v>
      </c>
      <c r="L272" t="str">
        <f t="shared" ca="1" si="18"/>
        <v>High Risk</v>
      </c>
      <c r="M272" t="str">
        <f t="shared" si="19"/>
        <v>Dec-2024</v>
      </c>
    </row>
    <row r="273" spans="1:13" x14ac:dyDescent="0.35">
      <c r="A273">
        <v>10272</v>
      </c>
      <c r="B273">
        <v>41</v>
      </c>
      <c r="C273" t="s">
        <v>9</v>
      </c>
      <c r="D273" t="s">
        <v>11</v>
      </c>
      <c r="E273" s="2">
        <v>45608</v>
      </c>
      <c r="F273" s="2">
        <v>46012</v>
      </c>
      <c r="G273">
        <v>1200</v>
      </c>
      <c r="H273" t="s">
        <v>14</v>
      </c>
      <c r="I273" t="s">
        <v>16</v>
      </c>
      <c r="J273">
        <f t="shared" si="17"/>
        <v>1200</v>
      </c>
      <c r="K273" t="str">
        <f t="shared" si="16"/>
        <v>35+</v>
      </c>
      <c r="L273" t="str">
        <f t="shared" ca="1" si="18"/>
        <v>Safe</v>
      </c>
      <c r="M273" t="str">
        <f t="shared" si="19"/>
        <v>Nov-2024</v>
      </c>
    </row>
    <row r="274" spans="1:13" x14ac:dyDescent="0.35">
      <c r="A274">
        <v>10273</v>
      </c>
      <c r="B274">
        <v>44</v>
      </c>
      <c r="C274" t="s">
        <v>9</v>
      </c>
      <c r="D274" t="s">
        <v>11</v>
      </c>
      <c r="E274" s="2">
        <v>45710</v>
      </c>
      <c r="F274" s="2">
        <v>46019</v>
      </c>
      <c r="G274">
        <v>1200</v>
      </c>
      <c r="H274" t="s">
        <v>14</v>
      </c>
      <c r="I274" t="s">
        <v>16</v>
      </c>
      <c r="J274">
        <f t="shared" si="17"/>
        <v>1200</v>
      </c>
      <c r="K274" t="str">
        <f t="shared" si="16"/>
        <v>35+</v>
      </c>
      <c r="L274" t="str">
        <f t="shared" ca="1" si="18"/>
        <v>Safe</v>
      </c>
      <c r="M274" t="str">
        <f t="shared" si="19"/>
        <v>Feb-2025</v>
      </c>
    </row>
    <row r="275" spans="1:13" x14ac:dyDescent="0.35">
      <c r="A275">
        <v>10274</v>
      </c>
      <c r="B275">
        <v>34</v>
      </c>
      <c r="C275" t="s">
        <v>9</v>
      </c>
      <c r="D275" t="s">
        <v>12</v>
      </c>
      <c r="E275" s="2">
        <v>45688</v>
      </c>
      <c r="F275" s="2">
        <v>46020</v>
      </c>
      <c r="G275">
        <v>1300</v>
      </c>
      <c r="H275" t="s">
        <v>15</v>
      </c>
      <c r="I275" t="s">
        <v>16</v>
      </c>
      <c r="J275">
        <f t="shared" si="17"/>
        <v>15600</v>
      </c>
      <c r="K275" t="str">
        <f t="shared" si="16"/>
        <v>25-34</v>
      </c>
      <c r="L275" t="str">
        <f t="shared" ca="1" si="18"/>
        <v>Safe</v>
      </c>
      <c r="M275" t="str">
        <f t="shared" si="19"/>
        <v>Jan-2025</v>
      </c>
    </row>
    <row r="276" spans="1:13" x14ac:dyDescent="0.35">
      <c r="A276">
        <v>10275</v>
      </c>
      <c r="B276">
        <v>23</v>
      </c>
      <c r="C276" t="s">
        <v>9</v>
      </c>
      <c r="D276" t="s">
        <v>13</v>
      </c>
      <c r="E276" s="2">
        <v>45236</v>
      </c>
      <c r="F276" s="2">
        <v>46009</v>
      </c>
      <c r="G276">
        <v>1000</v>
      </c>
      <c r="H276" t="s">
        <v>14</v>
      </c>
      <c r="I276" t="s">
        <v>16</v>
      </c>
      <c r="J276">
        <f t="shared" si="17"/>
        <v>3000</v>
      </c>
      <c r="K276" t="str">
        <f t="shared" si="16"/>
        <v>18-24</v>
      </c>
      <c r="L276" t="str">
        <f t="shared" ca="1" si="18"/>
        <v>Safe</v>
      </c>
      <c r="M276" t="str">
        <f t="shared" si="19"/>
        <v>Nov-2023</v>
      </c>
    </row>
    <row r="277" spans="1:13" x14ac:dyDescent="0.35">
      <c r="A277">
        <v>10276</v>
      </c>
      <c r="B277">
        <v>41</v>
      </c>
      <c r="C277" t="s">
        <v>9</v>
      </c>
      <c r="D277" t="s">
        <v>11</v>
      </c>
      <c r="E277" s="2">
        <v>45474</v>
      </c>
      <c r="F277" s="2">
        <v>45990</v>
      </c>
      <c r="G277">
        <v>1200</v>
      </c>
      <c r="H277" t="s">
        <v>14</v>
      </c>
      <c r="I277" t="s">
        <v>17</v>
      </c>
      <c r="J277">
        <f t="shared" si="17"/>
        <v>1200</v>
      </c>
      <c r="K277" t="str">
        <f t="shared" si="16"/>
        <v>35+</v>
      </c>
      <c r="L277" t="str">
        <f t="shared" ca="1" si="18"/>
        <v>High Risk</v>
      </c>
      <c r="M277" t="str">
        <f t="shared" si="19"/>
        <v>Jul-2024</v>
      </c>
    </row>
    <row r="278" spans="1:13" x14ac:dyDescent="0.35">
      <c r="A278">
        <v>10277</v>
      </c>
      <c r="B278">
        <v>22</v>
      </c>
      <c r="C278" t="s">
        <v>9</v>
      </c>
      <c r="D278" t="s">
        <v>11</v>
      </c>
      <c r="E278" s="2">
        <v>45417</v>
      </c>
      <c r="F278" s="2">
        <v>45969</v>
      </c>
      <c r="G278">
        <v>1200</v>
      </c>
      <c r="H278" t="s">
        <v>14</v>
      </c>
      <c r="I278" t="s">
        <v>17</v>
      </c>
      <c r="J278">
        <f t="shared" si="17"/>
        <v>1200</v>
      </c>
      <c r="K278" t="str">
        <f t="shared" si="16"/>
        <v>18-24</v>
      </c>
      <c r="L278" t="str">
        <f t="shared" ca="1" si="18"/>
        <v>High Risk</v>
      </c>
      <c r="M278" t="str">
        <f t="shared" si="19"/>
        <v>May-2024</v>
      </c>
    </row>
    <row r="279" spans="1:13" x14ac:dyDescent="0.35">
      <c r="A279">
        <v>10278</v>
      </c>
      <c r="B279">
        <v>37</v>
      </c>
      <c r="C279" t="s">
        <v>9</v>
      </c>
      <c r="D279" t="s">
        <v>13</v>
      </c>
      <c r="E279" s="2">
        <v>45578</v>
      </c>
      <c r="F279" s="2">
        <v>46010</v>
      </c>
      <c r="G279">
        <v>1000</v>
      </c>
      <c r="H279" t="s">
        <v>14</v>
      </c>
      <c r="I279" t="s">
        <v>16</v>
      </c>
      <c r="J279">
        <f t="shared" si="17"/>
        <v>3000</v>
      </c>
      <c r="K279" t="str">
        <f t="shared" si="16"/>
        <v>35+</v>
      </c>
      <c r="L279" t="str">
        <f t="shared" ca="1" si="18"/>
        <v>Safe</v>
      </c>
      <c r="M279" t="str">
        <f t="shared" si="19"/>
        <v>Oct-2024</v>
      </c>
    </row>
    <row r="280" spans="1:13" x14ac:dyDescent="0.35">
      <c r="A280">
        <v>10279</v>
      </c>
      <c r="B280">
        <v>19</v>
      </c>
      <c r="C280" t="s">
        <v>9</v>
      </c>
      <c r="D280" t="s">
        <v>11</v>
      </c>
      <c r="E280" s="2">
        <v>45878</v>
      </c>
      <c r="F280" s="2">
        <v>46024</v>
      </c>
      <c r="G280">
        <v>1200</v>
      </c>
      <c r="H280" t="s">
        <v>14</v>
      </c>
      <c r="I280" t="s">
        <v>16</v>
      </c>
      <c r="J280">
        <f t="shared" si="17"/>
        <v>1200</v>
      </c>
      <c r="K280" t="str">
        <f t="shared" si="16"/>
        <v>18-24</v>
      </c>
      <c r="L280" t="str">
        <f t="shared" ca="1" si="18"/>
        <v>Safe</v>
      </c>
      <c r="M280" t="str">
        <f t="shared" si="19"/>
        <v>Aug-2025</v>
      </c>
    </row>
    <row r="281" spans="1:13" x14ac:dyDescent="0.35">
      <c r="A281">
        <v>10280</v>
      </c>
      <c r="B281">
        <v>23</v>
      </c>
      <c r="C281" t="s">
        <v>9</v>
      </c>
      <c r="D281" t="s">
        <v>12</v>
      </c>
      <c r="E281" s="2">
        <v>45954</v>
      </c>
      <c r="F281" s="2">
        <v>46027</v>
      </c>
      <c r="G281">
        <v>800</v>
      </c>
      <c r="H281" t="s">
        <v>14</v>
      </c>
      <c r="I281" t="s">
        <v>16</v>
      </c>
      <c r="J281">
        <f t="shared" si="17"/>
        <v>9600</v>
      </c>
      <c r="K281" t="str">
        <f t="shared" si="16"/>
        <v>18-24</v>
      </c>
      <c r="L281" t="str">
        <f t="shared" ca="1" si="18"/>
        <v>Safe</v>
      </c>
      <c r="M281" t="str">
        <f t="shared" si="19"/>
        <v>Oct-2025</v>
      </c>
    </row>
    <row r="282" spans="1:13" x14ac:dyDescent="0.35">
      <c r="A282">
        <v>10281</v>
      </c>
      <c r="B282">
        <v>39</v>
      </c>
      <c r="C282" t="s">
        <v>9</v>
      </c>
      <c r="D282" t="s">
        <v>11</v>
      </c>
      <c r="E282" s="2">
        <v>45934</v>
      </c>
      <c r="F282" s="2">
        <v>45918</v>
      </c>
      <c r="G282">
        <v>1200</v>
      </c>
      <c r="H282" t="s">
        <v>14</v>
      </c>
      <c r="I282" t="s">
        <v>17</v>
      </c>
      <c r="J282">
        <f t="shared" si="17"/>
        <v>1200</v>
      </c>
      <c r="K282" t="str">
        <f t="shared" si="16"/>
        <v>35+</v>
      </c>
      <c r="L282" t="str">
        <f t="shared" ca="1" si="18"/>
        <v>High Risk</v>
      </c>
      <c r="M282" t="str">
        <f t="shared" si="19"/>
        <v>Oct-2025</v>
      </c>
    </row>
    <row r="283" spans="1:13" x14ac:dyDescent="0.35">
      <c r="A283">
        <v>10282</v>
      </c>
      <c r="B283">
        <v>28</v>
      </c>
      <c r="C283" t="s">
        <v>10</v>
      </c>
      <c r="D283" t="s">
        <v>11</v>
      </c>
      <c r="E283" s="2">
        <v>45369</v>
      </c>
      <c r="F283" s="2">
        <v>46011</v>
      </c>
      <c r="G283">
        <v>1700</v>
      </c>
      <c r="H283" t="s">
        <v>15</v>
      </c>
      <c r="I283" t="s">
        <v>16</v>
      </c>
      <c r="J283">
        <f t="shared" si="17"/>
        <v>1700</v>
      </c>
      <c r="K283" t="str">
        <f t="shared" si="16"/>
        <v>25-34</v>
      </c>
      <c r="L283" t="str">
        <f t="shared" ca="1" si="18"/>
        <v>Safe</v>
      </c>
      <c r="M283" t="str">
        <f t="shared" si="19"/>
        <v>Mar-2024</v>
      </c>
    </row>
    <row r="284" spans="1:13" x14ac:dyDescent="0.35">
      <c r="A284">
        <v>10283</v>
      </c>
      <c r="B284">
        <v>33</v>
      </c>
      <c r="C284" t="s">
        <v>9</v>
      </c>
      <c r="D284" t="s">
        <v>11</v>
      </c>
      <c r="E284" s="2">
        <v>45652</v>
      </c>
      <c r="F284" s="2">
        <v>46019</v>
      </c>
      <c r="G284">
        <v>1200</v>
      </c>
      <c r="H284" t="s">
        <v>14</v>
      </c>
      <c r="I284" t="s">
        <v>16</v>
      </c>
      <c r="J284">
        <f t="shared" si="17"/>
        <v>1200</v>
      </c>
      <c r="K284" t="str">
        <f t="shared" si="16"/>
        <v>25-34</v>
      </c>
      <c r="L284" t="str">
        <f t="shared" ca="1" si="18"/>
        <v>Safe</v>
      </c>
      <c r="M284" t="str">
        <f t="shared" si="19"/>
        <v>Dec-2024</v>
      </c>
    </row>
    <row r="285" spans="1:13" x14ac:dyDescent="0.35">
      <c r="A285">
        <v>10284</v>
      </c>
      <c r="B285">
        <v>33</v>
      </c>
      <c r="C285" t="s">
        <v>9</v>
      </c>
      <c r="D285" t="s">
        <v>11</v>
      </c>
      <c r="E285" s="2">
        <v>45453</v>
      </c>
      <c r="F285" s="2">
        <v>45931</v>
      </c>
      <c r="G285">
        <v>1200</v>
      </c>
      <c r="H285" t="s">
        <v>14</v>
      </c>
      <c r="I285" t="s">
        <v>17</v>
      </c>
      <c r="J285">
        <f t="shared" si="17"/>
        <v>1200</v>
      </c>
      <c r="K285" t="str">
        <f t="shared" si="16"/>
        <v>25-34</v>
      </c>
      <c r="L285" t="str">
        <f t="shared" ca="1" si="18"/>
        <v>High Risk</v>
      </c>
      <c r="M285" t="str">
        <f t="shared" si="19"/>
        <v>Jun-2024</v>
      </c>
    </row>
    <row r="286" spans="1:13" x14ac:dyDescent="0.35">
      <c r="A286">
        <v>10285</v>
      </c>
      <c r="B286">
        <v>18</v>
      </c>
      <c r="C286" t="s">
        <v>9</v>
      </c>
      <c r="D286" t="s">
        <v>13</v>
      </c>
      <c r="E286" s="2">
        <v>45217</v>
      </c>
      <c r="F286" s="2">
        <v>46022</v>
      </c>
      <c r="G286">
        <v>1000</v>
      </c>
      <c r="H286" t="s">
        <v>14</v>
      </c>
      <c r="I286" t="s">
        <v>16</v>
      </c>
      <c r="J286">
        <f t="shared" si="17"/>
        <v>3000</v>
      </c>
      <c r="K286" t="str">
        <f t="shared" si="16"/>
        <v>18-24</v>
      </c>
      <c r="L286" t="str">
        <f t="shared" ca="1" si="18"/>
        <v>Safe</v>
      </c>
      <c r="M286" t="str">
        <f t="shared" si="19"/>
        <v>Oct-2023</v>
      </c>
    </row>
    <row r="287" spans="1:13" x14ac:dyDescent="0.35">
      <c r="A287">
        <v>10286</v>
      </c>
      <c r="B287">
        <v>26</v>
      </c>
      <c r="C287" t="s">
        <v>9</v>
      </c>
      <c r="D287" t="s">
        <v>13</v>
      </c>
      <c r="E287" s="2">
        <v>45919</v>
      </c>
      <c r="F287" s="2">
        <v>46020</v>
      </c>
      <c r="G287">
        <v>1500</v>
      </c>
      <c r="H287" t="s">
        <v>15</v>
      </c>
      <c r="I287" t="s">
        <v>16</v>
      </c>
      <c r="J287">
        <f t="shared" si="17"/>
        <v>4500</v>
      </c>
      <c r="K287" t="str">
        <f t="shared" si="16"/>
        <v>25-34</v>
      </c>
      <c r="L287" t="str">
        <f t="shared" ca="1" si="18"/>
        <v>Safe</v>
      </c>
      <c r="M287" t="str">
        <f t="shared" si="19"/>
        <v>Sep-2025</v>
      </c>
    </row>
    <row r="288" spans="1:13" x14ac:dyDescent="0.35">
      <c r="A288">
        <v>10287</v>
      </c>
      <c r="B288">
        <v>45</v>
      </c>
      <c r="C288" t="s">
        <v>9</v>
      </c>
      <c r="D288" t="s">
        <v>13</v>
      </c>
      <c r="E288" s="2">
        <v>45153</v>
      </c>
      <c r="F288" s="2">
        <v>46028</v>
      </c>
      <c r="G288">
        <v>1000</v>
      </c>
      <c r="H288" t="s">
        <v>14</v>
      </c>
      <c r="I288" t="s">
        <v>16</v>
      </c>
      <c r="J288">
        <f t="shared" si="17"/>
        <v>3000</v>
      </c>
      <c r="K288" t="str">
        <f t="shared" si="16"/>
        <v>35+</v>
      </c>
      <c r="L288" t="str">
        <f t="shared" ca="1" si="18"/>
        <v>Safe</v>
      </c>
      <c r="M288" t="str">
        <f t="shared" si="19"/>
        <v>Aug-2023</v>
      </c>
    </row>
    <row r="289" spans="1:13" x14ac:dyDescent="0.35">
      <c r="A289">
        <v>10288</v>
      </c>
      <c r="B289">
        <v>44</v>
      </c>
      <c r="C289" t="s">
        <v>9</v>
      </c>
      <c r="D289" t="s">
        <v>11</v>
      </c>
      <c r="E289" s="2">
        <v>45504</v>
      </c>
      <c r="F289" s="2">
        <v>46026</v>
      </c>
      <c r="G289">
        <v>1200</v>
      </c>
      <c r="H289" t="s">
        <v>14</v>
      </c>
      <c r="I289" t="s">
        <v>16</v>
      </c>
      <c r="J289">
        <f t="shared" si="17"/>
        <v>1200</v>
      </c>
      <c r="K289" t="str">
        <f t="shared" si="16"/>
        <v>35+</v>
      </c>
      <c r="L289" t="str">
        <f t="shared" ca="1" si="18"/>
        <v>Safe</v>
      </c>
      <c r="M289" t="str">
        <f t="shared" si="19"/>
        <v>Jul-2024</v>
      </c>
    </row>
    <row r="290" spans="1:13" x14ac:dyDescent="0.35">
      <c r="A290">
        <v>10289</v>
      </c>
      <c r="B290">
        <v>23</v>
      </c>
      <c r="C290" t="s">
        <v>9</v>
      </c>
      <c r="D290" t="s">
        <v>13</v>
      </c>
      <c r="E290" s="2">
        <v>45754</v>
      </c>
      <c r="F290" s="2">
        <v>46013</v>
      </c>
      <c r="G290">
        <v>1500</v>
      </c>
      <c r="H290" t="s">
        <v>15</v>
      </c>
      <c r="I290" t="s">
        <v>16</v>
      </c>
      <c r="J290">
        <f t="shared" si="17"/>
        <v>4500</v>
      </c>
      <c r="K290" t="str">
        <f t="shared" si="16"/>
        <v>18-24</v>
      </c>
      <c r="L290" t="str">
        <f t="shared" ca="1" si="18"/>
        <v>Safe</v>
      </c>
      <c r="M290" t="str">
        <f t="shared" si="19"/>
        <v>Apr-2025</v>
      </c>
    </row>
    <row r="291" spans="1:13" x14ac:dyDescent="0.35">
      <c r="A291">
        <v>10290</v>
      </c>
      <c r="B291">
        <v>33</v>
      </c>
      <c r="C291" t="s">
        <v>9</v>
      </c>
      <c r="D291" t="s">
        <v>13</v>
      </c>
      <c r="E291" s="2">
        <v>45564</v>
      </c>
      <c r="F291" s="2">
        <v>46017</v>
      </c>
      <c r="G291">
        <v>1000</v>
      </c>
      <c r="H291" t="s">
        <v>14</v>
      </c>
      <c r="I291" t="s">
        <v>16</v>
      </c>
      <c r="J291">
        <f t="shared" si="17"/>
        <v>3000</v>
      </c>
      <c r="K291" t="str">
        <f t="shared" si="16"/>
        <v>25-34</v>
      </c>
      <c r="L291" t="str">
        <f t="shared" ca="1" si="18"/>
        <v>Safe</v>
      </c>
      <c r="M291" t="str">
        <f t="shared" si="19"/>
        <v>Sep-2024</v>
      </c>
    </row>
    <row r="292" spans="1:13" x14ac:dyDescent="0.35">
      <c r="A292">
        <v>10291</v>
      </c>
      <c r="B292">
        <v>20</v>
      </c>
      <c r="C292" t="s">
        <v>10</v>
      </c>
      <c r="D292" t="s">
        <v>12</v>
      </c>
      <c r="E292" s="2">
        <v>45585</v>
      </c>
      <c r="F292" s="2">
        <v>46016</v>
      </c>
      <c r="G292">
        <v>800</v>
      </c>
      <c r="H292" t="s">
        <v>14</v>
      </c>
      <c r="I292" t="s">
        <v>16</v>
      </c>
      <c r="J292">
        <f t="shared" si="17"/>
        <v>9600</v>
      </c>
      <c r="K292" t="str">
        <f t="shared" si="16"/>
        <v>18-24</v>
      </c>
      <c r="L292" t="str">
        <f t="shared" ca="1" si="18"/>
        <v>Safe</v>
      </c>
      <c r="M292" t="str">
        <f t="shared" si="19"/>
        <v>Oct-2024</v>
      </c>
    </row>
    <row r="293" spans="1:13" x14ac:dyDescent="0.35">
      <c r="A293">
        <v>10292</v>
      </c>
      <c r="B293">
        <v>37</v>
      </c>
      <c r="C293" t="s">
        <v>10</v>
      </c>
      <c r="D293" t="s">
        <v>11</v>
      </c>
      <c r="E293" s="2">
        <v>45644</v>
      </c>
      <c r="F293" s="2">
        <v>45974</v>
      </c>
      <c r="G293">
        <v>1200</v>
      </c>
      <c r="H293" t="s">
        <v>14</v>
      </c>
      <c r="I293" t="s">
        <v>17</v>
      </c>
      <c r="J293">
        <f t="shared" si="17"/>
        <v>1200</v>
      </c>
      <c r="K293" t="str">
        <f t="shared" si="16"/>
        <v>35+</v>
      </c>
      <c r="L293" t="str">
        <f t="shared" ca="1" si="18"/>
        <v>High Risk</v>
      </c>
      <c r="M293" t="str">
        <f t="shared" si="19"/>
        <v>Dec-2024</v>
      </c>
    </row>
    <row r="294" spans="1:13" x14ac:dyDescent="0.35">
      <c r="A294">
        <v>10293</v>
      </c>
      <c r="B294">
        <v>45</v>
      </c>
      <c r="C294" t="s">
        <v>9</v>
      </c>
      <c r="D294" t="s">
        <v>11</v>
      </c>
      <c r="E294" s="2">
        <v>45249</v>
      </c>
      <c r="F294" s="2">
        <v>46032</v>
      </c>
      <c r="G294">
        <v>1200</v>
      </c>
      <c r="H294" t="s">
        <v>14</v>
      </c>
      <c r="I294" t="s">
        <v>16</v>
      </c>
      <c r="J294">
        <f t="shared" si="17"/>
        <v>1200</v>
      </c>
      <c r="K294" t="str">
        <f t="shared" si="16"/>
        <v>35+</v>
      </c>
      <c r="L294" t="str">
        <f t="shared" ca="1" si="18"/>
        <v>Safe</v>
      </c>
      <c r="M294" t="str">
        <f t="shared" si="19"/>
        <v>Nov-2023</v>
      </c>
    </row>
    <row r="295" spans="1:13" x14ac:dyDescent="0.35">
      <c r="A295">
        <v>10294</v>
      </c>
      <c r="B295">
        <v>44</v>
      </c>
      <c r="C295" t="s">
        <v>9</v>
      </c>
      <c r="D295" t="s">
        <v>13</v>
      </c>
      <c r="E295" s="2">
        <v>45196</v>
      </c>
      <c r="F295" s="2">
        <v>46009</v>
      </c>
      <c r="G295">
        <v>1500</v>
      </c>
      <c r="H295" t="s">
        <v>15</v>
      </c>
      <c r="I295" t="s">
        <v>16</v>
      </c>
      <c r="J295">
        <f t="shared" si="17"/>
        <v>4500</v>
      </c>
      <c r="K295" t="str">
        <f t="shared" si="16"/>
        <v>35+</v>
      </c>
      <c r="L295" t="str">
        <f t="shared" ca="1" si="18"/>
        <v>Safe</v>
      </c>
      <c r="M295" t="str">
        <f t="shared" si="19"/>
        <v>Sep-2023</v>
      </c>
    </row>
    <row r="296" spans="1:13" x14ac:dyDescent="0.35">
      <c r="A296">
        <v>10295</v>
      </c>
      <c r="B296">
        <v>21</v>
      </c>
      <c r="C296" t="s">
        <v>10</v>
      </c>
      <c r="D296" t="s">
        <v>13</v>
      </c>
      <c r="E296" s="2">
        <v>45584</v>
      </c>
      <c r="F296" s="2">
        <v>45920</v>
      </c>
      <c r="G296">
        <v>1000</v>
      </c>
      <c r="H296" t="s">
        <v>14</v>
      </c>
      <c r="I296" t="s">
        <v>17</v>
      </c>
      <c r="J296">
        <f t="shared" si="17"/>
        <v>3000</v>
      </c>
      <c r="K296" t="str">
        <f t="shared" si="16"/>
        <v>18-24</v>
      </c>
      <c r="L296" t="str">
        <f t="shared" ca="1" si="18"/>
        <v>High Risk</v>
      </c>
      <c r="M296" t="str">
        <f t="shared" si="19"/>
        <v>Oct-2024</v>
      </c>
    </row>
    <row r="297" spans="1:13" x14ac:dyDescent="0.35">
      <c r="A297">
        <v>10296</v>
      </c>
      <c r="B297">
        <v>36</v>
      </c>
      <c r="C297" t="s">
        <v>9</v>
      </c>
      <c r="D297" t="s">
        <v>13</v>
      </c>
      <c r="E297" s="2">
        <v>45699</v>
      </c>
      <c r="F297" s="2">
        <v>46024</v>
      </c>
      <c r="G297">
        <v>1000</v>
      </c>
      <c r="H297" t="s">
        <v>14</v>
      </c>
      <c r="I297" t="s">
        <v>16</v>
      </c>
      <c r="J297">
        <f t="shared" si="17"/>
        <v>3000</v>
      </c>
      <c r="K297" t="str">
        <f t="shared" si="16"/>
        <v>35+</v>
      </c>
      <c r="L297" t="str">
        <f t="shared" ca="1" si="18"/>
        <v>Safe</v>
      </c>
      <c r="M297" t="str">
        <f t="shared" si="19"/>
        <v>Feb-2025</v>
      </c>
    </row>
    <row r="298" spans="1:13" x14ac:dyDescent="0.35">
      <c r="A298">
        <v>10297</v>
      </c>
      <c r="B298">
        <v>43</v>
      </c>
      <c r="C298" t="s">
        <v>9</v>
      </c>
      <c r="D298" t="s">
        <v>11</v>
      </c>
      <c r="E298" s="2">
        <v>45664</v>
      </c>
      <c r="F298" s="2">
        <v>45961</v>
      </c>
      <c r="G298">
        <v>1700</v>
      </c>
      <c r="H298" t="s">
        <v>15</v>
      </c>
      <c r="I298" t="s">
        <v>17</v>
      </c>
      <c r="J298">
        <f t="shared" si="17"/>
        <v>1700</v>
      </c>
      <c r="K298" t="str">
        <f t="shared" si="16"/>
        <v>35+</v>
      </c>
      <c r="L298" t="str">
        <f t="shared" ca="1" si="18"/>
        <v>High Risk</v>
      </c>
      <c r="M298" t="str">
        <f t="shared" si="19"/>
        <v>Jan-2025</v>
      </c>
    </row>
    <row r="299" spans="1:13" x14ac:dyDescent="0.35">
      <c r="A299">
        <v>10298</v>
      </c>
      <c r="B299">
        <v>20</v>
      </c>
      <c r="C299" t="s">
        <v>10</v>
      </c>
      <c r="D299" t="s">
        <v>13</v>
      </c>
      <c r="E299" s="2">
        <v>45661</v>
      </c>
      <c r="F299" s="2">
        <v>46017</v>
      </c>
      <c r="G299">
        <v>1500</v>
      </c>
      <c r="H299" t="s">
        <v>15</v>
      </c>
      <c r="I299" t="s">
        <v>16</v>
      </c>
      <c r="J299">
        <f t="shared" si="17"/>
        <v>4500</v>
      </c>
      <c r="K299" t="str">
        <f t="shared" si="16"/>
        <v>18-24</v>
      </c>
      <c r="L299" t="str">
        <f t="shared" ca="1" si="18"/>
        <v>Safe</v>
      </c>
      <c r="M299" t="str">
        <f t="shared" si="19"/>
        <v>Jan-2025</v>
      </c>
    </row>
    <row r="300" spans="1:13" x14ac:dyDescent="0.35">
      <c r="A300">
        <v>10299</v>
      </c>
      <c r="B300">
        <v>36</v>
      </c>
      <c r="C300" t="s">
        <v>9</v>
      </c>
      <c r="D300" t="s">
        <v>12</v>
      </c>
      <c r="E300" s="2">
        <v>45146</v>
      </c>
      <c r="F300" s="2">
        <v>46030</v>
      </c>
      <c r="G300">
        <v>800</v>
      </c>
      <c r="H300" t="s">
        <v>14</v>
      </c>
      <c r="I300" t="s">
        <v>16</v>
      </c>
      <c r="J300">
        <f t="shared" si="17"/>
        <v>9600</v>
      </c>
      <c r="K300" t="str">
        <f t="shared" si="16"/>
        <v>35+</v>
      </c>
      <c r="L300" t="str">
        <f t="shared" ca="1" si="18"/>
        <v>Safe</v>
      </c>
      <c r="M300" t="str">
        <f t="shared" si="19"/>
        <v>Aug-2023</v>
      </c>
    </row>
    <row r="301" spans="1:13" x14ac:dyDescent="0.35">
      <c r="A301">
        <v>10300</v>
      </c>
      <c r="B301">
        <v>37</v>
      </c>
      <c r="C301" t="s">
        <v>9</v>
      </c>
      <c r="D301" t="s">
        <v>13</v>
      </c>
      <c r="E301" s="2">
        <v>45250</v>
      </c>
      <c r="F301" s="2">
        <v>46015</v>
      </c>
      <c r="G301">
        <v>1500</v>
      </c>
      <c r="H301" t="s">
        <v>15</v>
      </c>
      <c r="I301" t="s">
        <v>16</v>
      </c>
      <c r="J301">
        <f t="shared" si="17"/>
        <v>4500</v>
      </c>
      <c r="K301" t="str">
        <f t="shared" si="16"/>
        <v>35+</v>
      </c>
      <c r="L301" t="str">
        <f t="shared" ca="1" si="18"/>
        <v>Safe</v>
      </c>
      <c r="M301" t="str">
        <f t="shared" si="19"/>
        <v>Nov-2023</v>
      </c>
    </row>
    <row r="302" spans="1:13" x14ac:dyDescent="0.35">
      <c r="A302">
        <v>10301</v>
      </c>
      <c r="B302">
        <v>24</v>
      </c>
      <c r="C302" t="s">
        <v>10</v>
      </c>
      <c r="D302" t="s">
        <v>12</v>
      </c>
      <c r="E302" s="2">
        <v>45688</v>
      </c>
      <c r="F302" s="2">
        <v>46021</v>
      </c>
      <c r="G302">
        <v>1300</v>
      </c>
      <c r="H302" t="s">
        <v>15</v>
      </c>
      <c r="I302" t="s">
        <v>16</v>
      </c>
      <c r="J302">
        <f t="shared" si="17"/>
        <v>15600</v>
      </c>
      <c r="K302" t="str">
        <f t="shared" si="16"/>
        <v>18-24</v>
      </c>
      <c r="L302" t="str">
        <f t="shared" ca="1" si="18"/>
        <v>Safe</v>
      </c>
      <c r="M302" t="str">
        <f t="shared" si="19"/>
        <v>Jan-2025</v>
      </c>
    </row>
    <row r="303" spans="1:13" x14ac:dyDescent="0.35">
      <c r="A303">
        <v>10302</v>
      </c>
      <c r="B303">
        <v>37</v>
      </c>
      <c r="C303" t="s">
        <v>9</v>
      </c>
      <c r="D303" t="s">
        <v>13</v>
      </c>
      <c r="E303" s="2">
        <v>45842</v>
      </c>
      <c r="F303" s="2">
        <v>46011</v>
      </c>
      <c r="G303">
        <v>1000</v>
      </c>
      <c r="H303" t="s">
        <v>14</v>
      </c>
      <c r="I303" t="s">
        <v>16</v>
      </c>
      <c r="J303">
        <f t="shared" si="17"/>
        <v>3000</v>
      </c>
      <c r="K303" t="str">
        <f t="shared" si="16"/>
        <v>35+</v>
      </c>
      <c r="L303" t="str">
        <f t="shared" ca="1" si="18"/>
        <v>Safe</v>
      </c>
      <c r="M303" t="str">
        <f t="shared" si="19"/>
        <v>Jul-2025</v>
      </c>
    </row>
    <row r="304" spans="1:13" x14ac:dyDescent="0.35">
      <c r="A304">
        <v>10303</v>
      </c>
      <c r="B304">
        <v>26</v>
      </c>
      <c r="C304" t="s">
        <v>9</v>
      </c>
      <c r="D304" t="s">
        <v>12</v>
      </c>
      <c r="E304" s="2">
        <v>45489</v>
      </c>
      <c r="F304" s="2">
        <v>46021</v>
      </c>
      <c r="G304">
        <v>1300</v>
      </c>
      <c r="H304" t="s">
        <v>15</v>
      </c>
      <c r="I304" t="s">
        <v>16</v>
      </c>
      <c r="J304">
        <f t="shared" si="17"/>
        <v>15600</v>
      </c>
      <c r="K304" t="str">
        <f t="shared" si="16"/>
        <v>25-34</v>
      </c>
      <c r="L304" t="str">
        <f t="shared" ca="1" si="18"/>
        <v>Safe</v>
      </c>
      <c r="M304" t="str">
        <f t="shared" si="19"/>
        <v>Jul-2024</v>
      </c>
    </row>
    <row r="305" spans="1:13" x14ac:dyDescent="0.35">
      <c r="A305">
        <v>10304</v>
      </c>
      <c r="B305">
        <v>18</v>
      </c>
      <c r="C305" t="s">
        <v>9</v>
      </c>
      <c r="D305" t="s">
        <v>12</v>
      </c>
      <c r="E305" s="2">
        <v>45719</v>
      </c>
      <c r="F305" s="2">
        <v>46030</v>
      </c>
      <c r="G305">
        <v>800</v>
      </c>
      <c r="H305" t="s">
        <v>14</v>
      </c>
      <c r="I305" t="s">
        <v>16</v>
      </c>
      <c r="J305">
        <f t="shared" si="17"/>
        <v>9600</v>
      </c>
      <c r="K305" t="str">
        <f t="shared" si="16"/>
        <v>18-24</v>
      </c>
      <c r="L305" t="str">
        <f t="shared" ca="1" si="18"/>
        <v>Safe</v>
      </c>
      <c r="M305" t="str">
        <f t="shared" si="19"/>
        <v>Mar-2025</v>
      </c>
    </row>
    <row r="306" spans="1:13" x14ac:dyDescent="0.35">
      <c r="A306">
        <v>10305</v>
      </c>
      <c r="B306">
        <v>25</v>
      </c>
      <c r="C306" t="s">
        <v>10</v>
      </c>
      <c r="D306" t="s">
        <v>11</v>
      </c>
      <c r="E306" s="2">
        <v>45830</v>
      </c>
      <c r="F306" s="2">
        <v>45916</v>
      </c>
      <c r="G306">
        <v>1700</v>
      </c>
      <c r="H306" t="s">
        <v>15</v>
      </c>
      <c r="I306" t="s">
        <v>17</v>
      </c>
      <c r="J306">
        <f t="shared" si="17"/>
        <v>1700</v>
      </c>
      <c r="K306" t="str">
        <f t="shared" si="16"/>
        <v>25-34</v>
      </c>
      <c r="L306" t="str">
        <f t="shared" ca="1" si="18"/>
        <v>High Risk</v>
      </c>
      <c r="M306" t="str">
        <f t="shared" si="19"/>
        <v>Jun-2025</v>
      </c>
    </row>
    <row r="307" spans="1:13" x14ac:dyDescent="0.35">
      <c r="A307">
        <v>10306</v>
      </c>
      <c r="B307">
        <v>24</v>
      </c>
      <c r="C307" t="s">
        <v>10</v>
      </c>
      <c r="D307" t="s">
        <v>12</v>
      </c>
      <c r="E307" s="2">
        <v>45178</v>
      </c>
      <c r="F307" s="2">
        <v>46015</v>
      </c>
      <c r="G307">
        <v>800</v>
      </c>
      <c r="H307" t="s">
        <v>14</v>
      </c>
      <c r="I307" t="s">
        <v>16</v>
      </c>
      <c r="J307">
        <f t="shared" si="17"/>
        <v>9600</v>
      </c>
      <c r="K307" t="str">
        <f t="shared" si="16"/>
        <v>18-24</v>
      </c>
      <c r="L307" t="str">
        <f t="shared" ca="1" si="18"/>
        <v>Safe</v>
      </c>
      <c r="M307" t="str">
        <f t="shared" si="19"/>
        <v>Sep-2023</v>
      </c>
    </row>
    <row r="308" spans="1:13" x14ac:dyDescent="0.35">
      <c r="A308">
        <v>10307</v>
      </c>
      <c r="B308">
        <v>35</v>
      </c>
      <c r="C308" t="s">
        <v>10</v>
      </c>
      <c r="D308" t="s">
        <v>11</v>
      </c>
      <c r="E308" s="2">
        <v>45728</v>
      </c>
      <c r="F308" s="2">
        <v>46025</v>
      </c>
      <c r="G308">
        <v>1200</v>
      </c>
      <c r="H308" t="s">
        <v>14</v>
      </c>
      <c r="I308" t="s">
        <v>16</v>
      </c>
      <c r="J308">
        <f t="shared" si="17"/>
        <v>1200</v>
      </c>
      <c r="K308" t="str">
        <f t="shared" si="16"/>
        <v>35+</v>
      </c>
      <c r="L308" t="str">
        <f t="shared" ca="1" si="18"/>
        <v>Safe</v>
      </c>
      <c r="M308" t="str">
        <f t="shared" si="19"/>
        <v>Mar-2025</v>
      </c>
    </row>
    <row r="309" spans="1:13" x14ac:dyDescent="0.35">
      <c r="A309">
        <v>10308</v>
      </c>
      <c r="B309">
        <v>25</v>
      </c>
      <c r="C309" t="s">
        <v>9</v>
      </c>
      <c r="D309" t="s">
        <v>12</v>
      </c>
      <c r="E309" s="2">
        <v>45835</v>
      </c>
      <c r="F309" s="2">
        <v>45995</v>
      </c>
      <c r="G309">
        <v>1300</v>
      </c>
      <c r="H309" t="s">
        <v>15</v>
      </c>
      <c r="I309" t="s">
        <v>17</v>
      </c>
      <c r="J309">
        <f t="shared" si="17"/>
        <v>15600</v>
      </c>
      <c r="K309" t="str">
        <f t="shared" si="16"/>
        <v>25-34</v>
      </c>
      <c r="L309" t="str">
        <f t="shared" ca="1" si="18"/>
        <v>High Risk</v>
      </c>
      <c r="M309" t="str">
        <f t="shared" si="19"/>
        <v>Jun-2025</v>
      </c>
    </row>
    <row r="310" spans="1:13" x14ac:dyDescent="0.35">
      <c r="A310">
        <v>10309</v>
      </c>
      <c r="B310">
        <v>18</v>
      </c>
      <c r="C310" t="s">
        <v>10</v>
      </c>
      <c r="D310" t="s">
        <v>13</v>
      </c>
      <c r="E310" s="2">
        <v>45769</v>
      </c>
      <c r="F310" s="2">
        <v>46008</v>
      </c>
      <c r="G310">
        <v>1000</v>
      </c>
      <c r="H310" t="s">
        <v>14</v>
      </c>
      <c r="I310" t="s">
        <v>16</v>
      </c>
      <c r="J310">
        <f t="shared" si="17"/>
        <v>3000</v>
      </c>
      <c r="K310" t="str">
        <f t="shared" si="16"/>
        <v>18-24</v>
      </c>
      <c r="L310" t="str">
        <f t="shared" ca="1" si="18"/>
        <v>Safe</v>
      </c>
      <c r="M310" t="str">
        <f t="shared" si="19"/>
        <v>Apr-2025</v>
      </c>
    </row>
    <row r="311" spans="1:13" x14ac:dyDescent="0.35">
      <c r="A311">
        <v>10310</v>
      </c>
      <c r="B311">
        <v>28</v>
      </c>
      <c r="C311" t="s">
        <v>10</v>
      </c>
      <c r="D311" t="s">
        <v>11</v>
      </c>
      <c r="E311" s="2">
        <v>45943</v>
      </c>
      <c r="F311" s="2">
        <v>46025</v>
      </c>
      <c r="G311">
        <v>1700</v>
      </c>
      <c r="H311" t="s">
        <v>15</v>
      </c>
      <c r="I311" t="s">
        <v>16</v>
      </c>
      <c r="J311">
        <f t="shared" si="17"/>
        <v>1700</v>
      </c>
      <c r="K311" t="str">
        <f t="shared" si="16"/>
        <v>25-34</v>
      </c>
      <c r="L311" t="str">
        <f t="shared" ca="1" si="18"/>
        <v>Safe</v>
      </c>
      <c r="M311" t="str">
        <f t="shared" si="19"/>
        <v>Oct-2025</v>
      </c>
    </row>
    <row r="312" spans="1:13" x14ac:dyDescent="0.35">
      <c r="A312">
        <v>10311</v>
      </c>
      <c r="B312">
        <v>45</v>
      </c>
      <c r="C312" t="s">
        <v>9</v>
      </c>
      <c r="D312" t="s">
        <v>13</v>
      </c>
      <c r="E312" s="2">
        <v>45227</v>
      </c>
      <c r="F312" s="2">
        <v>46021</v>
      </c>
      <c r="G312">
        <v>1000</v>
      </c>
      <c r="H312" t="s">
        <v>14</v>
      </c>
      <c r="I312" t="s">
        <v>16</v>
      </c>
      <c r="J312">
        <f t="shared" si="17"/>
        <v>3000</v>
      </c>
      <c r="K312" t="str">
        <f t="shared" si="16"/>
        <v>35+</v>
      </c>
      <c r="L312" t="str">
        <f t="shared" ca="1" si="18"/>
        <v>Safe</v>
      </c>
      <c r="M312" t="str">
        <f t="shared" si="19"/>
        <v>Oct-2023</v>
      </c>
    </row>
    <row r="313" spans="1:13" x14ac:dyDescent="0.35">
      <c r="A313">
        <v>10312</v>
      </c>
      <c r="B313">
        <v>42</v>
      </c>
      <c r="C313" t="s">
        <v>10</v>
      </c>
      <c r="D313" t="s">
        <v>12</v>
      </c>
      <c r="E313" s="2">
        <v>45840</v>
      </c>
      <c r="F313" s="2">
        <v>45957</v>
      </c>
      <c r="G313">
        <v>800</v>
      </c>
      <c r="H313" t="s">
        <v>14</v>
      </c>
      <c r="I313" t="s">
        <v>17</v>
      </c>
      <c r="J313">
        <f t="shared" si="17"/>
        <v>9600</v>
      </c>
      <c r="K313" t="str">
        <f t="shared" si="16"/>
        <v>35+</v>
      </c>
      <c r="L313" t="str">
        <f t="shared" ca="1" si="18"/>
        <v>High Risk</v>
      </c>
      <c r="M313" t="str">
        <f t="shared" si="19"/>
        <v>Jul-2025</v>
      </c>
    </row>
    <row r="314" spans="1:13" x14ac:dyDescent="0.35">
      <c r="A314">
        <v>10313</v>
      </c>
      <c r="B314">
        <v>42</v>
      </c>
      <c r="C314" t="s">
        <v>10</v>
      </c>
      <c r="D314" t="s">
        <v>11</v>
      </c>
      <c r="E314" s="2">
        <v>45389</v>
      </c>
      <c r="F314" s="2">
        <v>46024</v>
      </c>
      <c r="G314">
        <v>1200</v>
      </c>
      <c r="H314" t="s">
        <v>14</v>
      </c>
      <c r="I314" t="s">
        <v>16</v>
      </c>
      <c r="J314">
        <f t="shared" si="17"/>
        <v>1200</v>
      </c>
      <c r="K314" t="str">
        <f t="shared" si="16"/>
        <v>35+</v>
      </c>
      <c r="L314" t="str">
        <f t="shared" ca="1" si="18"/>
        <v>Safe</v>
      </c>
      <c r="M314" t="str">
        <f t="shared" si="19"/>
        <v>Apr-2024</v>
      </c>
    </row>
    <row r="315" spans="1:13" x14ac:dyDescent="0.35">
      <c r="A315">
        <v>10314</v>
      </c>
      <c r="B315">
        <v>35</v>
      </c>
      <c r="C315" t="s">
        <v>9</v>
      </c>
      <c r="D315" t="s">
        <v>13</v>
      </c>
      <c r="E315" s="2">
        <v>45142</v>
      </c>
      <c r="F315" s="2">
        <v>46020</v>
      </c>
      <c r="G315">
        <v>1000</v>
      </c>
      <c r="H315" t="s">
        <v>14</v>
      </c>
      <c r="I315" t="s">
        <v>16</v>
      </c>
      <c r="J315">
        <f t="shared" si="17"/>
        <v>3000</v>
      </c>
      <c r="K315" t="str">
        <f t="shared" si="16"/>
        <v>35+</v>
      </c>
      <c r="L315" t="str">
        <f t="shared" ca="1" si="18"/>
        <v>Safe</v>
      </c>
      <c r="M315" t="str">
        <f t="shared" si="19"/>
        <v>Aug-2023</v>
      </c>
    </row>
    <row r="316" spans="1:13" x14ac:dyDescent="0.35">
      <c r="A316">
        <v>10315</v>
      </c>
      <c r="B316">
        <v>40</v>
      </c>
      <c r="C316" t="s">
        <v>9</v>
      </c>
      <c r="D316" t="s">
        <v>13</v>
      </c>
      <c r="E316" s="2">
        <v>45273</v>
      </c>
      <c r="F316" s="2">
        <v>46015</v>
      </c>
      <c r="G316">
        <v>1500</v>
      </c>
      <c r="H316" t="s">
        <v>15</v>
      </c>
      <c r="I316" t="s">
        <v>16</v>
      </c>
      <c r="J316">
        <f t="shared" si="17"/>
        <v>4500</v>
      </c>
      <c r="K316" t="str">
        <f t="shared" si="16"/>
        <v>35+</v>
      </c>
      <c r="L316" t="str">
        <f t="shared" ca="1" si="18"/>
        <v>Safe</v>
      </c>
      <c r="M316" t="str">
        <f t="shared" si="19"/>
        <v>Dec-2023</v>
      </c>
    </row>
    <row r="317" spans="1:13" x14ac:dyDescent="0.35">
      <c r="A317">
        <v>10316</v>
      </c>
      <c r="B317">
        <v>27</v>
      </c>
      <c r="C317" t="s">
        <v>9</v>
      </c>
      <c r="D317" t="s">
        <v>12</v>
      </c>
      <c r="E317" s="2">
        <v>45208</v>
      </c>
      <c r="F317" s="2">
        <v>46028</v>
      </c>
      <c r="G317">
        <v>800</v>
      </c>
      <c r="H317" t="s">
        <v>14</v>
      </c>
      <c r="I317" t="s">
        <v>16</v>
      </c>
      <c r="J317">
        <f t="shared" si="17"/>
        <v>9600</v>
      </c>
      <c r="K317" t="str">
        <f t="shared" si="16"/>
        <v>25-34</v>
      </c>
      <c r="L317" t="str">
        <f t="shared" ca="1" si="18"/>
        <v>Safe</v>
      </c>
      <c r="M317" t="str">
        <f t="shared" si="19"/>
        <v>Oct-2023</v>
      </c>
    </row>
    <row r="318" spans="1:13" x14ac:dyDescent="0.35">
      <c r="A318">
        <v>10317</v>
      </c>
      <c r="B318">
        <v>20</v>
      </c>
      <c r="C318" t="s">
        <v>9</v>
      </c>
      <c r="D318" t="s">
        <v>11</v>
      </c>
      <c r="E318" s="2">
        <v>45185</v>
      </c>
      <c r="F318" s="2">
        <v>46024</v>
      </c>
      <c r="G318">
        <v>1200</v>
      </c>
      <c r="H318" t="s">
        <v>14</v>
      </c>
      <c r="I318" t="s">
        <v>16</v>
      </c>
      <c r="J318">
        <f t="shared" si="17"/>
        <v>1200</v>
      </c>
      <c r="K318" t="str">
        <f t="shared" si="16"/>
        <v>18-24</v>
      </c>
      <c r="L318" t="str">
        <f t="shared" ca="1" si="18"/>
        <v>Safe</v>
      </c>
      <c r="M318" t="str">
        <f t="shared" si="19"/>
        <v>Sep-2023</v>
      </c>
    </row>
    <row r="319" spans="1:13" x14ac:dyDescent="0.35">
      <c r="A319">
        <v>10318</v>
      </c>
      <c r="B319">
        <v>24</v>
      </c>
      <c r="C319" t="s">
        <v>9</v>
      </c>
      <c r="D319" t="s">
        <v>11</v>
      </c>
      <c r="E319" s="2">
        <v>45565</v>
      </c>
      <c r="F319" s="2">
        <v>46025</v>
      </c>
      <c r="G319">
        <v>1700</v>
      </c>
      <c r="H319" t="s">
        <v>15</v>
      </c>
      <c r="I319" t="s">
        <v>16</v>
      </c>
      <c r="J319">
        <f t="shared" si="17"/>
        <v>1700</v>
      </c>
      <c r="K319" t="str">
        <f t="shared" si="16"/>
        <v>18-24</v>
      </c>
      <c r="L319" t="str">
        <f t="shared" ca="1" si="18"/>
        <v>Safe</v>
      </c>
      <c r="M319" t="str">
        <f t="shared" si="19"/>
        <v>Sep-2024</v>
      </c>
    </row>
    <row r="320" spans="1:13" x14ac:dyDescent="0.35">
      <c r="A320">
        <v>10319</v>
      </c>
      <c r="B320">
        <v>45</v>
      </c>
      <c r="C320" t="s">
        <v>9</v>
      </c>
      <c r="D320" t="s">
        <v>11</v>
      </c>
      <c r="E320" s="2">
        <v>45486</v>
      </c>
      <c r="F320" s="2">
        <v>45925</v>
      </c>
      <c r="G320">
        <v>1200</v>
      </c>
      <c r="H320" t="s">
        <v>14</v>
      </c>
      <c r="I320" t="s">
        <v>17</v>
      </c>
      <c r="J320">
        <f t="shared" si="17"/>
        <v>1200</v>
      </c>
      <c r="K320" t="str">
        <f t="shared" si="16"/>
        <v>35+</v>
      </c>
      <c r="L320" t="str">
        <f t="shared" ca="1" si="18"/>
        <v>High Risk</v>
      </c>
      <c r="M320" t="str">
        <f t="shared" si="19"/>
        <v>Jul-2024</v>
      </c>
    </row>
    <row r="321" spans="1:13" x14ac:dyDescent="0.35">
      <c r="A321">
        <v>10320</v>
      </c>
      <c r="B321">
        <v>33</v>
      </c>
      <c r="C321" t="s">
        <v>10</v>
      </c>
      <c r="D321" t="s">
        <v>13</v>
      </c>
      <c r="E321" s="2">
        <v>45476</v>
      </c>
      <c r="F321" s="2">
        <v>46020</v>
      </c>
      <c r="G321">
        <v>1500</v>
      </c>
      <c r="H321" t="s">
        <v>15</v>
      </c>
      <c r="I321" t="s">
        <v>16</v>
      </c>
      <c r="J321">
        <f t="shared" si="17"/>
        <v>4500</v>
      </c>
      <c r="K321" t="str">
        <f t="shared" si="16"/>
        <v>25-34</v>
      </c>
      <c r="L321" t="str">
        <f t="shared" ca="1" si="18"/>
        <v>Safe</v>
      </c>
      <c r="M321" t="str">
        <f t="shared" si="19"/>
        <v>Jul-2024</v>
      </c>
    </row>
    <row r="322" spans="1:13" x14ac:dyDescent="0.35">
      <c r="A322">
        <v>10321</v>
      </c>
      <c r="B322">
        <v>43</v>
      </c>
      <c r="C322" t="s">
        <v>10</v>
      </c>
      <c r="D322" t="s">
        <v>13</v>
      </c>
      <c r="E322" s="2">
        <v>45943</v>
      </c>
      <c r="F322" s="2">
        <v>46026</v>
      </c>
      <c r="G322">
        <v>1000</v>
      </c>
      <c r="H322" t="s">
        <v>14</v>
      </c>
      <c r="I322" t="s">
        <v>16</v>
      </c>
      <c r="J322">
        <f t="shared" si="17"/>
        <v>3000</v>
      </c>
      <c r="K322" t="str">
        <f t="shared" ref="K322:K385" si="20">IF(B322&lt;25,"18-24",IF(B322&lt;35,"25-34","35+"))</f>
        <v>35+</v>
      </c>
      <c r="L322" t="str">
        <f t="shared" ca="1" si="18"/>
        <v>Safe</v>
      </c>
      <c r="M322" t="str">
        <f t="shared" si="19"/>
        <v>Oct-2025</v>
      </c>
    </row>
    <row r="323" spans="1:13" x14ac:dyDescent="0.35">
      <c r="A323">
        <v>10322</v>
      </c>
      <c r="B323">
        <v>33</v>
      </c>
      <c r="C323" t="s">
        <v>10</v>
      </c>
      <c r="D323" t="s">
        <v>12</v>
      </c>
      <c r="E323" s="2">
        <v>45347</v>
      </c>
      <c r="F323" s="2">
        <v>46023</v>
      </c>
      <c r="G323">
        <v>1300</v>
      </c>
      <c r="H323" t="s">
        <v>15</v>
      </c>
      <c r="I323" t="s">
        <v>16</v>
      </c>
      <c r="J323">
        <f t="shared" ref="J323:J386" si="21">IF(D323="Monthly",G323,IF(D323="Quarterly",G323*3,G323*12))</f>
        <v>15600</v>
      </c>
      <c r="K323" t="str">
        <f t="shared" si="20"/>
        <v>25-34</v>
      </c>
      <c r="L323" t="str">
        <f t="shared" ref="L323:L386" ca="1" si="22">IF(F323&lt;TODAY()-30,"High Risk","Safe")</f>
        <v>Safe</v>
      </c>
      <c r="M323" t="str">
        <f t="shared" ref="M323:M386" si="23">TEXT(E323,"mmm-yyyy")</f>
        <v>Feb-2024</v>
      </c>
    </row>
    <row r="324" spans="1:13" x14ac:dyDescent="0.35">
      <c r="A324">
        <v>10323</v>
      </c>
      <c r="B324">
        <v>42</v>
      </c>
      <c r="C324" t="s">
        <v>9</v>
      </c>
      <c r="D324" t="s">
        <v>11</v>
      </c>
      <c r="E324" s="2">
        <v>45478</v>
      </c>
      <c r="F324" s="2">
        <v>46020</v>
      </c>
      <c r="G324">
        <v>1200</v>
      </c>
      <c r="H324" t="s">
        <v>14</v>
      </c>
      <c r="I324" t="s">
        <v>16</v>
      </c>
      <c r="J324">
        <f t="shared" si="21"/>
        <v>1200</v>
      </c>
      <c r="K324" t="str">
        <f t="shared" si="20"/>
        <v>35+</v>
      </c>
      <c r="L324" t="str">
        <f t="shared" ca="1" si="22"/>
        <v>Safe</v>
      </c>
      <c r="M324" t="str">
        <f t="shared" si="23"/>
        <v>Jul-2024</v>
      </c>
    </row>
    <row r="325" spans="1:13" x14ac:dyDescent="0.35">
      <c r="A325">
        <v>10324</v>
      </c>
      <c r="B325">
        <v>37</v>
      </c>
      <c r="C325" t="s">
        <v>9</v>
      </c>
      <c r="D325" t="s">
        <v>13</v>
      </c>
      <c r="E325" s="2">
        <v>45585</v>
      </c>
      <c r="F325" s="2">
        <v>46019</v>
      </c>
      <c r="G325">
        <v>1500</v>
      </c>
      <c r="H325" t="s">
        <v>15</v>
      </c>
      <c r="I325" t="s">
        <v>16</v>
      </c>
      <c r="J325">
        <f t="shared" si="21"/>
        <v>4500</v>
      </c>
      <c r="K325" t="str">
        <f t="shared" si="20"/>
        <v>35+</v>
      </c>
      <c r="L325" t="str">
        <f t="shared" ca="1" si="22"/>
        <v>Safe</v>
      </c>
      <c r="M325" t="str">
        <f t="shared" si="23"/>
        <v>Oct-2024</v>
      </c>
    </row>
    <row r="326" spans="1:13" x14ac:dyDescent="0.35">
      <c r="A326">
        <v>10325</v>
      </c>
      <c r="B326">
        <v>45</v>
      </c>
      <c r="C326" t="s">
        <v>9</v>
      </c>
      <c r="D326" t="s">
        <v>11</v>
      </c>
      <c r="E326" s="2">
        <v>45207</v>
      </c>
      <c r="F326" s="2">
        <v>45957</v>
      </c>
      <c r="G326">
        <v>1700</v>
      </c>
      <c r="H326" t="s">
        <v>15</v>
      </c>
      <c r="I326" t="s">
        <v>17</v>
      </c>
      <c r="J326">
        <f t="shared" si="21"/>
        <v>1700</v>
      </c>
      <c r="K326" t="str">
        <f t="shared" si="20"/>
        <v>35+</v>
      </c>
      <c r="L326" t="str">
        <f t="shared" ca="1" si="22"/>
        <v>High Risk</v>
      </c>
      <c r="M326" t="str">
        <f t="shared" si="23"/>
        <v>Oct-2023</v>
      </c>
    </row>
    <row r="327" spans="1:13" x14ac:dyDescent="0.35">
      <c r="A327">
        <v>10326</v>
      </c>
      <c r="B327">
        <v>34</v>
      </c>
      <c r="C327" t="s">
        <v>9</v>
      </c>
      <c r="D327" t="s">
        <v>11</v>
      </c>
      <c r="E327" s="2">
        <v>45884</v>
      </c>
      <c r="F327" s="2">
        <v>46023</v>
      </c>
      <c r="G327">
        <v>1200</v>
      </c>
      <c r="H327" t="s">
        <v>14</v>
      </c>
      <c r="I327" t="s">
        <v>16</v>
      </c>
      <c r="J327">
        <f t="shared" si="21"/>
        <v>1200</v>
      </c>
      <c r="K327" t="str">
        <f t="shared" si="20"/>
        <v>25-34</v>
      </c>
      <c r="L327" t="str">
        <f t="shared" ca="1" si="22"/>
        <v>Safe</v>
      </c>
      <c r="M327" t="str">
        <f t="shared" si="23"/>
        <v>Aug-2025</v>
      </c>
    </row>
    <row r="328" spans="1:13" x14ac:dyDescent="0.35">
      <c r="A328">
        <v>10327</v>
      </c>
      <c r="B328">
        <v>19</v>
      </c>
      <c r="C328" t="s">
        <v>10</v>
      </c>
      <c r="D328" t="s">
        <v>13</v>
      </c>
      <c r="E328" s="2">
        <v>45278</v>
      </c>
      <c r="F328" s="2">
        <v>46032</v>
      </c>
      <c r="G328">
        <v>1000</v>
      </c>
      <c r="H328" t="s">
        <v>14</v>
      </c>
      <c r="I328" t="s">
        <v>16</v>
      </c>
      <c r="J328">
        <f t="shared" si="21"/>
        <v>3000</v>
      </c>
      <c r="K328" t="str">
        <f t="shared" si="20"/>
        <v>18-24</v>
      </c>
      <c r="L328" t="str">
        <f t="shared" ca="1" si="22"/>
        <v>Safe</v>
      </c>
      <c r="M328" t="str">
        <f t="shared" si="23"/>
        <v>Dec-2023</v>
      </c>
    </row>
    <row r="329" spans="1:13" x14ac:dyDescent="0.35">
      <c r="A329">
        <v>10328</v>
      </c>
      <c r="B329">
        <v>18</v>
      </c>
      <c r="C329" t="s">
        <v>10</v>
      </c>
      <c r="D329" t="s">
        <v>13</v>
      </c>
      <c r="E329" s="2">
        <v>45495</v>
      </c>
      <c r="F329" s="2">
        <v>46013</v>
      </c>
      <c r="G329">
        <v>1000</v>
      </c>
      <c r="H329" t="s">
        <v>14</v>
      </c>
      <c r="I329" t="s">
        <v>16</v>
      </c>
      <c r="J329">
        <f t="shared" si="21"/>
        <v>3000</v>
      </c>
      <c r="K329" t="str">
        <f t="shared" si="20"/>
        <v>18-24</v>
      </c>
      <c r="L329" t="str">
        <f t="shared" ca="1" si="22"/>
        <v>Safe</v>
      </c>
      <c r="M329" t="str">
        <f t="shared" si="23"/>
        <v>Jul-2024</v>
      </c>
    </row>
    <row r="330" spans="1:13" x14ac:dyDescent="0.35">
      <c r="A330">
        <v>10329</v>
      </c>
      <c r="B330">
        <v>33</v>
      </c>
      <c r="C330" t="s">
        <v>9</v>
      </c>
      <c r="D330" t="s">
        <v>13</v>
      </c>
      <c r="E330" s="2">
        <v>45941</v>
      </c>
      <c r="F330" s="2">
        <v>46031</v>
      </c>
      <c r="G330">
        <v>1500</v>
      </c>
      <c r="H330" t="s">
        <v>15</v>
      </c>
      <c r="I330" t="s">
        <v>16</v>
      </c>
      <c r="J330">
        <f t="shared" si="21"/>
        <v>4500</v>
      </c>
      <c r="K330" t="str">
        <f t="shared" si="20"/>
        <v>25-34</v>
      </c>
      <c r="L330" t="str">
        <f t="shared" ca="1" si="22"/>
        <v>Safe</v>
      </c>
      <c r="M330" t="str">
        <f t="shared" si="23"/>
        <v>Oct-2025</v>
      </c>
    </row>
    <row r="331" spans="1:13" x14ac:dyDescent="0.35">
      <c r="A331">
        <v>10330</v>
      </c>
      <c r="B331">
        <v>29</v>
      </c>
      <c r="C331" t="s">
        <v>10</v>
      </c>
      <c r="D331" t="s">
        <v>12</v>
      </c>
      <c r="E331" s="2">
        <v>45708</v>
      </c>
      <c r="F331" s="2">
        <v>46030</v>
      </c>
      <c r="G331">
        <v>1300</v>
      </c>
      <c r="H331" t="s">
        <v>15</v>
      </c>
      <c r="I331" t="s">
        <v>16</v>
      </c>
      <c r="J331">
        <f t="shared" si="21"/>
        <v>15600</v>
      </c>
      <c r="K331" t="str">
        <f t="shared" si="20"/>
        <v>25-34</v>
      </c>
      <c r="L331" t="str">
        <f t="shared" ca="1" si="22"/>
        <v>Safe</v>
      </c>
      <c r="M331" t="str">
        <f t="shared" si="23"/>
        <v>Feb-2025</v>
      </c>
    </row>
    <row r="332" spans="1:13" x14ac:dyDescent="0.35">
      <c r="A332">
        <v>10331</v>
      </c>
      <c r="B332">
        <v>22</v>
      </c>
      <c r="C332" t="s">
        <v>10</v>
      </c>
      <c r="D332" t="s">
        <v>13</v>
      </c>
      <c r="E332" s="2">
        <v>45226</v>
      </c>
      <c r="F332" s="2">
        <v>46024</v>
      </c>
      <c r="G332">
        <v>1000</v>
      </c>
      <c r="H332" t="s">
        <v>14</v>
      </c>
      <c r="I332" t="s">
        <v>16</v>
      </c>
      <c r="J332">
        <f t="shared" si="21"/>
        <v>3000</v>
      </c>
      <c r="K332" t="str">
        <f t="shared" si="20"/>
        <v>18-24</v>
      </c>
      <c r="L332" t="str">
        <f t="shared" ca="1" si="22"/>
        <v>Safe</v>
      </c>
      <c r="M332" t="str">
        <f t="shared" si="23"/>
        <v>Oct-2023</v>
      </c>
    </row>
    <row r="333" spans="1:13" x14ac:dyDescent="0.35">
      <c r="A333">
        <v>10332</v>
      </c>
      <c r="B333">
        <v>22</v>
      </c>
      <c r="C333" t="s">
        <v>9</v>
      </c>
      <c r="D333" t="s">
        <v>12</v>
      </c>
      <c r="E333" s="2">
        <v>45389</v>
      </c>
      <c r="F333" s="2">
        <v>46016</v>
      </c>
      <c r="G333">
        <v>800</v>
      </c>
      <c r="H333" t="s">
        <v>14</v>
      </c>
      <c r="I333" t="s">
        <v>16</v>
      </c>
      <c r="J333">
        <f t="shared" si="21"/>
        <v>9600</v>
      </c>
      <c r="K333" t="str">
        <f t="shared" si="20"/>
        <v>18-24</v>
      </c>
      <c r="L333" t="str">
        <f t="shared" ca="1" si="22"/>
        <v>Safe</v>
      </c>
      <c r="M333" t="str">
        <f t="shared" si="23"/>
        <v>Apr-2024</v>
      </c>
    </row>
    <row r="334" spans="1:13" x14ac:dyDescent="0.35">
      <c r="A334">
        <v>10333</v>
      </c>
      <c r="B334">
        <v>44</v>
      </c>
      <c r="C334" t="s">
        <v>10</v>
      </c>
      <c r="D334" t="s">
        <v>12</v>
      </c>
      <c r="E334" s="2">
        <v>45501</v>
      </c>
      <c r="F334" s="2">
        <v>46030</v>
      </c>
      <c r="G334">
        <v>1300</v>
      </c>
      <c r="H334" t="s">
        <v>15</v>
      </c>
      <c r="I334" t="s">
        <v>16</v>
      </c>
      <c r="J334">
        <f t="shared" si="21"/>
        <v>15600</v>
      </c>
      <c r="K334" t="str">
        <f t="shared" si="20"/>
        <v>35+</v>
      </c>
      <c r="L334" t="str">
        <f t="shared" ca="1" si="22"/>
        <v>Safe</v>
      </c>
      <c r="M334" t="str">
        <f t="shared" si="23"/>
        <v>Jul-2024</v>
      </c>
    </row>
    <row r="335" spans="1:13" x14ac:dyDescent="0.35">
      <c r="A335">
        <v>10334</v>
      </c>
      <c r="B335">
        <v>40</v>
      </c>
      <c r="C335" t="s">
        <v>9</v>
      </c>
      <c r="D335" t="s">
        <v>13</v>
      </c>
      <c r="E335" s="2">
        <v>45184</v>
      </c>
      <c r="F335" s="2">
        <v>46016</v>
      </c>
      <c r="G335">
        <v>1000</v>
      </c>
      <c r="H335" t="s">
        <v>14</v>
      </c>
      <c r="I335" t="s">
        <v>16</v>
      </c>
      <c r="J335">
        <f t="shared" si="21"/>
        <v>3000</v>
      </c>
      <c r="K335" t="str">
        <f t="shared" si="20"/>
        <v>35+</v>
      </c>
      <c r="L335" t="str">
        <f t="shared" ca="1" si="22"/>
        <v>Safe</v>
      </c>
      <c r="M335" t="str">
        <f t="shared" si="23"/>
        <v>Sep-2023</v>
      </c>
    </row>
    <row r="336" spans="1:13" x14ac:dyDescent="0.35">
      <c r="A336">
        <v>10335</v>
      </c>
      <c r="B336">
        <v>26</v>
      </c>
      <c r="C336" t="s">
        <v>9</v>
      </c>
      <c r="D336" t="s">
        <v>12</v>
      </c>
      <c r="E336" s="2">
        <v>45520</v>
      </c>
      <c r="F336" s="2">
        <v>46026</v>
      </c>
      <c r="G336">
        <v>800</v>
      </c>
      <c r="H336" t="s">
        <v>14</v>
      </c>
      <c r="I336" t="s">
        <v>16</v>
      </c>
      <c r="J336">
        <f t="shared" si="21"/>
        <v>9600</v>
      </c>
      <c r="K336" t="str">
        <f t="shared" si="20"/>
        <v>25-34</v>
      </c>
      <c r="L336" t="str">
        <f t="shared" ca="1" si="22"/>
        <v>Safe</v>
      </c>
      <c r="M336" t="str">
        <f t="shared" si="23"/>
        <v>Aug-2024</v>
      </c>
    </row>
    <row r="337" spans="1:13" x14ac:dyDescent="0.35">
      <c r="A337">
        <v>10336</v>
      </c>
      <c r="B337">
        <v>26</v>
      </c>
      <c r="C337" t="s">
        <v>9</v>
      </c>
      <c r="D337" t="s">
        <v>13</v>
      </c>
      <c r="E337" s="2">
        <v>45880</v>
      </c>
      <c r="F337" s="2">
        <v>46031</v>
      </c>
      <c r="G337">
        <v>1000</v>
      </c>
      <c r="H337" t="s">
        <v>14</v>
      </c>
      <c r="I337" t="s">
        <v>16</v>
      </c>
      <c r="J337">
        <f t="shared" si="21"/>
        <v>3000</v>
      </c>
      <c r="K337" t="str">
        <f t="shared" si="20"/>
        <v>25-34</v>
      </c>
      <c r="L337" t="str">
        <f t="shared" ca="1" si="22"/>
        <v>Safe</v>
      </c>
      <c r="M337" t="str">
        <f t="shared" si="23"/>
        <v>Aug-2025</v>
      </c>
    </row>
    <row r="338" spans="1:13" x14ac:dyDescent="0.35">
      <c r="A338">
        <v>10337</v>
      </c>
      <c r="B338">
        <v>20</v>
      </c>
      <c r="C338" t="s">
        <v>9</v>
      </c>
      <c r="D338" t="s">
        <v>11</v>
      </c>
      <c r="E338" s="2">
        <v>45225</v>
      </c>
      <c r="F338" s="2">
        <v>46001</v>
      </c>
      <c r="G338">
        <v>1200</v>
      </c>
      <c r="H338" t="s">
        <v>14</v>
      </c>
      <c r="I338" t="s">
        <v>17</v>
      </c>
      <c r="J338">
        <f t="shared" si="21"/>
        <v>1200</v>
      </c>
      <c r="K338" t="str">
        <f t="shared" si="20"/>
        <v>18-24</v>
      </c>
      <c r="L338" t="str">
        <f t="shared" ca="1" si="22"/>
        <v>High Risk</v>
      </c>
      <c r="M338" t="str">
        <f t="shared" si="23"/>
        <v>Oct-2023</v>
      </c>
    </row>
    <row r="339" spans="1:13" x14ac:dyDescent="0.35">
      <c r="A339">
        <v>10338</v>
      </c>
      <c r="B339">
        <v>36</v>
      </c>
      <c r="C339" t="s">
        <v>9</v>
      </c>
      <c r="D339" t="s">
        <v>13</v>
      </c>
      <c r="E339" s="2">
        <v>45687</v>
      </c>
      <c r="F339" s="2">
        <v>46016</v>
      </c>
      <c r="G339">
        <v>1000</v>
      </c>
      <c r="H339" t="s">
        <v>14</v>
      </c>
      <c r="I339" t="s">
        <v>16</v>
      </c>
      <c r="J339">
        <f t="shared" si="21"/>
        <v>3000</v>
      </c>
      <c r="K339" t="str">
        <f t="shared" si="20"/>
        <v>35+</v>
      </c>
      <c r="L339" t="str">
        <f t="shared" ca="1" si="22"/>
        <v>Safe</v>
      </c>
      <c r="M339" t="str">
        <f t="shared" si="23"/>
        <v>Jan-2025</v>
      </c>
    </row>
    <row r="340" spans="1:13" x14ac:dyDescent="0.35">
      <c r="A340">
        <v>10339</v>
      </c>
      <c r="B340">
        <v>33</v>
      </c>
      <c r="C340" t="s">
        <v>9</v>
      </c>
      <c r="D340" t="s">
        <v>11</v>
      </c>
      <c r="E340" s="2">
        <v>45438</v>
      </c>
      <c r="F340" s="2">
        <v>46012</v>
      </c>
      <c r="G340">
        <v>1700</v>
      </c>
      <c r="H340" t="s">
        <v>15</v>
      </c>
      <c r="I340" t="s">
        <v>16</v>
      </c>
      <c r="J340">
        <f t="shared" si="21"/>
        <v>1700</v>
      </c>
      <c r="K340" t="str">
        <f t="shared" si="20"/>
        <v>25-34</v>
      </c>
      <c r="L340" t="str">
        <f t="shared" ca="1" si="22"/>
        <v>Safe</v>
      </c>
      <c r="M340" t="str">
        <f t="shared" si="23"/>
        <v>May-2024</v>
      </c>
    </row>
    <row r="341" spans="1:13" x14ac:dyDescent="0.35">
      <c r="A341">
        <v>10340</v>
      </c>
      <c r="B341">
        <v>33</v>
      </c>
      <c r="C341" t="s">
        <v>9</v>
      </c>
      <c r="D341" t="s">
        <v>13</v>
      </c>
      <c r="E341" s="2">
        <v>45550</v>
      </c>
      <c r="F341" s="2">
        <v>45931</v>
      </c>
      <c r="G341">
        <v>1500</v>
      </c>
      <c r="H341" t="s">
        <v>15</v>
      </c>
      <c r="I341" t="s">
        <v>17</v>
      </c>
      <c r="J341">
        <f t="shared" si="21"/>
        <v>4500</v>
      </c>
      <c r="K341" t="str">
        <f t="shared" si="20"/>
        <v>25-34</v>
      </c>
      <c r="L341" t="str">
        <f t="shared" ca="1" si="22"/>
        <v>High Risk</v>
      </c>
      <c r="M341" t="str">
        <f t="shared" si="23"/>
        <v>Sep-2024</v>
      </c>
    </row>
    <row r="342" spans="1:13" x14ac:dyDescent="0.35">
      <c r="A342">
        <v>10341</v>
      </c>
      <c r="B342">
        <v>20</v>
      </c>
      <c r="C342" t="s">
        <v>9</v>
      </c>
      <c r="D342" t="s">
        <v>13</v>
      </c>
      <c r="E342" s="2">
        <v>45452</v>
      </c>
      <c r="F342" s="2">
        <v>46027</v>
      </c>
      <c r="G342">
        <v>1000</v>
      </c>
      <c r="H342" t="s">
        <v>14</v>
      </c>
      <c r="I342" t="s">
        <v>16</v>
      </c>
      <c r="J342">
        <f t="shared" si="21"/>
        <v>3000</v>
      </c>
      <c r="K342" t="str">
        <f t="shared" si="20"/>
        <v>18-24</v>
      </c>
      <c r="L342" t="str">
        <f t="shared" ca="1" si="22"/>
        <v>Safe</v>
      </c>
      <c r="M342" t="str">
        <f t="shared" si="23"/>
        <v>Jun-2024</v>
      </c>
    </row>
    <row r="343" spans="1:13" x14ac:dyDescent="0.35">
      <c r="A343">
        <v>10342</v>
      </c>
      <c r="B343">
        <v>37</v>
      </c>
      <c r="C343" t="s">
        <v>9</v>
      </c>
      <c r="D343" t="s">
        <v>11</v>
      </c>
      <c r="E343" s="2">
        <v>45750</v>
      </c>
      <c r="F343" s="2">
        <v>45923</v>
      </c>
      <c r="G343">
        <v>1200</v>
      </c>
      <c r="H343" t="s">
        <v>14</v>
      </c>
      <c r="I343" t="s">
        <v>17</v>
      </c>
      <c r="J343">
        <f t="shared" si="21"/>
        <v>1200</v>
      </c>
      <c r="K343" t="str">
        <f t="shared" si="20"/>
        <v>35+</v>
      </c>
      <c r="L343" t="str">
        <f t="shared" ca="1" si="22"/>
        <v>High Risk</v>
      </c>
      <c r="M343" t="str">
        <f t="shared" si="23"/>
        <v>Apr-2025</v>
      </c>
    </row>
    <row r="344" spans="1:13" x14ac:dyDescent="0.35">
      <c r="A344">
        <v>10343</v>
      </c>
      <c r="B344">
        <v>41</v>
      </c>
      <c r="C344" t="s">
        <v>9</v>
      </c>
      <c r="D344" t="s">
        <v>11</v>
      </c>
      <c r="E344" s="2">
        <v>45936</v>
      </c>
      <c r="F344" s="2">
        <v>46022</v>
      </c>
      <c r="G344">
        <v>1200</v>
      </c>
      <c r="H344" t="s">
        <v>14</v>
      </c>
      <c r="I344" t="s">
        <v>16</v>
      </c>
      <c r="J344">
        <f t="shared" si="21"/>
        <v>1200</v>
      </c>
      <c r="K344" t="str">
        <f t="shared" si="20"/>
        <v>35+</v>
      </c>
      <c r="L344" t="str">
        <f t="shared" ca="1" si="22"/>
        <v>Safe</v>
      </c>
      <c r="M344" t="str">
        <f t="shared" si="23"/>
        <v>Oct-2025</v>
      </c>
    </row>
    <row r="345" spans="1:13" x14ac:dyDescent="0.35">
      <c r="A345">
        <v>10344</v>
      </c>
      <c r="B345">
        <v>39</v>
      </c>
      <c r="C345" t="s">
        <v>9</v>
      </c>
      <c r="D345" t="s">
        <v>12</v>
      </c>
      <c r="E345" s="2">
        <v>45529</v>
      </c>
      <c r="F345" s="2">
        <v>46016</v>
      </c>
      <c r="G345">
        <v>800</v>
      </c>
      <c r="H345" t="s">
        <v>14</v>
      </c>
      <c r="I345" t="s">
        <v>16</v>
      </c>
      <c r="J345">
        <f t="shared" si="21"/>
        <v>9600</v>
      </c>
      <c r="K345" t="str">
        <f t="shared" si="20"/>
        <v>35+</v>
      </c>
      <c r="L345" t="str">
        <f t="shared" ca="1" si="22"/>
        <v>Safe</v>
      </c>
      <c r="M345" t="str">
        <f t="shared" si="23"/>
        <v>Aug-2024</v>
      </c>
    </row>
    <row r="346" spans="1:13" x14ac:dyDescent="0.35">
      <c r="A346">
        <v>10345</v>
      </c>
      <c r="B346">
        <v>41</v>
      </c>
      <c r="C346" t="s">
        <v>9</v>
      </c>
      <c r="D346" t="s">
        <v>13</v>
      </c>
      <c r="E346" s="2">
        <v>45783</v>
      </c>
      <c r="F346" s="2">
        <v>46018</v>
      </c>
      <c r="G346">
        <v>1000</v>
      </c>
      <c r="H346" t="s">
        <v>14</v>
      </c>
      <c r="I346" t="s">
        <v>16</v>
      </c>
      <c r="J346">
        <f t="shared" si="21"/>
        <v>3000</v>
      </c>
      <c r="K346" t="str">
        <f t="shared" si="20"/>
        <v>35+</v>
      </c>
      <c r="L346" t="str">
        <f t="shared" ca="1" si="22"/>
        <v>Safe</v>
      </c>
      <c r="M346" t="str">
        <f t="shared" si="23"/>
        <v>May-2025</v>
      </c>
    </row>
    <row r="347" spans="1:13" x14ac:dyDescent="0.35">
      <c r="A347">
        <v>10346</v>
      </c>
      <c r="B347">
        <v>18</v>
      </c>
      <c r="C347" t="s">
        <v>9</v>
      </c>
      <c r="D347" t="s">
        <v>11</v>
      </c>
      <c r="E347" s="2">
        <v>45165</v>
      </c>
      <c r="F347" s="2">
        <v>46016</v>
      </c>
      <c r="G347">
        <v>1200</v>
      </c>
      <c r="H347" t="s">
        <v>14</v>
      </c>
      <c r="I347" t="s">
        <v>16</v>
      </c>
      <c r="J347">
        <f t="shared" si="21"/>
        <v>1200</v>
      </c>
      <c r="K347" t="str">
        <f t="shared" si="20"/>
        <v>18-24</v>
      </c>
      <c r="L347" t="str">
        <f t="shared" ca="1" si="22"/>
        <v>Safe</v>
      </c>
      <c r="M347" t="str">
        <f t="shared" si="23"/>
        <v>Aug-2023</v>
      </c>
    </row>
    <row r="348" spans="1:13" x14ac:dyDescent="0.35">
      <c r="A348">
        <v>10347</v>
      </c>
      <c r="B348">
        <v>41</v>
      </c>
      <c r="C348" t="s">
        <v>9</v>
      </c>
      <c r="D348" t="s">
        <v>13</v>
      </c>
      <c r="E348" s="2">
        <v>45718</v>
      </c>
      <c r="F348" s="2">
        <v>46008</v>
      </c>
      <c r="G348">
        <v>1500</v>
      </c>
      <c r="H348" t="s">
        <v>15</v>
      </c>
      <c r="I348" t="s">
        <v>16</v>
      </c>
      <c r="J348">
        <f t="shared" si="21"/>
        <v>4500</v>
      </c>
      <c r="K348" t="str">
        <f t="shared" si="20"/>
        <v>35+</v>
      </c>
      <c r="L348" t="str">
        <f t="shared" ca="1" si="22"/>
        <v>Safe</v>
      </c>
      <c r="M348" t="str">
        <f t="shared" si="23"/>
        <v>Mar-2025</v>
      </c>
    </row>
    <row r="349" spans="1:13" x14ac:dyDescent="0.35">
      <c r="A349">
        <v>10348</v>
      </c>
      <c r="B349">
        <v>37</v>
      </c>
      <c r="C349" t="s">
        <v>9</v>
      </c>
      <c r="D349" t="s">
        <v>13</v>
      </c>
      <c r="E349" s="2">
        <v>45393</v>
      </c>
      <c r="F349" s="2">
        <v>45938</v>
      </c>
      <c r="G349">
        <v>1500</v>
      </c>
      <c r="H349" t="s">
        <v>15</v>
      </c>
      <c r="I349" t="s">
        <v>17</v>
      </c>
      <c r="J349">
        <f t="shared" si="21"/>
        <v>4500</v>
      </c>
      <c r="K349" t="str">
        <f t="shared" si="20"/>
        <v>35+</v>
      </c>
      <c r="L349" t="str">
        <f t="shared" ca="1" si="22"/>
        <v>High Risk</v>
      </c>
      <c r="M349" t="str">
        <f t="shared" si="23"/>
        <v>Apr-2024</v>
      </c>
    </row>
    <row r="350" spans="1:13" x14ac:dyDescent="0.35">
      <c r="A350">
        <v>10349</v>
      </c>
      <c r="B350">
        <v>28</v>
      </c>
      <c r="C350" t="s">
        <v>9</v>
      </c>
      <c r="D350" t="s">
        <v>13</v>
      </c>
      <c r="E350" s="2">
        <v>45483</v>
      </c>
      <c r="F350" s="2">
        <v>46014</v>
      </c>
      <c r="G350">
        <v>1000</v>
      </c>
      <c r="H350" t="s">
        <v>14</v>
      </c>
      <c r="I350" t="s">
        <v>16</v>
      </c>
      <c r="J350">
        <f t="shared" si="21"/>
        <v>3000</v>
      </c>
      <c r="K350" t="str">
        <f t="shared" si="20"/>
        <v>25-34</v>
      </c>
      <c r="L350" t="str">
        <f t="shared" ca="1" si="22"/>
        <v>Safe</v>
      </c>
      <c r="M350" t="str">
        <f t="shared" si="23"/>
        <v>Jul-2024</v>
      </c>
    </row>
    <row r="351" spans="1:13" x14ac:dyDescent="0.35">
      <c r="A351">
        <v>10350</v>
      </c>
      <c r="B351">
        <v>34</v>
      </c>
      <c r="C351" t="s">
        <v>10</v>
      </c>
      <c r="D351" t="s">
        <v>12</v>
      </c>
      <c r="E351" s="2">
        <v>45899</v>
      </c>
      <c r="F351" s="2">
        <v>46014</v>
      </c>
      <c r="G351">
        <v>800</v>
      </c>
      <c r="H351" t="s">
        <v>14</v>
      </c>
      <c r="I351" t="s">
        <v>16</v>
      </c>
      <c r="J351">
        <f t="shared" si="21"/>
        <v>9600</v>
      </c>
      <c r="K351" t="str">
        <f t="shared" si="20"/>
        <v>25-34</v>
      </c>
      <c r="L351" t="str">
        <f t="shared" ca="1" si="22"/>
        <v>Safe</v>
      </c>
      <c r="M351" t="str">
        <f t="shared" si="23"/>
        <v>Aug-2025</v>
      </c>
    </row>
    <row r="352" spans="1:13" x14ac:dyDescent="0.35">
      <c r="A352">
        <v>10351</v>
      </c>
      <c r="B352">
        <v>25</v>
      </c>
      <c r="C352" t="s">
        <v>9</v>
      </c>
      <c r="D352" t="s">
        <v>13</v>
      </c>
      <c r="E352" s="2">
        <v>45359</v>
      </c>
      <c r="F352" s="2">
        <v>46031</v>
      </c>
      <c r="G352">
        <v>1500</v>
      </c>
      <c r="H352" t="s">
        <v>15</v>
      </c>
      <c r="I352" t="s">
        <v>16</v>
      </c>
      <c r="J352">
        <f t="shared" si="21"/>
        <v>4500</v>
      </c>
      <c r="K352" t="str">
        <f t="shared" si="20"/>
        <v>25-34</v>
      </c>
      <c r="L352" t="str">
        <f t="shared" ca="1" si="22"/>
        <v>Safe</v>
      </c>
      <c r="M352" t="str">
        <f t="shared" si="23"/>
        <v>Mar-2024</v>
      </c>
    </row>
    <row r="353" spans="1:13" x14ac:dyDescent="0.35">
      <c r="A353">
        <v>10352</v>
      </c>
      <c r="B353">
        <v>21</v>
      </c>
      <c r="C353" t="s">
        <v>9</v>
      </c>
      <c r="D353" t="s">
        <v>11</v>
      </c>
      <c r="E353" s="2">
        <v>45793</v>
      </c>
      <c r="F353" s="2">
        <v>46027</v>
      </c>
      <c r="G353">
        <v>1200</v>
      </c>
      <c r="H353" t="s">
        <v>14</v>
      </c>
      <c r="I353" t="s">
        <v>16</v>
      </c>
      <c r="J353">
        <f t="shared" si="21"/>
        <v>1200</v>
      </c>
      <c r="K353" t="str">
        <f t="shared" si="20"/>
        <v>18-24</v>
      </c>
      <c r="L353" t="str">
        <f t="shared" ca="1" si="22"/>
        <v>Safe</v>
      </c>
      <c r="M353" t="str">
        <f t="shared" si="23"/>
        <v>May-2025</v>
      </c>
    </row>
    <row r="354" spans="1:13" x14ac:dyDescent="0.35">
      <c r="A354">
        <v>10353</v>
      </c>
      <c r="B354">
        <v>23</v>
      </c>
      <c r="C354" t="s">
        <v>10</v>
      </c>
      <c r="D354" t="s">
        <v>12</v>
      </c>
      <c r="E354" s="2">
        <v>45336</v>
      </c>
      <c r="F354" s="2">
        <v>46028</v>
      </c>
      <c r="G354">
        <v>800</v>
      </c>
      <c r="H354" t="s">
        <v>14</v>
      </c>
      <c r="I354" t="s">
        <v>16</v>
      </c>
      <c r="J354">
        <f t="shared" si="21"/>
        <v>9600</v>
      </c>
      <c r="K354" t="str">
        <f t="shared" si="20"/>
        <v>18-24</v>
      </c>
      <c r="L354" t="str">
        <f t="shared" ca="1" si="22"/>
        <v>Safe</v>
      </c>
      <c r="M354" t="str">
        <f t="shared" si="23"/>
        <v>Feb-2024</v>
      </c>
    </row>
    <row r="355" spans="1:13" x14ac:dyDescent="0.35">
      <c r="A355">
        <v>10354</v>
      </c>
      <c r="B355">
        <v>25</v>
      </c>
      <c r="C355" t="s">
        <v>10</v>
      </c>
      <c r="D355" t="s">
        <v>12</v>
      </c>
      <c r="E355" s="2">
        <v>45347</v>
      </c>
      <c r="F355" s="2">
        <v>46014</v>
      </c>
      <c r="G355">
        <v>800</v>
      </c>
      <c r="H355" t="s">
        <v>14</v>
      </c>
      <c r="I355" t="s">
        <v>16</v>
      </c>
      <c r="J355">
        <f t="shared" si="21"/>
        <v>9600</v>
      </c>
      <c r="K355" t="str">
        <f t="shared" si="20"/>
        <v>25-34</v>
      </c>
      <c r="L355" t="str">
        <f t="shared" ca="1" si="22"/>
        <v>Safe</v>
      </c>
      <c r="M355" t="str">
        <f t="shared" si="23"/>
        <v>Feb-2024</v>
      </c>
    </row>
    <row r="356" spans="1:13" x14ac:dyDescent="0.35">
      <c r="A356">
        <v>10355</v>
      </c>
      <c r="B356">
        <v>37</v>
      </c>
      <c r="C356" t="s">
        <v>10</v>
      </c>
      <c r="D356" t="s">
        <v>11</v>
      </c>
      <c r="E356" s="2">
        <v>45205</v>
      </c>
      <c r="F356" s="2">
        <v>45934</v>
      </c>
      <c r="G356">
        <v>1700</v>
      </c>
      <c r="H356" t="s">
        <v>15</v>
      </c>
      <c r="I356" t="s">
        <v>17</v>
      </c>
      <c r="J356">
        <f t="shared" si="21"/>
        <v>1700</v>
      </c>
      <c r="K356" t="str">
        <f t="shared" si="20"/>
        <v>35+</v>
      </c>
      <c r="L356" t="str">
        <f t="shared" ca="1" si="22"/>
        <v>High Risk</v>
      </c>
      <c r="M356" t="str">
        <f t="shared" si="23"/>
        <v>Oct-2023</v>
      </c>
    </row>
    <row r="357" spans="1:13" x14ac:dyDescent="0.35">
      <c r="A357">
        <v>10356</v>
      </c>
      <c r="B357">
        <v>20</v>
      </c>
      <c r="C357" t="s">
        <v>10</v>
      </c>
      <c r="D357" t="s">
        <v>11</v>
      </c>
      <c r="E357" s="2">
        <v>45265</v>
      </c>
      <c r="F357" s="2">
        <v>45938</v>
      </c>
      <c r="G357">
        <v>1200</v>
      </c>
      <c r="H357" t="s">
        <v>14</v>
      </c>
      <c r="I357" t="s">
        <v>17</v>
      </c>
      <c r="J357">
        <f t="shared" si="21"/>
        <v>1200</v>
      </c>
      <c r="K357" t="str">
        <f t="shared" si="20"/>
        <v>18-24</v>
      </c>
      <c r="L357" t="str">
        <f t="shared" ca="1" si="22"/>
        <v>High Risk</v>
      </c>
      <c r="M357" t="str">
        <f t="shared" si="23"/>
        <v>Dec-2023</v>
      </c>
    </row>
    <row r="358" spans="1:13" x14ac:dyDescent="0.35">
      <c r="A358">
        <v>10357</v>
      </c>
      <c r="B358">
        <v>33</v>
      </c>
      <c r="C358" t="s">
        <v>9</v>
      </c>
      <c r="D358" t="s">
        <v>11</v>
      </c>
      <c r="E358" s="2">
        <v>45408</v>
      </c>
      <c r="F358" s="2">
        <v>46013</v>
      </c>
      <c r="G358">
        <v>1700</v>
      </c>
      <c r="H358" t="s">
        <v>15</v>
      </c>
      <c r="I358" t="s">
        <v>16</v>
      </c>
      <c r="J358">
        <f t="shared" si="21"/>
        <v>1700</v>
      </c>
      <c r="K358" t="str">
        <f t="shared" si="20"/>
        <v>25-34</v>
      </c>
      <c r="L358" t="str">
        <f t="shared" ca="1" si="22"/>
        <v>Safe</v>
      </c>
      <c r="M358" t="str">
        <f t="shared" si="23"/>
        <v>Apr-2024</v>
      </c>
    </row>
    <row r="359" spans="1:13" x14ac:dyDescent="0.35">
      <c r="A359">
        <v>10358</v>
      </c>
      <c r="B359">
        <v>42</v>
      </c>
      <c r="C359" t="s">
        <v>9</v>
      </c>
      <c r="D359" t="s">
        <v>13</v>
      </c>
      <c r="E359" s="2">
        <v>45791</v>
      </c>
      <c r="F359" s="2">
        <v>46018</v>
      </c>
      <c r="G359">
        <v>1000</v>
      </c>
      <c r="H359" t="s">
        <v>14</v>
      </c>
      <c r="I359" t="s">
        <v>16</v>
      </c>
      <c r="J359">
        <f t="shared" si="21"/>
        <v>3000</v>
      </c>
      <c r="K359" t="str">
        <f t="shared" si="20"/>
        <v>35+</v>
      </c>
      <c r="L359" t="str">
        <f t="shared" ca="1" si="22"/>
        <v>Safe</v>
      </c>
      <c r="M359" t="str">
        <f t="shared" si="23"/>
        <v>May-2025</v>
      </c>
    </row>
    <row r="360" spans="1:13" x14ac:dyDescent="0.35">
      <c r="A360">
        <v>10359</v>
      </c>
      <c r="B360">
        <v>20</v>
      </c>
      <c r="C360" t="s">
        <v>9</v>
      </c>
      <c r="D360" t="s">
        <v>13</v>
      </c>
      <c r="E360" s="2">
        <v>45774</v>
      </c>
      <c r="F360" s="2">
        <v>46032</v>
      </c>
      <c r="G360">
        <v>1500</v>
      </c>
      <c r="H360" t="s">
        <v>15</v>
      </c>
      <c r="I360" t="s">
        <v>16</v>
      </c>
      <c r="J360">
        <f t="shared" si="21"/>
        <v>4500</v>
      </c>
      <c r="K360" t="str">
        <f t="shared" si="20"/>
        <v>18-24</v>
      </c>
      <c r="L360" t="str">
        <f t="shared" ca="1" si="22"/>
        <v>Safe</v>
      </c>
      <c r="M360" t="str">
        <f t="shared" si="23"/>
        <v>Apr-2025</v>
      </c>
    </row>
    <row r="361" spans="1:13" x14ac:dyDescent="0.35">
      <c r="A361">
        <v>10360</v>
      </c>
      <c r="B361">
        <v>42</v>
      </c>
      <c r="C361" t="s">
        <v>9</v>
      </c>
      <c r="D361" t="s">
        <v>13</v>
      </c>
      <c r="E361" s="2">
        <v>45811</v>
      </c>
      <c r="F361" s="2">
        <v>46014</v>
      </c>
      <c r="G361">
        <v>1000</v>
      </c>
      <c r="H361" t="s">
        <v>14</v>
      </c>
      <c r="I361" t="s">
        <v>16</v>
      </c>
      <c r="J361">
        <f t="shared" si="21"/>
        <v>3000</v>
      </c>
      <c r="K361" t="str">
        <f t="shared" si="20"/>
        <v>35+</v>
      </c>
      <c r="L361" t="str">
        <f t="shared" ca="1" si="22"/>
        <v>Safe</v>
      </c>
      <c r="M361" t="str">
        <f t="shared" si="23"/>
        <v>Jun-2025</v>
      </c>
    </row>
    <row r="362" spans="1:13" x14ac:dyDescent="0.35">
      <c r="A362">
        <v>10361</v>
      </c>
      <c r="B362">
        <v>35</v>
      </c>
      <c r="C362" t="s">
        <v>9</v>
      </c>
      <c r="D362" t="s">
        <v>12</v>
      </c>
      <c r="E362" s="2">
        <v>45554</v>
      </c>
      <c r="F362" s="2">
        <v>46031</v>
      </c>
      <c r="G362">
        <v>1300</v>
      </c>
      <c r="H362" t="s">
        <v>15</v>
      </c>
      <c r="I362" t="s">
        <v>16</v>
      </c>
      <c r="J362">
        <f t="shared" si="21"/>
        <v>15600</v>
      </c>
      <c r="K362" t="str">
        <f t="shared" si="20"/>
        <v>35+</v>
      </c>
      <c r="L362" t="str">
        <f t="shared" ca="1" si="22"/>
        <v>Safe</v>
      </c>
      <c r="M362" t="str">
        <f t="shared" si="23"/>
        <v>Sep-2024</v>
      </c>
    </row>
    <row r="363" spans="1:13" x14ac:dyDescent="0.35">
      <c r="A363">
        <v>10362</v>
      </c>
      <c r="B363">
        <v>31</v>
      </c>
      <c r="C363" t="s">
        <v>9</v>
      </c>
      <c r="D363" t="s">
        <v>12</v>
      </c>
      <c r="E363" s="2">
        <v>45214</v>
      </c>
      <c r="F363" s="2">
        <v>46022</v>
      </c>
      <c r="G363">
        <v>800</v>
      </c>
      <c r="H363" t="s">
        <v>14</v>
      </c>
      <c r="I363" t="s">
        <v>16</v>
      </c>
      <c r="J363">
        <f t="shared" si="21"/>
        <v>9600</v>
      </c>
      <c r="K363" t="str">
        <f t="shared" si="20"/>
        <v>25-34</v>
      </c>
      <c r="L363" t="str">
        <f t="shared" ca="1" si="22"/>
        <v>Safe</v>
      </c>
      <c r="M363" t="str">
        <f t="shared" si="23"/>
        <v>Oct-2023</v>
      </c>
    </row>
    <row r="364" spans="1:13" x14ac:dyDescent="0.35">
      <c r="A364">
        <v>10363</v>
      </c>
      <c r="B364">
        <v>35</v>
      </c>
      <c r="C364" t="s">
        <v>9</v>
      </c>
      <c r="D364" t="s">
        <v>11</v>
      </c>
      <c r="E364" s="2">
        <v>45183</v>
      </c>
      <c r="F364" s="2">
        <v>46008</v>
      </c>
      <c r="G364">
        <v>1200</v>
      </c>
      <c r="H364" t="s">
        <v>14</v>
      </c>
      <c r="I364" t="s">
        <v>16</v>
      </c>
      <c r="J364">
        <f t="shared" si="21"/>
        <v>1200</v>
      </c>
      <c r="K364" t="str">
        <f t="shared" si="20"/>
        <v>35+</v>
      </c>
      <c r="L364" t="str">
        <f t="shared" ca="1" si="22"/>
        <v>Safe</v>
      </c>
      <c r="M364" t="str">
        <f t="shared" si="23"/>
        <v>Sep-2023</v>
      </c>
    </row>
    <row r="365" spans="1:13" x14ac:dyDescent="0.35">
      <c r="A365">
        <v>10364</v>
      </c>
      <c r="B365">
        <v>19</v>
      </c>
      <c r="C365" t="s">
        <v>10</v>
      </c>
      <c r="D365" t="s">
        <v>11</v>
      </c>
      <c r="E365" s="2">
        <v>45970</v>
      </c>
      <c r="F365" s="2">
        <v>46022</v>
      </c>
      <c r="G365">
        <v>1700</v>
      </c>
      <c r="H365" t="s">
        <v>15</v>
      </c>
      <c r="I365" t="s">
        <v>16</v>
      </c>
      <c r="J365">
        <f t="shared" si="21"/>
        <v>1700</v>
      </c>
      <c r="K365" t="str">
        <f t="shared" si="20"/>
        <v>18-24</v>
      </c>
      <c r="L365" t="str">
        <f t="shared" ca="1" si="22"/>
        <v>Safe</v>
      </c>
      <c r="M365" t="str">
        <f t="shared" si="23"/>
        <v>Nov-2025</v>
      </c>
    </row>
    <row r="366" spans="1:13" x14ac:dyDescent="0.35">
      <c r="A366">
        <v>10365</v>
      </c>
      <c r="B366">
        <v>39</v>
      </c>
      <c r="C366" t="s">
        <v>10</v>
      </c>
      <c r="D366" t="s">
        <v>11</v>
      </c>
      <c r="E366" s="2">
        <v>45185</v>
      </c>
      <c r="F366" s="2">
        <v>46010</v>
      </c>
      <c r="G366">
        <v>1200</v>
      </c>
      <c r="H366" t="s">
        <v>14</v>
      </c>
      <c r="I366" t="s">
        <v>16</v>
      </c>
      <c r="J366">
        <f t="shared" si="21"/>
        <v>1200</v>
      </c>
      <c r="K366" t="str">
        <f t="shared" si="20"/>
        <v>35+</v>
      </c>
      <c r="L366" t="str">
        <f t="shared" ca="1" si="22"/>
        <v>Safe</v>
      </c>
      <c r="M366" t="str">
        <f t="shared" si="23"/>
        <v>Sep-2023</v>
      </c>
    </row>
    <row r="367" spans="1:13" x14ac:dyDescent="0.35">
      <c r="A367">
        <v>10366</v>
      </c>
      <c r="B367">
        <v>20</v>
      </c>
      <c r="C367" t="s">
        <v>9</v>
      </c>
      <c r="D367" t="s">
        <v>11</v>
      </c>
      <c r="E367" s="2">
        <v>45875</v>
      </c>
      <c r="F367" s="2">
        <v>46021</v>
      </c>
      <c r="G367">
        <v>1700</v>
      </c>
      <c r="H367" t="s">
        <v>15</v>
      </c>
      <c r="I367" t="s">
        <v>16</v>
      </c>
      <c r="J367">
        <f t="shared" si="21"/>
        <v>1700</v>
      </c>
      <c r="K367" t="str">
        <f t="shared" si="20"/>
        <v>18-24</v>
      </c>
      <c r="L367" t="str">
        <f t="shared" ca="1" si="22"/>
        <v>Safe</v>
      </c>
      <c r="M367" t="str">
        <f t="shared" si="23"/>
        <v>Aug-2025</v>
      </c>
    </row>
    <row r="368" spans="1:13" x14ac:dyDescent="0.35">
      <c r="A368">
        <v>10367</v>
      </c>
      <c r="B368">
        <v>33</v>
      </c>
      <c r="C368" t="s">
        <v>10</v>
      </c>
      <c r="D368" t="s">
        <v>13</v>
      </c>
      <c r="E368" s="2">
        <v>45458</v>
      </c>
      <c r="F368" s="2">
        <v>45941</v>
      </c>
      <c r="G368">
        <v>1500</v>
      </c>
      <c r="H368" t="s">
        <v>15</v>
      </c>
      <c r="I368" t="s">
        <v>17</v>
      </c>
      <c r="J368">
        <f t="shared" si="21"/>
        <v>4500</v>
      </c>
      <c r="K368" t="str">
        <f t="shared" si="20"/>
        <v>25-34</v>
      </c>
      <c r="L368" t="str">
        <f t="shared" ca="1" si="22"/>
        <v>High Risk</v>
      </c>
      <c r="M368" t="str">
        <f t="shared" si="23"/>
        <v>Jun-2024</v>
      </c>
    </row>
    <row r="369" spans="1:13" x14ac:dyDescent="0.35">
      <c r="A369">
        <v>10368</v>
      </c>
      <c r="B369">
        <v>26</v>
      </c>
      <c r="C369" t="s">
        <v>9</v>
      </c>
      <c r="D369" t="s">
        <v>12</v>
      </c>
      <c r="E369" s="2">
        <v>45629</v>
      </c>
      <c r="F369" s="2">
        <v>46021</v>
      </c>
      <c r="G369">
        <v>800</v>
      </c>
      <c r="H369" t="s">
        <v>14</v>
      </c>
      <c r="I369" t="s">
        <v>16</v>
      </c>
      <c r="J369">
        <f t="shared" si="21"/>
        <v>9600</v>
      </c>
      <c r="K369" t="str">
        <f t="shared" si="20"/>
        <v>25-34</v>
      </c>
      <c r="L369" t="str">
        <f t="shared" ca="1" si="22"/>
        <v>Safe</v>
      </c>
      <c r="M369" t="str">
        <f t="shared" si="23"/>
        <v>Dec-2024</v>
      </c>
    </row>
    <row r="370" spans="1:13" x14ac:dyDescent="0.35">
      <c r="A370">
        <v>10369</v>
      </c>
      <c r="B370">
        <v>21</v>
      </c>
      <c r="C370" t="s">
        <v>10</v>
      </c>
      <c r="D370" t="s">
        <v>11</v>
      </c>
      <c r="E370" s="2">
        <v>45636</v>
      </c>
      <c r="F370" s="2">
        <v>46008</v>
      </c>
      <c r="G370">
        <v>1700</v>
      </c>
      <c r="H370" t="s">
        <v>15</v>
      </c>
      <c r="I370" t="s">
        <v>16</v>
      </c>
      <c r="J370">
        <f t="shared" si="21"/>
        <v>1700</v>
      </c>
      <c r="K370" t="str">
        <f t="shared" si="20"/>
        <v>18-24</v>
      </c>
      <c r="L370" t="str">
        <f t="shared" ca="1" si="22"/>
        <v>Safe</v>
      </c>
      <c r="M370" t="str">
        <f t="shared" si="23"/>
        <v>Dec-2024</v>
      </c>
    </row>
    <row r="371" spans="1:13" x14ac:dyDescent="0.35">
      <c r="A371">
        <v>10370</v>
      </c>
      <c r="B371">
        <v>18</v>
      </c>
      <c r="C371" t="s">
        <v>9</v>
      </c>
      <c r="D371" t="s">
        <v>13</v>
      </c>
      <c r="E371" s="2">
        <v>45844</v>
      </c>
      <c r="F371" s="2">
        <v>46018</v>
      </c>
      <c r="G371">
        <v>1000</v>
      </c>
      <c r="H371" t="s">
        <v>14</v>
      </c>
      <c r="I371" t="s">
        <v>16</v>
      </c>
      <c r="J371">
        <f t="shared" si="21"/>
        <v>3000</v>
      </c>
      <c r="K371" t="str">
        <f t="shared" si="20"/>
        <v>18-24</v>
      </c>
      <c r="L371" t="str">
        <f t="shared" ca="1" si="22"/>
        <v>Safe</v>
      </c>
      <c r="M371" t="str">
        <f t="shared" si="23"/>
        <v>Jul-2025</v>
      </c>
    </row>
    <row r="372" spans="1:13" x14ac:dyDescent="0.35">
      <c r="A372">
        <v>10371</v>
      </c>
      <c r="B372">
        <v>21</v>
      </c>
      <c r="C372" t="s">
        <v>10</v>
      </c>
      <c r="D372" t="s">
        <v>12</v>
      </c>
      <c r="E372" s="2">
        <v>45915</v>
      </c>
      <c r="F372" s="2">
        <v>46022</v>
      </c>
      <c r="G372">
        <v>800</v>
      </c>
      <c r="H372" t="s">
        <v>14</v>
      </c>
      <c r="I372" t="s">
        <v>16</v>
      </c>
      <c r="J372">
        <f t="shared" si="21"/>
        <v>9600</v>
      </c>
      <c r="K372" t="str">
        <f t="shared" si="20"/>
        <v>18-24</v>
      </c>
      <c r="L372" t="str">
        <f t="shared" ca="1" si="22"/>
        <v>Safe</v>
      </c>
      <c r="M372" t="str">
        <f t="shared" si="23"/>
        <v>Sep-2025</v>
      </c>
    </row>
    <row r="373" spans="1:13" x14ac:dyDescent="0.35">
      <c r="A373">
        <v>10372</v>
      </c>
      <c r="B373">
        <v>18</v>
      </c>
      <c r="C373" t="s">
        <v>9</v>
      </c>
      <c r="D373" t="s">
        <v>11</v>
      </c>
      <c r="E373" s="2">
        <v>45741</v>
      </c>
      <c r="F373" s="2">
        <v>46020</v>
      </c>
      <c r="G373">
        <v>1200</v>
      </c>
      <c r="H373" t="s">
        <v>14</v>
      </c>
      <c r="I373" t="s">
        <v>16</v>
      </c>
      <c r="J373">
        <f t="shared" si="21"/>
        <v>1200</v>
      </c>
      <c r="K373" t="str">
        <f t="shared" si="20"/>
        <v>18-24</v>
      </c>
      <c r="L373" t="str">
        <f t="shared" ca="1" si="22"/>
        <v>Safe</v>
      </c>
      <c r="M373" t="str">
        <f t="shared" si="23"/>
        <v>Mar-2025</v>
      </c>
    </row>
    <row r="374" spans="1:13" x14ac:dyDescent="0.35">
      <c r="A374">
        <v>10373</v>
      </c>
      <c r="B374">
        <v>31</v>
      </c>
      <c r="C374" t="s">
        <v>9</v>
      </c>
      <c r="D374" t="s">
        <v>11</v>
      </c>
      <c r="E374" s="2">
        <v>45576</v>
      </c>
      <c r="F374" s="2">
        <v>45933</v>
      </c>
      <c r="G374">
        <v>1700</v>
      </c>
      <c r="H374" t="s">
        <v>15</v>
      </c>
      <c r="I374" t="s">
        <v>17</v>
      </c>
      <c r="J374">
        <f t="shared" si="21"/>
        <v>1700</v>
      </c>
      <c r="K374" t="str">
        <f t="shared" si="20"/>
        <v>25-34</v>
      </c>
      <c r="L374" t="str">
        <f t="shared" ca="1" si="22"/>
        <v>High Risk</v>
      </c>
      <c r="M374" t="str">
        <f t="shared" si="23"/>
        <v>Oct-2024</v>
      </c>
    </row>
    <row r="375" spans="1:13" x14ac:dyDescent="0.35">
      <c r="A375">
        <v>10374</v>
      </c>
      <c r="B375">
        <v>38</v>
      </c>
      <c r="C375" t="s">
        <v>9</v>
      </c>
      <c r="D375" t="s">
        <v>13</v>
      </c>
      <c r="E375" s="2">
        <v>45733</v>
      </c>
      <c r="F375" s="2">
        <v>46024</v>
      </c>
      <c r="G375">
        <v>1000</v>
      </c>
      <c r="H375" t="s">
        <v>14</v>
      </c>
      <c r="I375" t="s">
        <v>16</v>
      </c>
      <c r="J375">
        <f t="shared" si="21"/>
        <v>3000</v>
      </c>
      <c r="K375" t="str">
        <f t="shared" si="20"/>
        <v>35+</v>
      </c>
      <c r="L375" t="str">
        <f t="shared" ca="1" si="22"/>
        <v>Safe</v>
      </c>
      <c r="M375" t="str">
        <f t="shared" si="23"/>
        <v>Mar-2025</v>
      </c>
    </row>
    <row r="376" spans="1:13" x14ac:dyDescent="0.35">
      <c r="A376">
        <v>10375</v>
      </c>
      <c r="B376">
        <v>33</v>
      </c>
      <c r="C376" t="s">
        <v>9</v>
      </c>
      <c r="D376" t="s">
        <v>11</v>
      </c>
      <c r="E376" s="2">
        <v>45927</v>
      </c>
      <c r="F376" s="2">
        <v>46022</v>
      </c>
      <c r="G376">
        <v>1200</v>
      </c>
      <c r="H376" t="s">
        <v>14</v>
      </c>
      <c r="I376" t="s">
        <v>16</v>
      </c>
      <c r="J376">
        <f t="shared" si="21"/>
        <v>1200</v>
      </c>
      <c r="K376" t="str">
        <f t="shared" si="20"/>
        <v>25-34</v>
      </c>
      <c r="L376" t="str">
        <f t="shared" ca="1" si="22"/>
        <v>Safe</v>
      </c>
      <c r="M376" t="str">
        <f t="shared" si="23"/>
        <v>Sep-2025</v>
      </c>
    </row>
    <row r="377" spans="1:13" x14ac:dyDescent="0.35">
      <c r="A377">
        <v>10376</v>
      </c>
      <c r="B377">
        <v>37</v>
      </c>
      <c r="C377" t="s">
        <v>9</v>
      </c>
      <c r="D377" t="s">
        <v>12</v>
      </c>
      <c r="E377" s="2">
        <v>45491</v>
      </c>
      <c r="F377" s="2">
        <v>45940</v>
      </c>
      <c r="G377">
        <v>1300</v>
      </c>
      <c r="H377" t="s">
        <v>15</v>
      </c>
      <c r="I377" t="s">
        <v>17</v>
      </c>
      <c r="J377">
        <f t="shared" si="21"/>
        <v>15600</v>
      </c>
      <c r="K377" t="str">
        <f t="shared" si="20"/>
        <v>35+</v>
      </c>
      <c r="L377" t="str">
        <f t="shared" ca="1" si="22"/>
        <v>High Risk</v>
      </c>
      <c r="M377" t="str">
        <f t="shared" si="23"/>
        <v>Jul-2024</v>
      </c>
    </row>
    <row r="378" spans="1:13" x14ac:dyDescent="0.35">
      <c r="A378">
        <v>10377</v>
      </c>
      <c r="B378">
        <v>41</v>
      </c>
      <c r="C378" t="s">
        <v>9</v>
      </c>
      <c r="D378" t="s">
        <v>11</v>
      </c>
      <c r="E378" s="2">
        <v>45211</v>
      </c>
      <c r="F378" s="2">
        <v>45995</v>
      </c>
      <c r="G378">
        <v>1200</v>
      </c>
      <c r="H378" t="s">
        <v>14</v>
      </c>
      <c r="I378" t="s">
        <v>17</v>
      </c>
      <c r="J378">
        <f t="shared" si="21"/>
        <v>1200</v>
      </c>
      <c r="K378" t="str">
        <f t="shared" si="20"/>
        <v>35+</v>
      </c>
      <c r="L378" t="str">
        <f t="shared" ca="1" si="22"/>
        <v>High Risk</v>
      </c>
      <c r="M378" t="str">
        <f t="shared" si="23"/>
        <v>Oct-2023</v>
      </c>
    </row>
    <row r="379" spans="1:13" x14ac:dyDescent="0.35">
      <c r="A379">
        <v>10378</v>
      </c>
      <c r="B379">
        <v>25</v>
      </c>
      <c r="C379" t="s">
        <v>9</v>
      </c>
      <c r="D379" t="s">
        <v>11</v>
      </c>
      <c r="E379" s="2">
        <v>45686</v>
      </c>
      <c r="F379" s="2">
        <v>46030</v>
      </c>
      <c r="G379">
        <v>1700</v>
      </c>
      <c r="H379" t="s">
        <v>15</v>
      </c>
      <c r="I379" t="s">
        <v>16</v>
      </c>
      <c r="J379">
        <f t="shared" si="21"/>
        <v>1700</v>
      </c>
      <c r="K379" t="str">
        <f t="shared" si="20"/>
        <v>25-34</v>
      </c>
      <c r="L379" t="str">
        <f t="shared" ca="1" si="22"/>
        <v>Safe</v>
      </c>
      <c r="M379" t="str">
        <f t="shared" si="23"/>
        <v>Jan-2025</v>
      </c>
    </row>
    <row r="380" spans="1:13" x14ac:dyDescent="0.35">
      <c r="A380">
        <v>10379</v>
      </c>
      <c r="B380">
        <v>24</v>
      </c>
      <c r="C380" t="s">
        <v>9</v>
      </c>
      <c r="D380" t="s">
        <v>13</v>
      </c>
      <c r="E380" s="2">
        <v>45933</v>
      </c>
      <c r="F380" s="2">
        <v>46029</v>
      </c>
      <c r="G380">
        <v>1000</v>
      </c>
      <c r="H380" t="s">
        <v>14</v>
      </c>
      <c r="I380" t="s">
        <v>16</v>
      </c>
      <c r="J380">
        <f t="shared" si="21"/>
        <v>3000</v>
      </c>
      <c r="K380" t="str">
        <f t="shared" si="20"/>
        <v>18-24</v>
      </c>
      <c r="L380" t="str">
        <f t="shared" ca="1" si="22"/>
        <v>Safe</v>
      </c>
      <c r="M380" t="str">
        <f t="shared" si="23"/>
        <v>Oct-2025</v>
      </c>
    </row>
    <row r="381" spans="1:13" x14ac:dyDescent="0.35">
      <c r="A381">
        <v>10380</v>
      </c>
      <c r="B381">
        <v>20</v>
      </c>
      <c r="C381" t="s">
        <v>9</v>
      </c>
      <c r="D381" t="s">
        <v>12</v>
      </c>
      <c r="E381" s="2">
        <v>45193</v>
      </c>
      <c r="F381" s="2">
        <v>46015</v>
      </c>
      <c r="G381">
        <v>1300</v>
      </c>
      <c r="H381" t="s">
        <v>15</v>
      </c>
      <c r="I381" t="s">
        <v>16</v>
      </c>
      <c r="J381">
        <f t="shared" si="21"/>
        <v>15600</v>
      </c>
      <c r="K381" t="str">
        <f t="shared" si="20"/>
        <v>18-24</v>
      </c>
      <c r="L381" t="str">
        <f t="shared" ca="1" si="22"/>
        <v>Safe</v>
      </c>
      <c r="M381" t="str">
        <f t="shared" si="23"/>
        <v>Sep-2023</v>
      </c>
    </row>
    <row r="382" spans="1:13" x14ac:dyDescent="0.35">
      <c r="A382">
        <v>10381</v>
      </c>
      <c r="B382">
        <v>34</v>
      </c>
      <c r="C382" t="s">
        <v>10</v>
      </c>
      <c r="D382" t="s">
        <v>11</v>
      </c>
      <c r="E382" s="2">
        <v>45577</v>
      </c>
      <c r="F382" s="2">
        <v>45927</v>
      </c>
      <c r="G382">
        <v>1200</v>
      </c>
      <c r="H382" t="s">
        <v>14</v>
      </c>
      <c r="I382" t="s">
        <v>17</v>
      </c>
      <c r="J382">
        <f t="shared" si="21"/>
        <v>1200</v>
      </c>
      <c r="K382" t="str">
        <f t="shared" si="20"/>
        <v>25-34</v>
      </c>
      <c r="L382" t="str">
        <f t="shared" ca="1" si="22"/>
        <v>High Risk</v>
      </c>
      <c r="M382" t="str">
        <f t="shared" si="23"/>
        <v>Oct-2024</v>
      </c>
    </row>
    <row r="383" spans="1:13" x14ac:dyDescent="0.35">
      <c r="A383">
        <v>10382</v>
      </c>
      <c r="B383">
        <v>18</v>
      </c>
      <c r="C383" t="s">
        <v>9</v>
      </c>
      <c r="D383" t="s">
        <v>11</v>
      </c>
      <c r="E383" s="2">
        <v>45639</v>
      </c>
      <c r="F383" s="2">
        <v>46023</v>
      </c>
      <c r="G383">
        <v>1200</v>
      </c>
      <c r="H383" t="s">
        <v>14</v>
      </c>
      <c r="I383" t="s">
        <v>16</v>
      </c>
      <c r="J383">
        <f t="shared" si="21"/>
        <v>1200</v>
      </c>
      <c r="K383" t="str">
        <f t="shared" si="20"/>
        <v>18-24</v>
      </c>
      <c r="L383" t="str">
        <f t="shared" ca="1" si="22"/>
        <v>Safe</v>
      </c>
      <c r="M383" t="str">
        <f t="shared" si="23"/>
        <v>Dec-2024</v>
      </c>
    </row>
    <row r="384" spans="1:13" x14ac:dyDescent="0.35">
      <c r="A384">
        <v>10383</v>
      </c>
      <c r="B384">
        <v>33</v>
      </c>
      <c r="C384" t="s">
        <v>9</v>
      </c>
      <c r="D384" t="s">
        <v>11</v>
      </c>
      <c r="E384" s="2">
        <v>45919</v>
      </c>
      <c r="F384" s="2">
        <v>46017</v>
      </c>
      <c r="G384">
        <v>1700</v>
      </c>
      <c r="H384" t="s">
        <v>15</v>
      </c>
      <c r="I384" t="s">
        <v>16</v>
      </c>
      <c r="J384">
        <f t="shared" si="21"/>
        <v>1700</v>
      </c>
      <c r="K384" t="str">
        <f t="shared" si="20"/>
        <v>25-34</v>
      </c>
      <c r="L384" t="str">
        <f t="shared" ca="1" si="22"/>
        <v>Safe</v>
      </c>
      <c r="M384" t="str">
        <f t="shared" si="23"/>
        <v>Sep-2025</v>
      </c>
    </row>
    <row r="385" spans="1:13" x14ac:dyDescent="0.35">
      <c r="A385">
        <v>10384</v>
      </c>
      <c r="B385">
        <v>29</v>
      </c>
      <c r="C385" t="s">
        <v>9</v>
      </c>
      <c r="D385" t="s">
        <v>11</v>
      </c>
      <c r="E385" s="2">
        <v>45814</v>
      </c>
      <c r="F385" s="2">
        <v>45961</v>
      </c>
      <c r="G385">
        <v>1700</v>
      </c>
      <c r="H385" t="s">
        <v>15</v>
      </c>
      <c r="I385" t="s">
        <v>17</v>
      </c>
      <c r="J385">
        <f t="shared" si="21"/>
        <v>1700</v>
      </c>
      <c r="K385" t="str">
        <f t="shared" si="20"/>
        <v>25-34</v>
      </c>
      <c r="L385" t="str">
        <f t="shared" ca="1" si="22"/>
        <v>High Risk</v>
      </c>
      <c r="M385" t="str">
        <f t="shared" si="23"/>
        <v>Jun-2025</v>
      </c>
    </row>
    <row r="386" spans="1:13" x14ac:dyDescent="0.35">
      <c r="A386">
        <v>10385</v>
      </c>
      <c r="B386">
        <v>44</v>
      </c>
      <c r="C386" t="s">
        <v>10</v>
      </c>
      <c r="D386" t="s">
        <v>11</v>
      </c>
      <c r="E386" s="2">
        <v>45226</v>
      </c>
      <c r="F386" s="2">
        <v>46016</v>
      </c>
      <c r="G386">
        <v>1200</v>
      </c>
      <c r="H386" t="s">
        <v>14</v>
      </c>
      <c r="I386" t="s">
        <v>16</v>
      </c>
      <c r="J386">
        <f t="shared" si="21"/>
        <v>1200</v>
      </c>
      <c r="K386" t="str">
        <f t="shared" ref="K386:K449" si="24">IF(B386&lt;25,"18-24",IF(B386&lt;35,"25-34","35+"))</f>
        <v>35+</v>
      </c>
      <c r="L386" t="str">
        <f t="shared" ca="1" si="22"/>
        <v>Safe</v>
      </c>
      <c r="M386" t="str">
        <f t="shared" si="23"/>
        <v>Oct-2023</v>
      </c>
    </row>
    <row r="387" spans="1:13" x14ac:dyDescent="0.35">
      <c r="A387">
        <v>10386</v>
      </c>
      <c r="B387">
        <v>36</v>
      </c>
      <c r="C387" t="s">
        <v>9</v>
      </c>
      <c r="D387" t="s">
        <v>13</v>
      </c>
      <c r="E387" s="2">
        <v>45675</v>
      </c>
      <c r="F387" s="2">
        <v>46028</v>
      </c>
      <c r="G387">
        <v>1000</v>
      </c>
      <c r="H387" t="s">
        <v>14</v>
      </c>
      <c r="I387" t="s">
        <v>16</v>
      </c>
      <c r="J387">
        <f t="shared" ref="J387:J450" si="25">IF(D387="Monthly",G387,IF(D387="Quarterly",G387*3,G387*12))</f>
        <v>3000</v>
      </c>
      <c r="K387" t="str">
        <f t="shared" si="24"/>
        <v>35+</v>
      </c>
      <c r="L387" t="str">
        <f t="shared" ref="L387:L450" ca="1" si="26">IF(F387&lt;TODAY()-30,"High Risk","Safe")</f>
        <v>Safe</v>
      </c>
      <c r="M387" t="str">
        <f t="shared" ref="M387:M450" si="27">TEXT(E387,"mmm-yyyy")</f>
        <v>Jan-2025</v>
      </c>
    </row>
    <row r="388" spans="1:13" x14ac:dyDescent="0.35">
      <c r="A388">
        <v>10387</v>
      </c>
      <c r="B388">
        <v>39</v>
      </c>
      <c r="C388" t="s">
        <v>10</v>
      </c>
      <c r="D388" t="s">
        <v>11</v>
      </c>
      <c r="E388" s="2">
        <v>45514</v>
      </c>
      <c r="F388" s="2">
        <v>46011</v>
      </c>
      <c r="G388">
        <v>1700</v>
      </c>
      <c r="H388" t="s">
        <v>15</v>
      </c>
      <c r="I388" t="s">
        <v>16</v>
      </c>
      <c r="J388">
        <f t="shared" si="25"/>
        <v>1700</v>
      </c>
      <c r="K388" t="str">
        <f t="shared" si="24"/>
        <v>35+</v>
      </c>
      <c r="L388" t="str">
        <f t="shared" ca="1" si="26"/>
        <v>Safe</v>
      </c>
      <c r="M388" t="str">
        <f t="shared" si="27"/>
        <v>Aug-2024</v>
      </c>
    </row>
    <row r="389" spans="1:13" x14ac:dyDescent="0.35">
      <c r="A389">
        <v>10388</v>
      </c>
      <c r="B389">
        <v>40</v>
      </c>
      <c r="C389" t="s">
        <v>10</v>
      </c>
      <c r="D389" t="s">
        <v>11</v>
      </c>
      <c r="E389" s="2">
        <v>45688</v>
      </c>
      <c r="F389" s="2">
        <v>46011</v>
      </c>
      <c r="G389">
        <v>1700</v>
      </c>
      <c r="H389" t="s">
        <v>15</v>
      </c>
      <c r="I389" t="s">
        <v>16</v>
      </c>
      <c r="J389">
        <f t="shared" si="25"/>
        <v>1700</v>
      </c>
      <c r="K389" t="str">
        <f t="shared" si="24"/>
        <v>35+</v>
      </c>
      <c r="L389" t="str">
        <f t="shared" ca="1" si="26"/>
        <v>Safe</v>
      </c>
      <c r="M389" t="str">
        <f t="shared" si="27"/>
        <v>Jan-2025</v>
      </c>
    </row>
    <row r="390" spans="1:13" x14ac:dyDescent="0.35">
      <c r="A390">
        <v>10389</v>
      </c>
      <c r="B390">
        <v>39</v>
      </c>
      <c r="C390" t="s">
        <v>9</v>
      </c>
      <c r="D390" t="s">
        <v>12</v>
      </c>
      <c r="E390" s="2">
        <v>45733</v>
      </c>
      <c r="F390" s="2">
        <v>46021</v>
      </c>
      <c r="G390">
        <v>800</v>
      </c>
      <c r="H390" t="s">
        <v>14</v>
      </c>
      <c r="I390" t="s">
        <v>16</v>
      </c>
      <c r="J390">
        <f t="shared" si="25"/>
        <v>9600</v>
      </c>
      <c r="K390" t="str">
        <f t="shared" si="24"/>
        <v>35+</v>
      </c>
      <c r="L390" t="str">
        <f t="shared" ca="1" si="26"/>
        <v>Safe</v>
      </c>
      <c r="M390" t="str">
        <f t="shared" si="27"/>
        <v>Mar-2025</v>
      </c>
    </row>
    <row r="391" spans="1:13" x14ac:dyDescent="0.35">
      <c r="A391">
        <v>10390</v>
      </c>
      <c r="B391">
        <v>31</v>
      </c>
      <c r="C391" t="s">
        <v>9</v>
      </c>
      <c r="D391" t="s">
        <v>11</v>
      </c>
      <c r="E391" s="2">
        <v>45141</v>
      </c>
      <c r="F391" s="2">
        <v>45934</v>
      </c>
      <c r="G391">
        <v>1200</v>
      </c>
      <c r="H391" t="s">
        <v>14</v>
      </c>
      <c r="I391" t="s">
        <v>17</v>
      </c>
      <c r="J391">
        <f t="shared" si="25"/>
        <v>1200</v>
      </c>
      <c r="K391" t="str">
        <f t="shared" si="24"/>
        <v>25-34</v>
      </c>
      <c r="L391" t="str">
        <f t="shared" ca="1" si="26"/>
        <v>High Risk</v>
      </c>
      <c r="M391" t="str">
        <f t="shared" si="27"/>
        <v>Aug-2023</v>
      </c>
    </row>
    <row r="392" spans="1:13" x14ac:dyDescent="0.35">
      <c r="A392">
        <v>10391</v>
      </c>
      <c r="B392">
        <v>23</v>
      </c>
      <c r="C392" t="s">
        <v>10</v>
      </c>
      <c r="D392" t="s">
        <v>11</v>
      </c>
      <c r="E392" s="2">
        <v>45342</v>
      </c>
      <c r="F392" s="2">
        <v>46011</v>
      </c>
      <c r="G392">
        <v>1200</v>
      </c>
      <c r="H392" t="s">
        <v>14</v>
      </c>
      <c r="I392" t="s">
        <v>16</v>
      </c>
      <c r="J392">
        <f t="shared" si="25"/>
        <v>1200</v>
      </c>
      <c r="K392" t="str">
        <f t="shared" si="24"/>
        <v>18-24</v>
      </c>
      <c r="L392" t="str">
        <f t="shared" ca="1" si="26"/>
        <v>Safe</v>
      </c>
      <c r="M392" t="str">
        <f t="shared" si="27"/>
        <v>Feb-2024</v>
      </c>
    </row>
    <row r="393" spans="1:13" x14ac:dyDescent="0.35">
      <c r="A393">
        <v>10392</v>
      </c>
      <c r="B393">
        <v>23</v>
      </c>
      <c r="C393" t="s">
        <v>10</v>
      </c>
      <c r="D393" t="s">
        <v>11</v>
      </c>
      <c r="E393" s="2">
        <v>45163</v>
      </c>
      <c r="F393" s="2">
        <v>46022</v>
      </c>
      <c r="G393">
        <v>1200</v>
      </c>
      <c r="H393" t="s">
        <v>14</v>
      </c>
      <c r="I393" t="s">
        <v>16</v>
      </c>
      <c r="J393">
        <f t="shared" si="25"/>
        <v>1200</v>
      </c>
      <c r="K393" t="str">
        <f t="shared" si="24"/>
        <v>18-24</v>
      </c>
      <c r="L393" t="str">
        <f t="shared" ca="1" si="26"/>
        <v>Safe</v>
      </c>
      <c r="M393" t="str">
        <f t="shared" si="27"/>
        <v>Aug-2023</v>
      </c>
    </row>
    <row r="394" spans="1:13" x14ac:dyDescent="0.35">
      <c r="A394">
        <v>10393</v>
      </c>
      <c r="B394">
        <v>30</v>
      </c>
      <c r="C394" t="s">
        <v>9</v>
      </c>
      <c r="D394" t="s">
        <v>12</v>
      </c>
      <c r="E394" s="2">
        <v>45349</v>
      </c>
      <c r="F394" s="2">
        <v>45988</v>
      </c>
      <c r="G394">
        <v>1300</v>
      </c>
      <c r="H394" t="s">
        <v>15</v>
      </c>
      <c r="I394" t="s">
        <v>17</v>
      </c>
      <c r="J394">
        <f t="shared" si="25"/>
        <v>15600</v>
      </c>
      <c r="K394" t="str">
        <f t="shared" si="24"/>
        <v>25-34</v>
      </c>
      <c r="L394" t="str">
        <f t="shared" ca="1" si="26"/>
        <v>High Risk</v>
      </c>
      <c r="M394" t="str">
        <f t="shared" si="27"/>
        <v>Feb-2024</v>
      </c>
    </row>
    <row r="395" spans="1:13" x14ac:dyDescent="0.35">
      <c r="A395">
        <v>10394</v>
      </c>
      <c r="B395">
        <v>36</v>
      </c>
      <c r="C395" t="s">
        <v>9</v>
      </c>
      <c r="D395" t="s">
        <v>11</v>
      </c>
      <c r="E395" s="2">
        <v>45747</v>
      </c>
      <c r="F395" s="2">
        <v>46011</v>
      </c>
      <c r="G395">
        <v>1200</v>
      </c>
      <c r="H395" t="s">
        <v>14</v>
      </c>
      <c r="I395" t="s">
        <v>16</v>
      </c>
      <c r="J395">
        <f t="shared" si="25"/>
        <v>1200</v>
      </c>
      <c r="K395" t="str">
        <f t="shared" si="24"/>
        <v>35+</v>
      </c>
      <c r="L395" t="str">
        <f t="shared" ca="1" si="26"/>
        <v>Safe</v>
      </c>
      <c r="M395" t="str">
        <f t="shared" si="27"/>
        <v>Mar-2025</v>
      </c>
    </row>
    <row r="396" spans="1:13" x14ac:dyDescent="0.35">
      <c r="A396">
        <v>10395</v>
      </c>
      <c r="B396">
        <v>39</v>
      </c>
      <c r="C396" t="s">
        <v>10</v>
      </c>
      <c r="D396" t="s">
        <v>12</v>
      </c>
      <c r="E396" s="2">
        <v>45626</v>
      </c>
      <c r="F396" s="2">
        <v>46019</v>
      </c>
      <c r="G396">
        <v>800</v>
      </c>
      <c r="H396" t="s">
        <v>14</v>
      </c>
      <c r="I396" t="s">
        <v>16</v>
      </c>
      <c r="J396">
        <f t="shared" si="25"/>
        <v>9600</v>
      </c>
      <c r="K396" t="str">
        <f t="shared" si="24"/>
        <v>35+</v>
      </c>
      <c r="L396" t="str">
        <f t="shared" ca="1" si="26"/>
        <v>Safe</v>
      </c>
      <c r="M396" t="str">
        <f t="shared" si="27"/>
        <v>Nov-2024</v>
      </c>
    </row>
    <row r="397" spans="1:13" x14ac:dyDescent="0.35">
      <c r="A397">
        <v>10396</v>
      </c>
      <c r="B397">
        <v>25</v>
      </c>
      <c r="C397" t="s">
        <v>9</v>
      </c>
      <c r="D397" t="s">
        <v>12</v>
      </c>
      <c r="E397" s="2">
        <v>45186</v>
      </c>
      <c r="F397" s="2">
        <v>46014</v>
      </c>
      <c r="G397">
        <v>1300</v>
      </c>
      <c r="H397" t="s">
        <v>15</v>
      </c>
      <c r="I397" t="s">
        <v>16</v>
      </c>
      <c r="J397">
        <f t="shared" si="25"/>
        <v>15600</v>
      </c>
      <c r="K397" t="str">
        <f t="shared" si="24"/>
        <v>25-34</v>
      </c>
      <c r="L397" t="str">
        <f t="shared" ca="1" si="26"/>
        <v>Safe</v>
      </c>
      <c r="M397" t="str">
        <f t="shared" si="27"/>
        <v>Sep-2023</v>
      </c>
    </row>
    <row r="398" spans="1:13" x14ac:dyDescent="0.35">
      <c r="A398">
        <v>10397</v>
      </c>
      <c r="B398">
        <v>44</v>
      </c>
      <c r="C398" t="s">
        <v>10</v>
      </c>
      <c r="D398" t="s">
        <v>11</v>
      </c>
      <c r="E398" s="2">
        <v>45180</v>
      </c>
      <c r="F398" s="2">
        <v>46020</v>
      </c>
      <c r="G398">
        <v>1200</v>
      </c>
      <c r="H398" t="s">
        <v>14</v>
      </c>
      <c r="I398" t="s">
        <v>16</v>
      </c>
      <c r="J398">
        <f t="shared" si="25"/>
        <v>1200</v>
      </c>
      <c r="K398" t="str">
        <f t="shared" si="24"/>
        <v>35+</v>
      </c>
      <c r="L398" t="str">
        <f t="shared" ca="1" si="26"/>
        <v>Safe</v>
      </c>
      <c r="M398" t="str">
        <f t="shared" si="27"/>
        <v>Sep-2023</v>
      </c>
    </row>
    <row r="399" spans="1:13" x14ac:dyDescent="0.35">
      <c r="A399">
        <v>10398</v>
      </c>
      <c r="B399">
        <v>44</v>
      </c>
      <c r="C399" t="s">
        <v>9</v>
      </c>
      <c r="D399" t="s">
        <v>12</v>
      </c>
      <c r="E399" s="2">
        <v>45394</v>
      </c>
      <c r="F399" s="2">
        <v>46008</v>
      </c>
      <c r="G399">
        <v>800</v>
      </c>
      <c r="H399" t="s">
        <v>14</v>
      </c>
      <c r="I399" t="s">
        <v>16</v>
      </c>
      <c r="J399">
        <f t="shared" si="25"/>
        <v>9600</v>
      </c>
      <c r="K399" t="str">
        <f t="shared" si="24"/>
        <v>35+</v>
      </c>
      <c r="L399" t="str">
        <f t="shared" ca="1" si="26"/>
        <v>Safe</v>
      </c>
      <c r="M399" t="str">
        <f t="shared" si="27"/>
        <v>Apr-2024</v>
      </c>
    </row>
    <row r="400" spans="1:13" x14ac:dyDescent="0.35">
      <c r="A400">
        <v>10399</v>
      </c>
      <c r="B400">
        <v>19</v>
      </c>
      <c r="C400" t="s">
        <v>9</v>
      </c>
      <c r="D400" t="s">
        <v>11</v>
      </c>
      <c r="E400" s="2">
        <v>45298</v>
      </c>
      <c r="F400" s="2">
        <v>46029</v>
      </c>
      <c r="G400">
        <v>1700</v>
      </c>
      <c r="H400" t="s">
        <v>15</v>
      </c>
      <c r="I400" t="s">
        <v>16</v>
      </c>
      <c r="J400">
        <f t="shared" si="25"/>
        <v>1700</v>
      </c>
      <c r="K400" t="str">
        <f t="shared" si="24"/>
        <v>18-24</v>
      </c>
      <c r="L400" t="str">
        <f t="shared" ca="1" si="26"/>
        <v>Safe</v>
      </c>
      <c r="M400" t="str">
        <f t="shared" si="27"/>
        <v>Jan-2024</v>
      </c>
    </row>
    <row r="401" spans="1:13" x14ac:dyDescent="0.35">
      <c r="A401">
        <v>10400</v>
      </c>
      <c r="B401">
        <v>38</v>
      </c>
      <c r="C401" t="s">
        <v>10</v>
      </c>
      <c r="D401" t="s">
        <v>11</v>
      </c>
      <c r="E401" s="2">
        <v>45991</v>
      </c>
      <c r="F401" s="2">
        <v>46030</v>
      </c>
      <c r="G401">
        <v>1200</v>
      </c>
      <c r="H401" t="s">
        <v>14</v>
      </c>
      <c r="I401" t="s">
        <v>16</v>
      </c>
      <c r="J401">
        <f t="shared" si="25"/>
        <v>1200</v>
      </c>
      <c r="K401" t="str">
        <f t="shared" si="24"/>
        <v>35+</v>
      </c>
      <c r="L401" t="str">
        <f t="shared" ca="1" si="26"/>
        <v>Safe</v>
      </c>
      <c r="M401" t="str">
        <f t="shared" si="27"/>
        <v>Nov-2025</v>
      </c>
    </row>
    <row r="402" spans="1:13" x14ac:dyDescent="0.35">
      <c r="A402">
        <v>10401</v>
      </c>
      <c r="B402">
        <v>18</v>
      </c>
      <c r="C402" t="s">
        <v>9</v>
      </c>
      <c r="D402" t="s">
        <v>12</v>
      </c>
      <c r="E402" s="2">
        <v>45157</v>
      </c>
      <c r="F402" s="2">
        <v>46026</v>
      </c>
      <c r="G402">
        <v>1300</v>
      </c>
      <c r="H402" t="s">
        <v>15</v>
      </c>
      <c r="I402" t="s">
        <v>16</v>
      </c>
      <c r="J402">
        <f t="shared" si="25"/>
        <v>15600</v>
      </c>
      <c r="K402" t="str">
        <f t="shared" si="24"/>
        <v>18-24</v>
      </c>
      <c r="L402" t="str">
        <f t="shared" ca="1" si="26"/>
        <v>Safe</v>
      </c>
      <c r="M402" t="str">
        <f t="shared" si="27"/>
        <v>Aug-2023</v>
      </c>
    </row>
    <row r="403" spans="1:13" x14ac:dyDescent="0.35">
      <c r="A403">
        <v>10402</v>
      </c>
      <c r="B403">
        <v>45</v>
      </c>
      <c r="C403" t="s">
        <v>9</v>
      </c>
      <c r="D403" t="s">
        <v>13</v>
      </c>
      <c r="E403" s="2">
        <v>45304</v>
      </c>
      <c r="F403" s="2">
        <v>45953</v>
      </c>
      <c r="G403">
        <v>1000</v>
      </c>
      <c r="H403" t="s">
        <v>14</v>
      </c>
      <c r="I403" t="s">
        <v>17</v>
      </c>
      <c r="J403">
        <f t="shared" si="25"/>
        <v>3000</v>
      </c>
      <c r="K403" t="str">
        <f t="shared" si="24"/>
        <v>35+</v>
      </c>
      <c r="L403" t="str">
        <f t="shared" ca="1" si="26"/>
        <v>High Risk</v>
      </c>
      <c r="M403" t="str">
        <f t="shared" si="27"/>
        <v>Jan-2024</v>
      </c>
    </row>
    <row r="404" spans="1:13" x14ac:dyDescent="0.35">
      <c r="A404">
        <v>10403</v>
      </c>
      <c r="B404">
        <v>32</v>
      </c>
      <c r="C404" t="s">
        <v>9</v>
      </c>
      <c r="D404" t="s">
        <v>13</v>
      </c>
      <c r="E404" s="2">
        <v>45526</v>
      </c>
      <c r="F404" s="2">
        <v>46024</v>
      </c>
      <c r="G404">
        <v>1000</v>
      </c>
      <c r="H404" t="s">
        <v>14</v>
      </c>
      <c r="I404" t="s">
        <v>16</v>
      </c>
      <c r="J404">
        <f t="shared" si="25"/>
        <v>3000</v>
      </c>
      <c r="K404" t="str">
        <f t="shared" si="24"/>
        <v>25-34</v>
      </c>
      <c r="L404" t="str">
        <f t="shared" ca="1" si="26"/>
        <v>Safe</v>
      </c>
      <c r="M404" t="str">
        <f t="shared" si="27"/>
        <v>Aug-2024</v>
      </c>
    </row>
    <row r="405" spans="1:13" x14ac:dyDescent="0.35">
      <c r="A405">
        <v>10404</v>
      </c>
      <c r="B405">
        <v>18</v>
      </c>
      <c r="C405" t="s">
        <v>9</v>
      </c>
      <c r="D405" t="s">
        <v>11</v>
      </c>
      <c r="E405" s="2">
        <v>45788</v>
      </c>
      <c r="F405" s="2">
        <v>45972</v>
      </c>
      <c r="G405">
        <v>1700</v>
      </c>
      <c r="H405" t="s">
        <v>15</v>
      </c>
      <c r="I405" t="s">
        <v>17</v>
      </c>
      <c r="J405">
        <f t="shared" si="25"/>
        <v>1700</v>
      </c>
      <c r="K405" t="str">
        <f t="shared" si="24"/>
        <v>18-24</v>
      </c>
      <c r="L405" t="str">
        <f t="shared" ca="1" si="26"/>
        <v>High Risk</v>
      </c>
      <c r="M405" t="str">
        <f t="shared" si="27"/>
        <v>May-2025</v>
      </c>
    </row>
    <row r="406" spans="1:13" x14ac:dyDescent="0.35">
      <c r="A406">
        <v>10405</v>
      </c>
      <c r="B406">
        <v>22</v>
      </c>
      <c r="C406" t="s">
        <v>9</v>
      </c>
      <c r="D406" t="s">
        <v>13</v>
      </c>
      <c r="E406" s="2">
        <v>45943</v>
      </c>
      <c r="F406" s="2">
        <v>46022</v>
      </c>
      <c r="G406">
        <v>1000</v>
      </c>
      <c r="H406" t="s">
        <v>14</v>
      </c>
      <c r="I406" t="s">
        <v>16</v>
      </c>
      <c r="J406">
        <f t="shared" si="25"/>
        <v>3000</v>
      </c>
      <c r="K406" t="str">
        <f t="shared" si="24"/>
        <v>18-24</v>
      </c>
      <c r="L406" t="str">
        <f t="shared" ca="1" si="26"/>
        <v>Safe</v>
      </c>
      <c r="M406" t="str">
        <f t="shared" si="27"/>
        <v>Oct-2025</v>
      </c>
    </row>
    <row r="407" spans="1:13" x14ac:dyDescent="0.35">
      <c r="A407">
        <v>10406</v>
      </c>
      <c r="B407">
        <v>45</v>
      </c>
      <c r="C407" t="s">
        <v>9</v>
      </c>
      <c r="D407" t="s">
        <v>12</v>
      </c>
      <c r="E407" s="2">
        <v>45812</v>
      </c>
      <c r="F407" s="2">
        <v>46023</v>
      </c>
      <c r="G407">
        <v>800</v>
      </c>
      <c r="H407" t="s">
        <v>14</v>
      </c>
      <c r="I407" t="s">
        <v>16</v>
      </c>
      <c r="J407">
        <f t="shared" si="25"/>
        <v>9600</v>
      </c>
      <c r="K407" t="str">
        <f t="shared" si="24"/>
        <v>35+</v>
      </c>
      <c r="L407" t="str">
        <f t="shared" ca="1" si="26"/>
        <v>Safe</v>
      </c>
      <c r="M407" t="str">
        <f t="shared" si="27"/>
        <v>Jun-2025</v>
      </c>
    </row>
    <row r="408" spans="1:13" x14ac:dyDescent="0.35">
      <c r="A408">
        <v>10407</v>
      </c>
      <c r="B408">
        <v>33</v>
      </c>
      <c r="C408" t="s">
        <v>9</v>
      </c>
      <c r="D408" t="s">
        <v>11</v>
      </c>
      <c r="E408" s="2">
        <v>45674</v>
      </c>
      <c r="F408" s="2">
        <v>46032</v>
      </c>
      <c r="G408">
        <v>1200</v>
      </c>
      <c r="H408" t="s">
        <v>14</v>
      </c>
      <c r="I408" t="s">
        <v>16</v>
      </c>
      <c r="J408">
        <f t="shared" si="25"/>
        <v>1200</v>
      </c>
      <c r="K408" t="str">
        <f t="shared" si="24"/>
        <v>25-34</v>
      </c>
      <c r="L408" t="str">
        <f t="shared" ca="1" si="26"/>
        <v>Safe</v>
      </c>
      <c r="M408" t="str">
        <f t="shared" si="27"/>
        <v>Jan-2025</v>
      </c>
    </row>
    <row r="409" spans="1:13" x14ac:dyDescent="0.35">
      <c r="A409">
        <v>10408</v>
      </c>
      <c r="B409">
        <v>36</v>
      </c>
      <c r="C409" t="s">
        <v>10</v>
      </c>
      <c r="D409" t="s">
        <v>11</v>
      </c>
      <c r="E409" s="2">
        <v>45190</v>
      </c>
      <c r="F409" s="2">
        <v>46020</v>
      </c>
      <c r="G409">
        <v>1200</v>
      </c>
      <c r="H409" t="s">
        <v>14</v>
      </c>
      <c r="I409" t="s">
        <v>16</v>
      </c>
      <c r="J409">
        <f t="shared" si="25"/>
        <v>1200</v>
      </c>
      <c r="K409" t="str">
        <f t="shared" si="24"/>
        <v>35+</v>
      </c>
      <c r="L409" t="str">
        <f t="shared" ca="1" si="26"/>
        <v>Safe</v>
      </c>
      <c r="M409" t="str">
        <f t="shared" si="27"/>
        <v>Sep-2023</v>
      </c>
    </row>
    <row r="410" spans="1:13" x14ac:dyDescent="0.35">
      <c r="A410">
        <v>10409</v>
      </c>
      <c r="B410">
        <v>21</v>
      </c>
      <c r="C410" t="s">
        <v>9</v>
      </c>
      <c r="D410" t="s">
        <v>11</v>
      </c>
      <c r="E410" s="2">
        <v>45549</v>
      </c>
      <c r="F410" s="2">
        <v>46029</v>
      </c>
      <c r="G410">
        <v>1200</v>
      </c>
      <c r="H410" t="s">
        <v>14</v>
      </c>
      <c r="I410" t="s">
        <v>16</v>
      </c>
      <c r="J410">
        <f t="shared" si="25"/>
        <v>1200</v>
      </c>
      <c r="K410" t="str">
        <f t="shared" si="24"/>
        <v>18-24</v>
      </c>
      <c r="L410" t="str">
        <f t="shared" ca="1" si="26"/>
        <v>Safe</v>
      </c>
      <c r="M410" t="str">
        <f t="shared" si="27"/>
        <v>Sep-2024</v>
      </c>
    </row>
    <row r="411" spans="1:13" x14ac:dyDescent="0.35">
      <c r="A411">
        <v>10410</v>
      </c>
      <c r="B411">
        <v>20</v>
      </c>
      <c r="C411" t="s">
        <v>9</v>
      </c>
      <c r="D411" t="s">
        <v>11</v>
      </c>
      <c r="E411" s="2">
        <v>45488</v>
      </c>
      <c r="F411" s="2">
        <v>46017</v>
      </c>
      <c r="G411">
        <v>1200</v>
      </c>
      <c r="H411" t="s">
        <v>14</v>
      </c>
      <c r="I411" t="s">
        <v>16</v>
      </c>
      <c r="J411">
        <f t="shared" si="25"/>
        <v>1200</v>
      </c>
      <c r="K411" t="str">
        <f t="shared" si="24"/>
        <v>18-24</v>
      </c>
      <c r="L411" t="str">
        <f t="shared" ca="1" si="26"/>
        <v>Safe</v>
      </c>
      <c r="M411" t="str">
        <f t="shared" si="27"/>
        <v>Jul-2024</v>
      </c>
    </row>
    <row r="412" spans="1:13" x14ac:dyDescent="0.35">
      <c r="A412">
        <v>10411</v>
      </c>
      <c r="B412">
        <v>34</v>
      </c>
      <c r="C412" t="s">
        <v>9</v>
      </c>
      <c r="D412" t="s">
        <v>12</v>
      </c>
      <c r="E412" s="2">
        <v>45389</v>
      </c>
      <c r="F412" s="2">
        <v>46028</v>
      </c>
      <c r="G412">
        <v>800</v>
      </c>
      <c r="H412" t="s">
        <v>14</v>
      </c>
      <c r="I412" t="s">
        <v>16</v>
      </c>
      <c r="J412">
        <f t="shared" si="25"/>
        <v>9600</v>
      </c>
      <c r="K412" t="str">
        <f t="shared" si="24"/>
        <v>25-34</v>
      </c>
      <c r="L412" t="str">
        <f t="shared" ca="1" si="26"/>
        <v>Safe</v>
      </c>
      <c r="M412" t="str">
        <f t="shared" si="27"/>
        <v>Apr-2024</v>
      </c>
    </row>
    <row r="413" spans="1:13" x14ac:dyDescent="0.35">
      <c r="A413">
        <v>10412</v>
      </c>
      <c r="B413">
        <v>34</v>
      </c>
      <c r="C413" t="s">
        <v>10</v>
      </c>
      <c r="D413" t="s">
        <v>11</v>
      </c>
      <c r="E413" s="2">
        <v>45395</v>
      </c>
      <c r="F413" s="2">
        <v>46031</v>
      </c>
      <c r="G413">
        <v>1200</v>
      </c>
      <c r="H413" t="s">
        <v>14</v>
      </c>
      <c r="I413" t="s">
        <v>16</v>
      </c>
      <c r="J413">
        <f t="shared" si="25"/>
        <v>1200</v>
      </c>
      <c r="K413" t="str">
        <f t="shared" si="24"/>
        <v>25-34</v>
      </c>
      <c r="L413" t="str">
        <f t="shared" ca="1" si="26"/>
        <v>Safe</v>
      </c>
      <c r="M413" t="str">
        <f t="shared" si="27"/>
        <v>Apr-2024</v>
      </c>
    </row>
    <row r="414" spans="1:13" x14ac:dyDescent="0.35">
      <c r="A414">
        <v>10413</v>
      </c>
      <c r="B414">
        <v>29</v>
      </c>
      <c r="C414" t="s">
        <v>10</v>
      </c>
      <c r="D414" t="s">
        <v>12</v>
      </c>
      <c r="E414" s="2">
        <v>45860</v>
      </c>
      <c r="F414" s="2">
        <v>46026</v>
      </c>
      <c r="G414">
        <v>1300</v>
      </c>
      <c r="H414" t="s">
        <v>15</v>
      </c>
      <c r="I414" t="s">
        <v>16</v>
      </c>
      <c r="J414">
        <f t="shared" si="25"/>
        <v>15600</v>
      </c>
      <c r="K414" t="str">
        <f t="shared" si="24"/>
        <v>25-34</v>
      </c>
      <c r="L414" t="str">
        <f t="shared" ca="1" si="26"/>
        <v>Safe</v>
      </c>
      <c r="M414" t="str">
        <f t="shared" si="27"/>
        <v>Jul-2025</v>
      </c>
    </row>
    <row r="415" spans="1:13" x14ac:dyDescent="0.35">
      <c r="A415">
        <v>10414</v>
      </c>
      <c r="B415">
        <v>45</v>
      </c>
      <c r="C415" t="s">
        <v>9</v>
      </c>
      <c r="D415" t="s">
        <v>11</v>
      </c>
      <c r="E415" s="2">
        <v>45482</v>
      </c>
      <c r="F415" s="2">
        <v>46021</v>
      </c>
      <c r="G415">
        <v>1200</v>
      </c>
      <c r="H415" t="s">
        <v>14</v>
      </c>
      <c r="I415" t="s">
        <v>16</v>
      </c>
      <c r="J415">
        <f t="shared" si="25"/>
        <v>1200</v>
      </c>
      <c r="K415" t="str">
        <f t="shared" si="24"/>
        <v>35+</v>
      </c>
      <c r="L415" t="str">
        <f t="shared" ca="1" si="26"/>
        <v>Safe</v>
      </c>
      <c r="M415" t="str">
        <f t="shared" si="27"/>
        <v>Jul-2024</v>
      </c>
    </row>
    <row r="416" spans="1:13" x14ac:dyDescent="0.35">
      <c r="A416">
        <v>10415</v>
      </c>
      <c r="B416">
        <v>31</v>
      </c>
      <c r="C416" t="s">
        <v>9</v>
      </c>
      <c r="D416" t="s">
        <v>13</v>
      </c>
      <c r="E416" s="2">
        <v>45267</v>
      </c>
      <c r="F416" s="2">
        <v>46018</v>
      </c>
      <c r="G416">
        <v>1000</v>
      </c>
      <c r="H416" t="s">
        <v>14</v>
      </c>
      <c r="I416" t="s">
        <v>16</v>
      </c>
      <c r="J416">
        <f t="shared" si="25"/>
        <v>3000</v>
      </c>
      <c r="K416" t="str">
        <f t="shared" si="24"/>
        <v>25-34</v>
      </c>
      <c r="L416" t="str">
        <f t="shared" ca="1" si="26"/>
        <v>Safe</v>
      </c>
      <c r="M416" t="str">
        <f t="shared" si="27"/>
        <v>Dec-2023</v>
      </c>
    </row>
    <row r="417" spans="1:13" x14ac:dyDescent="0.35">
      <c r="A417">
        <v>10416</v>
      </c>
      <c r="B417">
        <v>38</v>
      </c>
      <c r="C417" t="s">
        <v>9</v>
      </c>
      <c r="D417" t="s">
        <v>11</v>
      </c>
      <c r="E417" s="2">
        <v>45241</v>
      </c>
      <c r="F417" s="2">
        <v>45949</v>
      </c>
      <c r="G417">
        <v>1200</v>
      </c>
      <c r="H417" t="s">
        <v>14</v>
      </c>
      <c r="I417" t="s">
        <v>17</v>
      </c>
      <c r="J417">
        <f t="shared" si="25"/>
        <v>1200</v>
      </c>
      <c r="K417" t="str">
        <f t="shared" si="24"/>
        <v>35+</v>
      </c>
      <c r="L417" t="str">
        <f t="shared" ca="1" si="26"/>
        <v>High Risk</v>
      </c>
      <c r="M417" t="str">
        <f t="shared" si="27"/>
        <v>Nov-2023</v>
      </c>
    </row>
    <row r="418" spans="1:13" x14ac:dyDescent="0.35">
      <c r="A418">
        <v>10417</v>
      </c>
      <c r="B418">
        <v>23</v>
      </c>
      <c r="C418" t="s">
        <v>10</v>
      </c>
      <c r="D418" t="s">
        <v>11</v>
      </c>
      <c r="E418" s="2">
        <v>45314</v>
      </c>
      <c r="F418" s="2">
        <v>46026</v>
      </c>
      <c r="G418">
        <v>1200</v>
      </c>
      <c r="H418" t="s">
        <v>14</v>
      </c>
      <c r="I418" t="s">
        <v>16</v>
      </c>
      <c r="J418">
        <f t="shared" si="25"/>
        <v>1200</v>
      </c>
      <c r="K418" t="str">
        <f t="shared" si="24"/>
        <v>18-24</v>
      </c>
      <c r="L418" t="str">
        <f t="shared" ca="1" si="26"/>
        <v>Safe</v>
      </c>
      <c r="M418" t="str">
        <f t="shared" si="27"/>
        <v>Jan-2024</v>
      </c>
    </row>
    <row r="419" spans="1:13" x14ac:dyDescent="0.35">
      <c r="A419">
        <v>10418</v>
      </c>
      <c r="B419">
        <v>20</v>
      </c>
      <c r="C419" t="s">
        <v>10</v>
      </c>
      <c r="D419" t="s">
        <v>11</v>
      </c>
      <c r="E419" s="2">
        <v>45305</v>
      </c>
      <c r="F419" s="2">
        <v>46017</v>
      </c>
      <c r="G419">
        <v>1200</v>
      </c>
      <c r="H419" t="s">
        <v>14</v>
      </c>
      <c r="I419" t="s">
        <v>16</v>
      </c>
      <c r="J419">
        <f t="shared" si="25"/>
        <v>1200</v>
      </c>
      <c r="K419" t="str">
        <f t="shared" si="24"/>
        <v>18-24</v>
      </c>
      <c r="L419" t="str">
        <f t="shared" ca="1" si="26"/>
        <v>Safe</v>
      </c>
      <c r="M419" t="str">
        <f t="shared" si="27"/>
        <v>Jan-2024</v>
      </c>
    </row>
    <row r="420" spans="1:13" x14ac:dyDescent="0.35">
      <c r="A420">
        <v>10419</v>
      </c>
      <c r="B420">
        <v>45</v>
      </c>
      <c r="C420" t="s">
        <v>9</v>
      </c>
      <c r="D420" t="s">
        <v>11</v>
      </c>
      <c r="E420" s="2">
        <v>45920</v>
      </c>
      <c r="F420" s="2">
        <v>45944</v>
      </c>
      <c r="G420">
        <v>1200</v>
      </c>
      <c r="H420" t="s">
        <v>14</v>
      </c>
      <c r="I420" t="s">
        <v>17</v>
      </c>
      <c r="J420">
        <f t="shared" si="25"/>
        <v>1200</v>
      </c>
      <c r="K420" t="str">
        <f t="shared" si="24"/>
        <v>35+</v>
      </c>
      <c r="L420" t="str">
        <f t="shared" ca="1" si="26"/>
        <v>High Risk</v>
      </c>
      <c r="M420" t="str">
        <f t="shared" si="27"/>
        <v>Sep-2025</v>
      </c>
    </row>
    <row r="421" spans="1:13" x14ac:dyDescent="0.35">
      <c r="A421">
        <v>10420</v>
      </c>
      <c r="B421">
        <v>26</v>
      </c>
      <c r="C421" t="s">
        <v>10</v>
      </c>
      <c r="D421" t="s">
        <v>13</v>
      </c>
      <c r="E421" s="2">
        <v>45324</v>
      </c>
      <c r="F421" s="2">
        <v>46023</v>
      </c>
      <c r="G421">
        <v>1500</v>
      </c>
      <c r="H421" t="s">
        <v>15</v>
      </c>
      <c r="I421" t="s">
        <v>16</v>
      </c>
      <c r="J421">
        <f t="shared" si="25"/>
        <v>4500</v>
      </c>
      <c r="K421" t="str">
        <f t="shared" si="24"/>
        <v>25-34</v>
      </c>
      <c r="L421" t="str">
        <f t="shared" ca="1" si="26"/>
        <v>Safe</v>
      </c>
      <c r="M421" t="str">
        <f t="shared" si="27"/>
        <v>Feb-2024</v>
      </c>
    </row>
    <row r="422" spans="1:13" x14ac:dyDescent="0.35">
      <c r="A422">
        <v>10421</v>
      </c>
      <c r="B422">
        <v>22</v>
      </c>
      <c r="C422" t="s">
        <v>10</v>
      </c>
      <c r="D422" t="s">
        <v>12</v>
      </c>
      <c r="E422" s="2">
        <v>45541</v>
      </c>
      <c r="F422" s="2">
        <v>46025</v>
      </c>
      <c r="G422">
        <v>1300</v>
      </c>
      <c r="H422" t="s">
        <v>15</v>
      </c>
      <c r="I422" t="s">
        <v>16</v>
      </c>
      <c r="J422">
        <f t="shared" si="25"/>
        <v>15600</v>
      </c>
      <c r="K422" t="str">
        <f t="shared" si="24"/>
        <v>18-24</v>
      </c>
      <c r="L422" t="str">
        <f t="shared" ca="1" si="26"/>
        <v>Safe</v>
      </c>
      <c r="M422" t="str">
        <f t="shared" si="27"/>
        <v>Sep-2024</v>
      </c>
    </row>
    <row r="423" spans="1:13" x14ac:dyDescent="0.35">
      <c r="A423">
        <v>10422</v>
      </c>
      <c r="B423">
        <v>41</v>
      </c>
      <c r="C423" t="s">
        <v>9</v>
      </c>
      <c r="D423" t="s">
        <v>13</v>
      </c>
      <c r="E423" s="2">
        <v>45314</v>
      </c>
      <c r="F423" s="2">
        <v>46016</v>
      </c>
      <c r="G423">
        <v>1000</v>
      </c>
      <c r="H423" t="s">
        <v>14</v>
      </c>
      <c r="I423" t="s">
        <v>16</v>
      </c>
      <c r="J423">
        <f t="shared" si="25"/>
        <v>3000</v>
      </c>
      <c r="K423" t="str">
        <f t="shared" si="24"/>
        <v>35+</v>
      </c>
      <c r="L423" t="str">
        <f t="shared" ca="1" si="26"/>
        <v>Safe</v>
      </c>
      <c r="M423" t="str">
        <f t="shared" si="27"/>
        <v>Jan-2024</v>
      </c>
    </row>
    <row r="424" spans="1:13" x14ac:dyDescent="0.35">
      <c r="A424">
        <v>10423</v>
      </c>
      <c r="B424">
        <v>34</v>
      </c>
      <c r="C424" t="s">
        <v>9</v>
      </c>
      <c r="D424" t="s">
        <v>11</v>
      </c>
      <c r="E424" s="2">
        <v>45713</v>
      </c>
      <c r="F424" s="2">
        <v>45924</v>
      </c>
      <c r="G424">
        <v>1700</v>
      </c>
      <c r="H424" t="s">
        <v>15</v>
      </c>
      <c r="I424" t="s">
        <v>17</v>
      </c>
      <c r="J424">
        <f t="shared" si="25"/>
        <v>1700</v>
      </c>
      <c r="K424" t="str">
        <f t="shared" si="24"/>
        <v>25-34</v>
      </c>
      <c r="L424" t="str">
        <f t="shared" ca="1" si="26"/>
        <v>High Risk</v>
      </c>
      <c r="M424" t="str">
        <f t="shared" si="27"/>
        <v>Feb-2025</v>
      </c>
    </row>
    <row r="425" spans="1:13" x14ac:dyDescent="0.35">
      <c r="A425">
        <v>10424</v>
      </c>
      <c r="B425">
        <v>31</v>
      </c>
      <c r="C425" t="s">
        <v>9</v>
      </c>
      <c r="D425" t="s">
        <v>11</v>
      </c>
      <c r="E425" s="2">
        <v>45425</v>
      </c>
      <c r="F425" s="2">
        <v>46016</v>
      </c>
      <c r="G425">
        <v>1700</v>
      </c>
      <c r="H425" t="s">
        <v>15</v>
      </c>
      <c r="I425" t="s">
        <v>16</v>
      </c>
      <c r="J425">
        <f t="shared" si="25"/>
        <v>1700</v>
      </c>
      <c r="K425" t="str">
        <f t="shared" si="24"/>
        <v>25-34</v>
      </c>
      <c r="L425" t="str">
        <f t="shared" ca="1" si="26"/>
        <v>Safe</v>
      </c>
      <c r="M425" t="str">
        <f t="shared" si="27"/>
        <v>May-2024</v>
      </c>
    </row>
    <row r="426" spans="1:13" x14ac:dyDescent="0.35">
      <c r="A426">
        <v>10425</v>
      </c>
      <c r="B426">
        <v>38</v>
      </c>
      <c r="C426" t="s">
        <v>9</v>
      </c>
      <c r="D426" t="s">
        <v>11</v>
      </c>
      <c r="E426" s="2">
        <v>45549</v>
      </c>
      <c r="F426" s="2">
        <v>45999</v>
      </c>
      <c r="G426">
        <v>1700</v>
      </c>
      <c r="H426" t="s">
        <v>15</v>
      </c>
      <c r="I426" t="s">
        <v>17</v>
      </c>
      <c r="J426">
        <f t="shared" si="25"/>
        <v>1700</v>
      </c>
      <c r="K426" t="str">
        <f t="shared" si="24"/>
        <v>35+</v>
      </c>
      <c r="L426" t="str">
        <f t="shared" ca="1" si="26"/>
        <v>High Risk</v>
      </c>
      <c r="M426" t="str">
        <f t="shared" si="27"/>
        <v>Sep-2024</v>
      </c>
    </row>
    <row r="427" spans="1:13" x14ac:dyDescent="0.35">
      <c r="A427">
        <v>10426</v>
      </c>
      <c r="B427">
        <v>20</v>
      </c>
      <c r="C427" t="s">
        <v>10</v>
      </c>
      <c r="D427" t="s">
        <v>13</v>
      </c>
      <c r="E427" s="2">
        <v>45961</v>
      </c>
      <c r="F427" s="2">
        <v>45955</v>
      </c>
      <c r="G427">
        <v>1000</v>
      </c>
      <c r="H427" t="s">
        <v>14</v>
      </c>
      <c r="I427" t="s">
        <v>17</v>
      </c>
      <c r="J427">
        <f t="shared" si="25"/>
        <v>3000</v>
      </c>
      <c r="K427" t="str">
        <f t="shared" si="24"/>
        <v>18-24</v>
      </c>
      <c r="L427" t="str">
        <f t="shared" ca="1" si="26"/>
        <v>High Risk</v>
      </c>
      <c r="M427" t="str">
        <f t="shared" si="27"/>
        <v>Oct-2025</v>
      </c>
    </row>
    <row r="428" spans="1:13" x14ac:dyDescent="0.35">
      <c r="A428">
        <v>10427</v>
      </c>
      <c r="B428">
        <v>45</v>
      </c>
      <c r="C428" t="s">
        <v>9</v>
      </c>
      <c r="D428" t="s">
        <v>12</v>
      </c>
      <c r="E428" s="2">
        <v>45722</v>
      </c>
      <c r="F428" s="2">
        <v>46018</v>
      </c>
      <c r="G428">
        <v>800</v>
      </c>
      <c r="H428" t="s">
        <v>14</v>
      </c>
      <c r="I428" t="s">
        <v>16</v>
      </c>
      <c r="J428">
        <f t="shared" si="25"/>
        <v>9600</v>
      </c>
      <c r="K428" t="str">
        <f t="shared" si="24"/>
        <v>35+</v>
      </c>
      <c r="L428" t="str">
        <f t="shared" ca="1" si="26"/>
        <v>Safe</v>
      </c>
      <c r="M428" t="str">
        <f t="shared" si="27"/>
        <v>Mar-2025</v>
      </c>
    </row>
    <row r="429" spans="1:13" x14ac:dyDescent="0.35">
      <c r="A429">
        <v>10428</v>
      </c>
      <c r="B429">
        <v>18</v>
      </c>
      <c r="C429" t="s">
        <v>9</v>
      </c>
      <c r="D429" t="s">
        <v>12</v>
      </c>
      <c r="E429" s="2">
        <v>45771</v>
      </c>
      <c r="F429" s="2">
        <v>46027</v>
      </c>
      <c r="G429">
        <v>800</v>
      </c>
      <c r="H429" t="s">
        <v>14</v>
      </c>
      <c r="I429" t="s">
        <v>16</v>
      </c>
      <c r="J429">
        <f t="shared" si="25"/>
        <v>9600</v>
      </c>
      <c r="K429" t="str">
        <f t="shared" si="24"/>
        <v>18-24</v>
      </c>
      <c r="L429" t="str">
        <f t="shared" ca="1" si="26"/>
        <v>Safe</v>
      </c>
      <c r="M429" t="str">
        <f t="shared" si="27"/>
        <v>Apr-2025</v>
      </c>
    </row>
    <row r="430" spans="1:13" x14ac:dyDescent="0.35">
      <c r="A430">
        <v>10429</v>
      </c>
      <c r="B430">
        <v>37</v>
      </c>
      <c r="C430" t="s">
        <v>9</v>
      </c>
      <c r="D430" t="s">
        <v>11</v>
      </c>
      <c r="E430" s="2">
        <v>45405</v>
      </c>
      <c r="F430" s="2">
        <v>45978</v>
      </c>
      <c r="G430">
        <v>1200</v>
      </c>
      <c r="H430" t="s">
        <v>14</v>
      </c>
      <c r="I430" t="s">
        <v>17</v>
      </c>
      <c r="J430">
        <f t="shared" si="25"/>
        <v>1200</v>
      </c>
      <c r="K430" t="str">
        <f t="shared" si="24"/>
        <v>35+</v>
      </c>
      <c r="L430" t="str">
        <f t="shared" ca="1" si="26"/>
        <v>High Risk</v>
      </c>
      <c r="M430" t="str">
        <f t="shared" si="27"/>
        <v>Apr-2024</v>
      </c>
    </row>
    <row r="431" spans="1:13" x14ac:dyDescent="0.35">
      <c r="A431">
        <v>10430</v>
      </c>
      <c r="B431">
        <v>38</v>
      </c>
      <c r="C431" t="s">
        <v>9</v>
      </c>
      <c r="D431" t="s">
        <v>13</v>
      </c>
      <c r="E431" s="2">
        <v>45826</v>
      </c>
      <c r="F431" s="2">
        <v>46000</v>
      </c>
      <c r="G431">
        <v>1500</v>
      </c>
      <c r="H431" t="s">
        <v>15</v>
      </c>
      <c r="I431" t="s">
        <v>17</v>
      </c>
      <c r="J431">
        <f t="shared" si="25"/>
        <v>4500</v>
      </c>
      <c r="K431" t="str">
        <f t="shared" si="24"/>
        <v>35+</v>
      </c>
      <c r="L431" t="str">
        <f t="shared" ca="1" si="26"/>
        <v>High Risk</v>
      </c>
      <c r="M431" t="str">
        <f t="shared" si="27"/>
        <v>Jun-2025</v>
      </c>
    </row>
    <row r="432" spans="1:13" x14ac:dyDescent="0.35">
      <c r="A432">
        <v>10431</v>
      </c>
      <c r="B432">
        <v>40</v>
      </c>
      <c r="C432" t="s">
        <v>9</v>
      </c>
      <c r="D432" t="s">
        <v>13</v>
      </c>
      <c r="E432" s="2">
        <v>45962</v>
      </c>
      <c r="F432" s="2">
        <v>46019</v>
      </c>
      <c r="G432">
        <v>1000</v>
      </c>
      <c r="H432" t="s">
        <v>14</v>
      </c>
      <c r="I432" t="s">
        <v>16</v>
      </c>
      <c r="J432">
        <f t="shared" si="25"/>
        <v>3000</v>
      </c>
      <c r="K432" t="str">
        <f t="shared" si="24"/>
        <v>35+</v>
      </c>
      <c r="L432" t="str">
        <f t="shared" ca="1" si="26"/>
        <v>Safe</v>
      </c>
      <c r="M432" t="str">
        <f t="shared" si="27"/>
        <v>Nov-2025</v>
      </c>
    </row>
    <row r="433" spans="1:13" x14ac:dyDescent="0.35">
      <c r="A433">
        <v>10432</v>
      </c>
      <c r="B433">
        <v>18</v>
      </c>
      <c r="C433" t="s">
        <v>9</v>
      </c>
      <c r="D433" t="s">
        <v>13</v>
      </c>
      <c r="E433" s="2">
        <v>45443</v>
      </c>
      <c r="F433" s="2">
        <v>46008</v>
      </c>
      <c r="G433">
        <v>1000</v>
      </c>
      <c r="H433" t="s">
        <v>14</v>
      </c>
      <c r="I433" t="s">
        <v>16</v>
      </c>
      <c r="J433">
        <f t="shared" si="25"/>
        <v>3000</v>
      </c>
      <c r="K433" t="str">
        <f t="shared" si="24"/>
        <v>18-24</v>
      </c>
      <c r="L433" t="str">
        <f t="shared" ca="1" si="26"/>
        <v>Safe</v>
      </c>
      <c r="M433" t="str">
        <f t="shared" si="27"/>
        <v>May-2024</v>
      </c>
    </row>
    <row r="434" spans="1:13" x14ac:dyDescent="0.35">
      <c r="A434">
        <v>10433</v>
      </c>
      <c r="B434">
        <v>20</v>
      </c>
      <c r="C434" t="s">
        <v>9</v>
      </c>
      <c r="D434" t="s">
        <v>13</v>
      </c>
      <c r="E434" s="2">
        <v>45995</v>
      </c>
      <c r="F434" s="2">
        <v>45966</v>
      </c>
      <c r="G434">
        <v>1000</v>
      </c>
      <c r="H434" t="s">
        <v>14</v>
      </c>
      <c r="I434" t="s">
        <v>17</v>
      </c>
      <c r="J434">
        <f t="shared" si="25"/>
        <v>3000</v>
      </c>
      <c r="K434" t="str">
        <f t="shared" si="24"/>
        <v>18-24</v>
      </c>
      <c r="L434" t="str">
        <f t="shared" ca="1" si="26"/>
        <v>High Risk</v>
      </c>
      <c r="M434" t="str">
        <f t="shared" si="27"/>
        <v>Dec-2025</v>
      </c>
    </row>
    <row r="435" spans="1:13" x14ac:dyDescent="0.35">
      <c r="A435">
        <v>10434</v>
      </c>
      <c r="B435">
        <v>35</v>
      </c>
      <c r="C435" t="s">
        <v>9</v>
      </c>
      <c r="D435" t="s">
        <v>13</v>
      </c>
      <c r="E435" s="2">
        <v>45789</v>
      </c>
      <c r="F435" s="2">
        <v>46022</v>
      </c>
      <c r="G435">
        <v>1500</v>
      </c>
      <c r="H435" t="s">
        <v>15</v>
      </c>
      <c r="I435" t="s">
        <v>16</v>
      </c>
      <c r="J435">
        <f t="shared" si="25"/>
        <v>4500</v>
      </c>
      <c r="K435" t="str">
        <f t="shared" si="24"/>
        <v>35+</v>
      </c>
      <c r="L435" t="str">
        <f t="shared" ca="1" si="26"/>
        <v>Safe</v>
      </c>
      <c r="M435" t="str">
        <f t="shared" si="27"/>
        <v>May-2025</v>
      </c>
    </row>
    <row r="436" spans="1:13" x14ac:dyDescent="0.35">
      <c r="A436">
        <v>10435</v>
      </c>
      <c r="B436">
        <v>42</v>
      </c>
      <c r="C436" t="s">
        <v>9</v>
      </c>
      <c r="D436" t="s">
        <v>13</v>
      </c>
      <c r="E436" s="2">
        <v>45587</v>
      </c>
      <c r="F436" s="2">
        <v>46014</v>
      </c>
      <c r="G436">
        <v>1500</v>
      </c>
      <c r="H436" t="s">
        <v>15</v>
      </c>
      <c r="I436" t="s">
        <v>16</v>
      </c>
      <c r="J436">
        <f t="shared" si="25"/>
        <v>4500</v>
      </c>
      <c r="K436" t="str">
        <f t="shared" si="24"/>
        <v>35+</v>
      </c>
      <c r="L436" t="str">
        <f t="shared" ca="1" si="26"/>
        <v>Safe</v>
      </c>
      <c r="M436" t="str">
        <f t="shared" si="27"/>
        <v>Oct-2024</v>
      </c>
    </row>
    <row r="437" spans="1:13" x14ac:dyDescent="0.35">
      <c r="A437">
        <v>10436</v>
      </c>
      <c r="B437">
        <v>27</v>
      </c>
      <c r="C437" t="s">
        <v>9</v>
      </c>
      <c r="D437" t="s">
        <v>11</v>
      </c>
      <c r="E437" s="2">
        <v>45405</v>
      </c>
      <c r="F437" s="2">
        <v>46027</v>
      </c>
      <c r="G437">
        <v>1700</v>
      </c>
      <c r="H437" t="s">
        <v>15</v>
      </c>
      <c r="I437" t="s">
        <v>16</v>
      </c>
      <c r="J437">
        <f t="shared" si="25"/>
        <v>1700</v>
      </c>
      <c r="K437" t="str">
        <f t="shared" si="24"/>
        <v>25-34</v>
      </c>
      <c r="L437" t="str">
        <f t="shared" ca="1" si="26"/>
        <v>Safe</v>
      </c>
      <c r="M437" t="str">
        <f t="shared" si="27"/>
        <v>Apr-2024</v>
      </c>
    </row>
    <row r="438" spans="1:13" x14ac:dyDescent="0.35">
      <c r="A438">
        <v>10437</v>
      </c>
      <c r="B438">
        <v>39</v>
      </c>
      <c r="C438" t="s">
        <v>9</v>
      </c>
      <c r="D438" t="s">
        <v>12</v>
      </c>
      <c r="E438" s="2">
        <v>45708</v>
      </c>
      <c r="F438" s="2">
        <v>46017</v>
      </c>
      <c r="G438">
        <v>800</v>
      </c>
      <c r="H438" t="s">
        <v>14</v>
      </c>
      <c r="I438" t="s">
        <v>16</v>
      </c>
      <c r="J438">
        <f t="shared" si="25"/>
        <v>9600</v>
      </c>
      <c r="K438" t="str">
        <f t="shared" si="24"/>
        <v>35+</v>
      </c>
      <c r="L438" t="str">
        <f t="shared" ca="1" si="26"/>
        <v>Safe</v>
      </c>
      <c r="M438" t="str">
        <f t="shared" si="27"/>
        <v>Feb-2025</v>
      </c>
    </row>
    <row r="439" spans="1:13" x14ac:dyDescent="0.35">
      <c r="A439">
        <v>10438</v>
      </c>
      <c r="B439">
        <v>43</v>
      </c>
      <c r="C439" t="s">
        <v>9</v>
      </c>
      <c r="D439" t="s">
        <v>11</v>
      </c>
      <c r="E439" s="2">
        <v>45315</v>
      </c>
      <c r="F439" s="2">
        <v>46030</v>
      </c>
      <c r="G439">
        <v>1200</v>
      </c>
      <c r="H439" t="s">
        <v>14</v>
      </c>
      <c r="I439" t="s">
        <v>16</v>
      </c>
      <c r="J439">
        <f t="shared" si="25"/>
        <v>1200</v>
      </c>
      <c r="K439" t="str">
        <f t="shared" si="24"/>
        <v>35+</v>
      </c>
      <c r="L439" t="str">
        <f t="shared" ca="1" si="26"/>
        <v>Safe</v>
      </c>
      <c r="M439" t="str">
        <f t="shared" si="27"/>
        <v>Jan-2024</v>
      </c>
    </row>
    <row r="440" spans="1:13" x14ac:dyDescent="0.35">
      <c r="A440">
        <v>10439</v>
      </c>
      <c r="B440">
        <v>20</v>
      </c>
      <c r="C440" t="s">
        <v>9</v>
      </c>
      <c r="D440" t="s">
        <v>13</v>
      </c>
      <c r="E440" s="2">
        <v>45706</v>
      </c>
      <c r="F440" s="2">
        <v>46021</v>
      </c>
      <c r="G440">
        <v>1000</v>
      </c>
      <c r="H440" t="s">
        <v>14</v>
      </c>
      <c r="I440" t="s">
        <v>16</v>
      </c>
      <c r="J440">
        <f t="shared" si="25"/>
        <v>3000</v>
      </c>
      <c r="K440" t="str">
        <f t="shared" si="24"/>
        <v>18-24</v>
      </c>
      <c r="L440" t="str">
        <f t="shared" ca="1" si="26"/>
        <v>Safe</v>
      </c>
      <c r="M440" t="str">
        <f t="shared" si="27"/>
        <v>Feb-2025</v>
      </c>
    </row>
    <row r="441" spans="1:13" x14ac:dyDescent="0.35">
      <c r="A441">
        <v>10440</v>
      </c>
      <c r="B441">
        <v>25</v>
      </c>
      <c r="C441" t="s">
        <v>9</v>
      </c>
      <c r="D441" t="s">
        <v>11</v>
      </c>
      <c r="E441" s="2">
        <v>45554</v>
      </c>
      <c r="F441" s="2">
        <v>45936</v>
      </c>
      <c r="G441">
        <v>1200</v>
      </c>
      <c r="H441" t="s">
        <v>14</v>
      </c>
      <c r="I441" t="s">
        <v>17</v>
      </c>
      <c r="J441">
        <f t="shared" si="25"/>
        <v>1200</v>
      </c>
      <c r="K441" t="str">
        <f t="shared" si="24"/>
        <v>25-34</v>
      </c>
      <c r="L441" t="str">
        <f t="shared" ca="1" si="26"/>
        <v>High Risk</v>
      </c>
      <c r="M441" t="str">
        <f t="shared" si="27"/>
        <v>Sep-2024</v>
      </c>
    </row>
    <row r="442" spans="1:13" x14ac:dyDescent="0.35">
      <c r="A442">
        <v>10441</v>
      </c>
      <c r="B442">
        <v>31</v>
      </c>
      <c r="C442" t="s">
        <v>9</v>
      </c>
      <c r="D442" t="s">
        <v>13</v>
      </c>
      <c r="E442" s="2">
        <v>45856</v>
      </c>
      <c r="F442" s="2">
        <v>46029</v>
      </c>
      <c r="G442">
        <v>1000</v>
      </c>
      <c r="H442" t="s">
        <v>14</v>
      </c>
      <c r="I442" t="s">
        <v>16</v>
      </c>
      <c r="J442">
        <f t="shared" si="25"/>
        <v>3000</v>
      </c>
      <c r="K442" t="str">
        <f t="shared" si="24"/>
        <v>25-34</v>
      </c>
      <c r="L442" t="str">
        <f t="shared" ca="1" si="26"/>
        <v>Safe</v>
      </c>
      <c r="M442" t="str">
        <f t="shared" si="27"/>
        <v>Jul-2025</v>
      </c>
    </row>
    <row r="443" spans="1:13" x14ac:dyDescent="0.35">
      <c r="A443">
        <v>10442</v>
      </c>
      <c r="B443">
        <v>41</v>
      </c>
      <c r="C443" t="s">
        <v>9</v>
      </c>
      <c r="D443" t="s">
        <v>12</v>
      </c>
      <c r="E443" s="2">
        <v>45508</v>
      </c>
      <c r="F443" s="2">
        <v>46021</v>
      </c>
      <c r="G443">
        <v>800</v>
      </c>
      <c r="H443" t="s">
        <v>14</v>
      </c>
      <c r="I443" t="s">
        <v>16</v>
      </c>
      <c r="J443">
        <f t="shared" si="25"/>
        <v>9600</v>
      </c>
      <c r="K443" t="str">
        <f t="shared" si="24"/>
        <v>35+</v>
      </c>
      <c r="L443" t="str">
        <f t="shared" ca="1" si="26"/>
        <v>Safe</v>
      </c>
      <c r="M443" t="str">
        <f t="shared" si="27"/>
        <v>Aug-2024</v>
      </c>
    </row>
    <row r="444" spans="1:13" x14ac:dyDescent="0.35">
      <c r="A444">
        <v>10443</v>
      </c>
      <c r="B444">
        <v>35</v>
      </c>
      <c r="C444" t="s">
        <v>10</v>
      </c>
      <c r="D444" t="s">
        <v>12</v>
      </c>
      <c r="E444" s="2">
        <v>45408</v>
      </c>
      <c r="F444" s="2">
        <v>46015</v>
      </c>
      <c r="G444">
        <v>1300</v>
      </c>
      <c r="H444" t="s">
        <v>15</v>
      </c>
      <c r="I444" t="s">
        <v>16</v>
      </c>
      <c r="J444">
        <f t="shared" si="25"/>
        <v>15600</v>
      </c>
      <c r="K444" t="str">
        <f t="shared" si="24"/>
        <v>35+</v>
      </c>
      <c r="L444" t="str">
        <f t="shared" ca="1" si="26"/>
        <v>Safe</v>
      </c>
      <c r="M444" t="str">
        <f t="shared" si="27"/>
        <v>Apr-2024</v>
      </c>
    </row>
    <row r="445" spans="1:13" x14ac:dyDescent="0.35">
      <c r="A445">
        <v>10444</v>
      </c>
      <c r="B445">
        <v>32</v>
      </c>
      <c r="C445" t="s">
        <v>9</v>
      </c>
      <c r="D445" t="s">
        <v>12</v>
      </c>
      <c r="E445" s="2">
        <v>45507</v>
      </c>
      <c r="F445" s="2">
        <v>46019</v>
      </c>
      <c r="G445">
        <v>800</v>
      </c>
      <c r="H445" t="s">
        <v>14</v>
      </c>
      <c r="I445" t="s">
        <v>16</v>
      </c>
      <c r="J445">
        <f t="shared" si="25"/>
        <v>9600</v>
      </c>
      <c r="K445" t="str">
        <f t="shared" si="24"/>
        <v>25-34</v>
      </c>
      <c r="L445" t="str">
        <f t="shared" ca="1" si="26"/>
        <v>Safe</v>
      </c>
      <c r="M445" t="str">
        <f t="shared" si="27"/>
        <v>Aug-2024</v>
      </c>
    </row>
    <row r="446" spans="1:13" x14ac:dyDescent="0.35">
      <c r="A446">
        <v>10445</v>
      </c>
      <c r="B446">
        <v>39</v>
      </c>
      <c r="C446" t="s">
        <v>9</v>
      </c>
      <c r="D446" t="s">
        <v>13</v>
      </c>
      <c r="E446" s="2">
        <v>45314</v>
      </c>
      <c r="F446" s="2">
        <v>45983</v>
      </c>
      <c r="G446">
        <v>1000</v>
      </c>
      <c r="H446" t="s">
        <v>14</v>
      </c>
      <c r="I446" t="s">
        <v>17</v>
      </c>
      <c r="J446">
        <f t="shared" si="25"/>
        <v>3000</v>
      </c>
      <c r="K446" t="str">
        <f t="shared" si="24"/>
        <v>35+</v>
      </c>
      <c r="L446" t="str">
        <f t="shared" ca="1" si="26"/>
        <v>High Risk</v>
      </c>
      <c r="M446" t="str">
        <f t="shared" si="27"/>
        <v>Jan-2024</v>
      </c>
    </row>
    <row r="447" spans="1:13" x14ac:dyDescent="0.35">
      <c r="A447">
        <v>10446</v>
      </c>
      <c r="B447">
        <v>40</v>
      </c>
      <c r="C447" t="s">
        <v>10</v>
      </c>
      <c r="D447" t="s">
        <v>13</v>
      </c>
      <c r="E447" s="2">
        <v>45224</v>
      </c>
      <c r="F447" s="2">
        <v>46018</v>
      </c>
      <c r="G447">
        <v>1500</v>
      </c>
      <c r="H447" t="s">
        <v>15</v>
      </c>
      <c r="I447" t="s">
        <v>16</v>
      </c>
      <c r="J447">
        <f t="shared" si="25"/>
        <v>4500</v>
      </c>
      <c r="K447" t="str">
        <f t="shared" si="24"/>
        <v>35+</v>
      </c>
      <c r="L447" t="str">
        <f t="shared" ca="1" si="26"/>
        <v>Safe</v>
      </c>
      <c r="M447" t="str">
        <f t="shared" si="27"/>
        <v>Oct-2023</v>
      </c>
    </row>
    <row r="448" spans="1:13" x14ac:dyDescent="0.35">
      <c r="A448">
        <v>10447</v>
      </c>
      <c r="B448">
        <v>19</v>
      </c>
      <c r="C448" t="s">
        <v>9</v>
      </c>
      <c r="D448" t="s">
        <v>13</v>
      </c>
      <c r="E448" s="2">
        <v>45609</v>
      </c>
      <c r="F448" s="2">
        <v>46022</v>
      </c>
      <c r="G448">
        <v>1000</v>
      </c>
      <c r="H448" t="s">
        <v>14</v>
      </c>
      <c r="I448" t="s">
        <v>16</v>
      </c>
      <c r="J448">
        <f t="shared" si="25"/>
        <v>3000</v>
      </c>
      <c r="K448" t="str">
        <f t="shared" si="24"/>
        <v>18-24</v>
      </c>
      <c r="L448" t="str">
        <f t="shared" ca="1" si="26"/>
        <v>Safe</v>
      </c>
      <c r="M448" t="str">
        <f t="shared" si="27"/>
        <v>Nov-2024</v>
      </c>
    </row>
    <row r="449" spans="1:13" x14ac:dyDescent="0.35">
      <c r="A449">
        <v>10448</v>
      </c>
      <c r="B449">
        <v>44</v>
      </c>
      <c r="C449" t="s">
        <v>9</v>
      </c>
      <c r="D449" t="s">
        <v>12</v>
      </c>
      <c r="E449" s="2">
        <v>45922</v>
      </c>
      <c r="F449" s="2">
        <v>46026</v>
      </c>
      <c r="G449">
        <v>800</v>
      </c>
      <c r="H449" t="s">
        <v>14</v>
      </c>
      <c r="I449" t="s">
        <v>16</v>
      </c>
      <c r="J449">
        <f t="shared" si="25"/>
        <v>9600</v>
      </c>
      <c r="K449" t="str">
        <f t="shared" si="24"/>
        <v>35+</v>
      </c>
      <c r="L449" t="str">
        <f t="shared" ca="1" si="26"/>
        <v>Safe</v>
      </c>
      <c r="M449" t="str">
        <f t="shared" si="27"/>
        <v>Sep-2025</v>
      </c>
    </row>
    <row r="450" spans="1:13" x14ac:dyDescent="0.35">
      <c r="A450">
        <v>10449</v>
      </c>
      <c r="B450">
        <v>27</v>
      </c>
      <c r="C450" t="s">
        <v>10</v>
      </c>
      <c r="D450" t="s">
        <v>11</v>
      </c>
      <c r="E450" s="2">
        <v>45755</v>
      </c>
      <c r="F450" s="2">
        <v>46023</v>
      </c>
      <c r="G450">
        <v>1200</v>
      </c>
      <c r="H450" t="s">
        <v>14</v>
      </c>
      <c r="I450" t="s">
        <v>16</v>
      </c>
      <c r="J450">
        <f t="shared" si="25"/>
        <v>1200</v>
      </c>
      <c r="K450" t="str">
        <f t="shared" ref="K450:K513" si="28">IF(B450&lt;25,"18-24",IF(B450&lt;35,"25-34","35+"))</f>
        <v>25-34</v>
      </c>
      <c r="L450" t="str">
        <f t="shared" ca="1" si="26"/>
        <v>Safe</v>
      </c>
      <c r="M450" t="str">
        <f t="shared" si="27"/>
        <v>Apr-2025</v>
      </c>
    </row>
    <row r="451" spans="1:13" x14ac:dyDescent="0.35">
      <c r="A451">
        <v>10450</v>
      </c>
      <c r="B451">
        <v>19</v>
      </c>
      <c r="C451" t="s">
        <v>10</v>
      </c>
      <c r="D451" t="s">
        <v>12</v>
      </c>
      <c r="E451" s="2">
        <v>45939</v>
      </c>
      <c r="F451" s="2">
        <v>46031</v>
      </c>
      <c r="G451">
        <v>800</v>
      </c>
      <c r="H451" t="s">
        <v>14</v>
      </c>
      <c r="I451" t="s">
        <v>16</v>
      </c>
      <c r="J451">
        <f t="shared" ref="J451:J514" si="29">IF(D451="Monthly",G451,IF(D451="Quarterly",G451*3,G451*12))</f>
        <v>9600</v>
      </c>
      <c r="K451" t="str">
        <f t="shared" si="28"/>
        <v>18-24</v>
      </c>
      <c r="L451" t="str">
        <f t="shared" ref="L451:L514" ca="1" si="30">IF(F451&lt;TODAY()-30,"High Risk","Safe")</f>
        <v>Safe</v>
      </c>
      <c r="M451" t="str">
        <f t="shared" ref="M451:M514" si="31">TEXT(E451,"mmm-yyyy")</f>
        <v>Oct-2025</v>
      </c>
    </row>
    <row r="452" spans="1:13" x14ac:dyDescent="0.35">
      <c r="A452">
        <v>10451</v>
      </c>
      <c r="B452">
        <v>43</v>
      </c>
      <c r="C452" t="s">
        <v>9</v>
      </c>
      <c r="D452" t="s">
        <v>12</v>
      </c>
      <c r="E452" s="2">
        <v>45172</v>
      </c>
      <c r="F452" s="2">
        <v>46031</v>
      </c>
      <c r="G452">
        <v>800</v>
      </c>
      <c r="H452" t="s">
        <v>14</v>
      </c>
      <c r="I452" t="s">
        <v>16</v>
      </c>
      <c r="J452">
        <f t="shared" si="29"/>
        <v>9600</v>
      </c>
      <c r="K452" t="str">
        <f t="shared" si="28"/>
        <v>35+</v>
      </c>
      <c r="L452" t="str">
        <f t="shared" ca="1" si="30"/>
        <v>Safe</v>
      </c>
      <c r="M452" t="str">
        <f t="shared" si="31"/>
        <v>Sep-2023</v>
      </c>
    </row>
    <row r="453" spans="1:13" x14ac:dyDescent="0.35">
      <c r="A453">
        <v>10452</v>
      </c>
      <c r="B453">
        <v>34</v>
      </c>
      <c r="C453" t="s">
        <v>9</v>
      </c>
      <c r="D453" t="s">
        <v>13</v>
      </c>
      <c r="E453" s="2">
        <v>45261</v>
      </c>
      <c r="F453" s="2">
        <v>46011</v>
      </c>
      <c r="G453">
        <v>1000</v>
      </c>
      <c r="H453" t="s">
        <v>14</v>
      </c>
      <c r="I453" t="s">
        <v>16</v>
      </c>
      <c r="J453">
        <f t="shared" si="29"/>
        <v>3000</v>
      </c>
      <c r="K453" t="str">
        <f t="shared" si="28"/>
        <v>25-34</v>
      </c>
      <c r="L453" t="str">
        <f t="shared" ca="1" si="30"/>
        <v>Safe</v>
      </c>
      <c r="M453" t="str">
        <f t="shared" si="31"/>
        <v>Dec-2023</v>
      </c>
    </row>
    <row r="454" spans="1:13" x14ac:dyDescent="0.35">
      <c r="A454">
        <v>10453</v>
      </c>
      <c r="B454">
        <v>25</v>
      </c>
      <c r="C454" t="s">
        <v>9</v>
      </c>
      <c r="D454" t="s">
        <v>11</v>
      </c>
      <c r="E454" s="2">
        <v>45950</v>
      </c>
      <c r="F454" s="2">
        <v>46023</v>
      </c>
      <c r="G454">
        <v>1700</v>
      </c>
      <c r="H454" t="s">
        <v>15</v>
      </c>
      <c r="I454" t="s">
        <v>16</v>
      </c>
      <c r="J454">
        <f t="shared" si="29"/>
        <v>1700</v>
      </c>
      <c r="K454" t="str">
        <f t="shared" si="28"/>
        <v>25-34</v>
      </c>
      <c r="L454" t="str">
        <f t="shared" ca="1" si="30"/>
        <v>Safe</v>
      </c>
      <c r="M454" t="str">
        <f t="shared" si="31"/>
        <v>Oct-2025</v>
      </c>
    </row>
    <row r="455" spans="1:13" x14ac:dyDescent="0.35">
      <c r="A455">
        <v>10454</v>
      </c>
      <c r="B455">
        <v>18</v>
      </c>
      <c r="C455" t="s">
        <v>9</v>
      </c>
      <c r="D455" t="s">
        <v>11</v>
      </c>
      <c r="E455" s="2">
        <v>45250</v>
      </c>
      <c r="F455" s="2">
        <v>46009</v>
      </c>
      <c r="G455">
        <v>1700</v>
      </c>
      <c r="H455" t="s">
        <v>15</v>
      </c>
      <c r="I455" t="s">
        <v>16</v>
      </c>
      <c r="J455">
        <f t="shared" si="29"/>
        <v>1700</v>
      </c>
      <c r="K455" t="str">
        <f t="shared" si="28"/>
        <v>18-24</v>
      </c>
      <c r="L455" t="str">
        <f t="shared" ca="1" si="30"/>
        <v>Safe</v>
      </c>
      <c r="M455" t="str">
        <f t="shared" si="31"/>
        <v>Nov-2023</v>
      </c>
    </row>
    <row r="456" spans="1:13" x14ac:dyDescent="0.35">
      <c r="A456">
        <v>10455</v>
      </c>
      <c r="B456">
        <v>26</v>
      </c>
      <c r="C456" t="s">
        <v>9</v>
      </c>
      <c r="D456" t="s">
        <v>12</v>
      </c>
      <c r="E456" s="2">
        <v>45193</v>
      </c>
      <c r="F456" s="2">
        <v>46016</v>
      </c>
      <c r="G456">
        <v>1300</v>
      </c>
      <c r="H456" t="s">
        <v>15</v>
      </c>
      <c r="I456" t="s">
        <v>16</v>
      </c>
      <c r="J456">
        <f t="shared" si="29"/>
        <v>15600</v>
      </c>
      <c r="K456" t="str">
        <f t="shared" si="28"/>
        <v>25-34</v>
      </c>
      <c r="L456" t="str">
        <f t="shared" ca="1" si="30"/>
        <v>Safe</v>
      </c>
      <c r="M456" t="str">
        <f t="shared" si="31"/>
        <v>Sep-2023</v>
      </c>
    </row>
    <row r="457" spans="1:13" x14ac:dyDescent="0.35">
      <c r="A457">
        <v>10456</v>
      </c>
      <c r="B457">
        <v>28</v>
      </c>
      <c r="C457" t="s">
        <v>9</v>
      </c>
      <c r="D457" t="s">
        <v>11</v>
      </c>
      <c r="E457" s="2">
        <v>45759</v>
      </c>
      <c r="F457" s="2">
        <v>46009</v>
      </c>
      <c r="G457">
        <v>1200</v>
      </c>
      <c r="H457" t="s">
        <v>14</v>
      </c>
      <c r="I457" t="s">
        <v>16</v>
      </c>
      <c r="J457">
        <f t="shared" si="29"/>
        <v>1200</v>
      </c>
      <c r="K457" t="str">
        <f t="shared" si="28"/>
        <v>25-34</v>
      </c>
      <c r="L457" t="str">
        <f t="shared" ca="1" si="30"/>
        <v>Safe</v>
      </c>
      <c r="M457" t="str">
        <f t="shared" si="31"/>
        <v>Apr-2025</v>
      </c>
    </row>
    <row r="458" spans="1:13" x14ac:dyDescent="0.35">
      <c r="A458">
        <v>10457</v>
      </c>
      <c r="B458">
        <v>39</v>
      </c>
      <c r="C458" t="s">
        <v>9</v>
      </c>
      <c r="D458" t="s">
        <v>12</v>
      </c>
      <c r="E458" s="2">
        <v>45756</v>
      </c>
      <c r="F458" s="2">
        <v>45990</v>
      </c>
      <c r="G458">
        <v>1300</v>
      </c>
      <c r="H458" t="s">
        <v>15</v>
      </c>
      <c r="I458" t="s">
        <v>17</v>
      </c>
      <c r="J458">
        <f t="shared" si="29"/>
        <v>15600</v>
      </c>
      <c r="K458" t="str">
        <f t="shared" si="28"/>
        <v>35+</v>
      </c>
      <c r="L458" t="str">
        <f t="shared" ca="1" si="30"/>
        <v>High Risk</v>
      </c>
      <c r="M458" t="str">
        <f t="shared" si="31"/>
        <v>Apr-2025</v>
      </c>
    </row>
    <row r="459" spans="1:13" x14ac:dyDescent="0.35">
      <c r="A459">
        <v>10458</v>
      </c>
      <c r="B459">
        <v>33</v>
      </c>
      <c r="C459" t="s">
        <v>9</v>
      </c>
      <c r="D459" t="s">
        <v>13</v>
      </c>
      <c r="E459" s="2">
        <v>45918</v>
      </c>
      <c r="F459" s="2">
        <v>46015</v>
      </c>
      <c r="G459">
        <v>1500</v>
      </c>
      <c r="H459" t="s">
        <v>15</v>
      </c>
      <c r="I459" t="s">
        <v>16</v>
      </c>
      <c r="J459">
        <f t="shared" si="29"/>
        <v>4500</v>
      </c>
      <c r="K459" t="str">
        <f t="shared" si="28"/>
        <v>25-34</v>
      </c>
      <c r="L459" t="str">
        <f t="shared" ca="1" si="30"/>
        <v>Safe</v>
      </c>
      <c r="M459" t="str">
        <f t="shared" si="31"/>
        <v>Sep-2025</v>
      </c>
    </row>
    <row r="460" spans="1:13" x14ac:dyDescent="0.35">
      <c r="A460">
        <v>10459</v>
      </c>
      <c r="B460">
        <v>24</v>
      </c>
      <c r="C460" t="s">
        <v>10</v>
      </c>
      <c r="D460" t="s">
        <v>11</v>
      </c>
      <c r="E460" s="2">
        <v>45376</v>
      </c>
      <c r="F460" s="2">
        <v>46021</v>
      </c>
      <c r="G460">
        <v>1700</v>
      </c>
      <c r="H460" t="s">
        <v>15</v>
      </c>
      <c r="I460" t="s">
        <v>16</v>
      </c>
      <c r="J460">
        <f t="shared" si="29"/>
        <v>1700</v>
      </c>
      <c r="K460" t="str">
        <f t="shared" si="28"/>
        <v>18-24</v>
      </c>
      <c r="L460" t="str">
        <f t="shared" ca="1" si="30"/>
        <v>Safe</v>
      </c>
      <c r="M460" t="str">
        <f t="shared" si="31"/>
        <v>Mar-2024</v>
      </c>
    </row>
    <row r="461" spans="1:13" x14ac:dyDescent="0.35">
      <c r="A461">
        <v>10460</v>
      </c>
      <c r="B461">
        <v>27</v>
      </c>
      <c r="C461" t="s">
        <v>9</v>
      </c>
      <c r="D461" t="s">
        <v>12</v>
      </c>
      <c r="E461" s="2">
        <v>45288</v>
      </c>
      <c r="F461" s="2">
        <v>46024</v>
      </c>
      <c r="G461">
        <v>800</v>
      </c>
      <c r="H461" t="s">
        <v>14</v>
      </c>
      <c r="I461" t="s">
        <v>16</v>
      </c>
      <c r="J461">
        <f t="shared" si="29"/>
        <v>9600</v>
      </c>
      <c r="K461" t="str">
        <f t="shared" si="28"/>
        <v>25-34</v>
      </c>
      <c r="L461" t="str">
        <f t="shared" ca="1" si="30"/>
        <v>Safe</v>
      </c>
      <c r="M461" t="str">
        <f t="shared" si="31"/>
        <v>Dec-2023</v>
      </c>
    </row>
    <row r="462" spans="1:13" x14ac:dyDescent="0.35">
      <c r="A462">
        <v>10461</v>
      </c>
      <c r="B462">
        <v>40</v>
      </c>
      <c r="C462" t="s">
        <v>9</v>
      </c>
      <c r="D462" t="s">
        <v>13</v>
      </c>
      <c r="E462" s="2">
        <v>45945</v>
      </c>
      <c r="F462" s="2">
        <v>45962</v>
      </c>
      <c r="G462">
        <v>1000</v>
      </c>
      <c r="H462" t="s">
        <v>14</v>
      </c>
      <c r="I462" t="s">
        <v>17</v>
      </c>
      <c r="J462">
        <f t="shared" si="29"/>
        <v>3000</v>
      </c>
      <c r="K462" t="str">
        <f t="shared" si="28"/>
        <v>35+</v>
      </c>
      <c r="L462" t="str">
        <f t="shared" ca="1" si="30"/>
        <v>High Risk</v>
      </c>
      <c r="M462" t="str">
        <f t="shared" si="31"/>
        <v>Oct-2025</v>
      </c>
    </row>
    <row r="463" spans="1:13" x14ac:dyDescent="0.35">
      <c r="A463">
        <v>10462</v>
      </c>
      <c r="B463">
        <v>43</v>
      </c>
      <c r="C463" t="s">
        <v>9</v>
      </c>
      <c r="D463" t="s">
        <v>13</v>
      </c>
      <c r="E463" s="2">
        <v>45722</v>
      </c>
      <c r="F463" s="2">
        <v>46027</v>
      </c>
      <c r="G463">
        <v>1000</v>
      </c>
      <c r="H463" t="s">
        <v>14</v>
      </c>
      <c r="I463" t="s">
        <v>16</v>
      </c>
      <c r="J463">
        <f t="shared" si="29"/>
        <v>3000</v>
      </c>
      <c r="K463" t="str">
        <f t="shared" si="28"/>
        <v>35+</v>
      </c>
      <c r="L463" t="str">
        <f t="shared" ca="1" si="30"/>
        <v>Safe</v>
      </c>
      <c r="M463" t="str">
        <f t="shared" si="31"/>
        <v>Mar-2025</v>
      </c>
    </row>
    <row r="464" spans="1:13" x14ac:dyDescent="0.35">
      <c r="A464">
        <v>10463</v>
      </c>
      <c r="B464">
        <v>20</v>
      </c>
      <c r="C464" t="s">
        <v>9</v>
      </c>
      <c r="D464" t="s">
        <v>13</v>
      </c>
      <c r="E464" s="2">
        <v>45267</v>
      </c>
      <c r="F464" s="2">
        <v>46028</v>
      </c>
      <c r="G464">
        <v>1000</v>
      </c>
      <c r="H464" t="s">
        <v>14</v>
      </c>
      <c r="I464" t="s">
        <v>16</v>
      </c>
      <c r="J464">
        <f t="shared" si="29"/>
        <v>3000</v>
      </c>
      <c r="K464" t="str">
        <f t="shared" si="28"/>
        <v>18-24</v>
      </c>
      <c r="L464" t="str">
        <f t="shared" ca="1" si="30"/>
        <v>Safe</v>
      </c>
      <c r="M464" t="str">
        <f t="shared" si="31"/>
        <v>Dec-2023</v>
      </c>
    </row>
    <row r="465" spans="1:13" x14ac:dyDescent="0.35">
      <c r="A465">
        <v>10464</v>
      </c>
      <c r="B465">
        <v>35</v>
      </c>
      <c r="C465" t="s">
        <v>9</v>
      </c>
      <c r="D465" t="s">
        <v>11</v>
      </c>
      <c r="E465" s="2">
        <v>45570</v>
      </c>
      <c r="F465" s="2">
        <v>46025</v>
      </c>
      <c r="G465">
        <v>1200</v>
      </c>
      <c r="H465" t="s">
        <v>14</v>
      </c>
      <c r="I465" t="s">
        <v>16</v>
      </c>
      <c r="J465">
        <f t="shared" si="29"/>
        <v>1200</v>
      </c>
      <c r="K465" t="str">
        <f t="shared" si="28"/>
        <v>35+</v>
      </c>
      <c r="L465" t="str">
        <f t="shared" ca="1" si="30"/>
        <v>Safe</v>
      </c>
      <c r="M465" t="str">
        <f t="shared" si="31"/>
        <v>Oct-2024</v>
      </c>
    </row>
    <row r="466" spans="1:13" x14ac:dyDescent="0.35">
      <c r="A466">
        <v>10465</v>
      </c>
      <c r="B466">
        <v>42</v>
      </c>
      <c r="C466" t="s">
        <v>9</v>
      </c>
      <c r="D466" t="s">
        <v>12</v>
      </c>
      <c r="E466" s="2">
        <v>45886</v>
      </c>
      <c r="F466" s="2">
        <v>45993</v>
      </c>
      <c r="G466">
        <v>800</v>
      </c>
      <c r="H466" t="s">
        <v>14</v>
      </c>
      <c r="I466" t="s">
        <v>17</v>
      </c>
      <c r="J466">
        <f t="shared" si="29"/>
        <v>9600</v>
      </c>
      <c r="K466" t="str">
        <f t="shared" si="28"/>
        <v>35+</v>
      </c>
      <c r="L466" t="str">
        <f t="shared" ca="1" si="30"/>
        <v>High Risk</v>
      </c>
      <c r="M466" t="str">
        <f t="shared" si="31"/>
        <v>Aug-2025</v>
      </c>
    </row>
    <row r="467" spans="1:13" x14ac:dyDescent="0.35">
      <c r="A467">
        <v>10466</v>
      </c>
      <c r="B467">
        <v>41</v>
      </c>
      <c r="C467" t="s">
        <v>9</v>
      </c>
      <c r="D467" t="s">
        <v>11</v>
      </c>
      <c r="E467" s="2">
        <v>45428</v>
      </c>
      <c r="F467" s="2">
        <v>46028</v>
      </c>
      <c r="G467">
        <v>1200</v>
      </c>
      <c r="H467" t="s">
        <v>14</v>
      </c>
      <c r="I467" t="s">
        <v>16</v>
      </c>
      <c r="J467">
        <f t="shared" si="29"/>
        <v>1200</v>
      </c>
      <c r="K467" t="str">
        <f t="shared" si="28"/>
        <v>35+</v>
      </c>
      <c r="L467" t="str">
        <f t="shared" ca="1" si="30"/>
        <v>Safe</v>
      </c>
      <c r="M467" t="str">
        <f t="shared" si="31"/>
        <v>May-2024</v>
      </c>
    </row>
    <row r="468" spans="1:13" x14ac:dyDescent="0.35">
      <c r="A468">
        <v>10467</v>
      </c>
      <c r="B468">
        <v>30</v>
      </c>
      <c r="C468" t="s">
        <v>9</v>
      </c>
      <c r="D468" t="s">
        <v>12</v>
      </c>
      <c r="E468" s="2">
        <v>45751</v>
      </c>
      <c r="F468" s="2">
        <v>46016</v>
      </c>
      <c r="G468">
        <v>800</v>
      </c>
      <c r="H468" t="s">
        <v>14</v>
      </c>
      <c r="I468" t="s">
        <v>16</v>
      </c>
      <c r="J468">
        <f t="shared" si="29"/>
        <v>9600</v>
      </c>
      <c r="K468" t="str">
        <f t="shared" si="28"/>
        <v>25-34</v>
      </c>
      <c r="L468" t="str">
        <f t="shared" ca="1" si="30"/>
        <v>Safe</v>
      </c>
      <c r="M468" t="str">
        <f t="shared" si="31"/>
        <v>Apr-2025</v>
      </c>
    </row>
    <row r="469" spans="1:13" x14ac:dyDescent="0.35">
      <c r="A469">
        <v>10468</v>
      </c>
      <c r="B469">
        <v>45</v>
      </c>
      <c r="C469" t="s">
        <v>9</v>
      </c>
      <c r="D469" t="s">
        <v>12</v>
      </c>
      <c r="E469" s="2">
        <v>45546</v>
      </c>
      <c r="F469" s="2">
        <v>46021</v>
      </c>
      <c r="G469">
        <v>1300</v>
      </c>
      <c r="H469" t="s">
        <v>15</v>
      </c>
      <c r="I469" t="s">
        <v>16</v>
      </c>
      <c r="J469">
        <f t="shared" si="29"/>
        <v>15600</v>
      </c>
      <c r="K469" t="str">
        <f t="shared" si="28"/>
        <v>35+</v>
      </c>
      <c r="L469" t="str">
        <f t="shared" ca="1" si="30"/>
        <v>Safe</v>
      </c>
      <c r="M469" t="str">
        <f t="shared" si="31"/>
        <v>Sep-2024</v>
      </c>
    </row>
    <row r="470" spans="1:13" x14ac:dyDescent="0.35">
      <c r="A470">
        <v>10469</v>
      </c>
      <c r="B470">
        <v>43</v>
      </c>
      <c r="C470" t="s">
        <v>9</v>
      </c>
      <c r="D470" t="s">
        <v>11</v>
      </c>
      <c r="E470" s="2">
        <v>45637</v>
      </c>
      <c r="F470" s="2">
        <v>45978</v>
      </c>
      <c r="G470">
        <v>1200</v>
      </c>
      <c r="H470" t="s">
        <v>14</v>
      </c>
      <c r="I470" t="s">
        <v>17</v>
      </c>
      <c r="J470">
        <f t="shared" si="29"/>
        <v>1200</v>
      </c>
      <c r="K470" t="str">
        <f t="shared" si="28"/>
        <v>35+</v>
      </c>
      <c r="L470" t="str">
        <f t="shared" ca="1" si="30"/>
        <v>High Risk</v>
      </c>
      <c r="M470" t="str">
        <f t="shared" si="31"/>
        <v>Dec-2024</v>
      </c>
    </row>
    <row r="471" spans="1:13" x14ac:dyDescent="0.35">
      <c r="A471">
        <v>10470</v>
      </c>
      <c r="B471">
        <v>24</v>
      </c>
      <c r="C471" t="s">
        <v>9</v>
      </c>
      <c r="D471" t="s">
        <v>13</v>
      </c>
      <c r="E471" s="2">
        <v>45608</v>
      </c>
      <c r="F471" s="2">
        <v>46019</v>
      </c>
      <c r="G471">
        <v>1000</v>
      </c>
      <c r="H471" t="s">
        <v>14</v>
      </c>
      <c r="I471" t="s">
        <v>16</v>
      </c>
      <c r="J471">
        <f t="shared" si="29"/>
        <v>3000</v>
      </c>
      <c r="K471" t="str">
        <f t="shared" si="28"/>
        <v>18-24</v>
      </c>
      <c r="L471" t="str">
        <f t="shared" ca="1" si="30"/>
        <v>Safe</v>
      </c>
      <c r="M471" t="str">
        <f t="shared" si="31"/>
        <v>Nov-2024</v>
      </c>
    </row>
    <row r="472" spans="1:13" x14ac:dyDescent="0.35">
      <c r="A472">
        <v>10471</v>
      </c>
      <c r="B472">
        <v>42</v>
      </c>
      <c r="C472" t="s">
        <v>9</v>
      </c>
      <c r="D472" t="s">
        <v>13</v>
      </c>
      <c r="E472" s="2">
        <v>45258</v>
      </c>
      <c r="F472" s="2">
        <v>46027</v>
      </c>
      <c r="G472">
        <v>1000</v>
      </c>
      <c r="H472" t="s">
        <v>14</v>
      </c>
      <c r="I472" t="s">
        <v>16</v>
      </c>
      <c r="J472">
        <f t="shared" si="29"/>
        <v>3000</v>
      </c>
      <c r="K472" t="str">
        <f t="shared" si="28"/>
        <v>35+</v>
      </c>
      <c r="L472" t="str">
        <f t="shared" ca="1" si="30"/>
        <v>Safe</v>
      </c>
      <c r="M472" t="str">
        <f t="shared" si="31"/>
        <v>Nov-2023</v>
      </c>
    </row>
    <row r="473" spans="1:13" x14ac:dyDescent="0.35">
      <c r="A473">
        <v>10472</v>
      </c>
      <c r="B473">
        <v>21</v>
      </c>
      <c r="C473" t="s">
        <v>10</v>
      </c>
      <c r="D473" t="s">
        <v>11</v>
      </c>
      <c r="E473" s="2">
        <v>45137</v>
      </c>
      <c r="F473" s="2">
        <v>45960</v>
      </c>
      <c r="G473">
        <v>1200</v>
      </c>
      <c r="H473" t="s">
        <v>14</v>
      </c>
      <c r="I473" t="s">
        <v>17</v>
      </c>
      <c r="J473">
        <f t="shared" si="29"/>
        <v>1200</v>
      </c>
      <c r="K473" t="str">
        <f t="shared" si="28"/>
        <v>18-24</v>
      </c>
      <c r="L473" t="str">
        <f t="shared" ca="1" si="30"/>
        <v>High Risk</v>
      </c>
      <c r="M473" t="str">
        <f t="shared" si="31"/>
        <v>Jul-2023</v>
      </c>
    </row>
    <row r="474" spans="1:13" x14ac:dyDescent="0.35">
      <c r="A474">
        <v>10473</v>
      </c>
      <c r="B474">
        <v>30</v>
      </c>
      <c r="C474" t="s">
        <v>9</v>
      </c>
      <c r="D474" t="s">
        <v>12</v>
      </c>
      <c r="E474" s="2">
        <v>45261</v>
      </c>
      <c r="F474" s="2">
        <v>46030</v>
      </c>
      <c r="G474">
        <v>1300</v>
      </c>
      <c r="H474" t="s">
        <v>15</v>
      </c>
      <c r="I474" t="s">
        <v>16</v>
      </c>
      <c r="J474">
        <f t="shared" si="29"/>
        <v>15600</v>
      </c>
      <c r="K474" t="str">
        <f t="shared" si="28"/>
        <v>25-34</v>
      </c>
      <c r="L474" t="str">
        <f t="shared" ca="1" si="30"/>
        <v>Safe</v>
      </c>
      <c r="M474" t="str">
        <f t="shared" si="31"/>
        <v>Dec-2023</v>
      </c>
    </row>
    <row r="475" spans="1:13" x14ac:dyDescent="0.35">
      <c r="A475">
        <v>10474</v>
      </c>
      <c r="B475">
        <v>37</v>
      </c>
      <c r="C475" t="s">
        <v>9</v>
      </c>
      <c r="D475" t="s">
        <v>11</v>
      </c>
      <c r="E475" s="2">
        <v>45384</v>
      </c>
      <c r="F475" s="2">
        <v>45914</v>
      </c>
      <c r="G475">
        <v>1700</v>
      </c>
      <c r="H475" t="s">
        <v>15</v>
      </c>
      <c r="I475" t="s">
        <v>17</v>
      </c>
      <c r="J475">
        <f t="shared" si="29"/>
        <v>1700</v>
      </c>
      <c r="K475" t="str">
        <f t="shared" si="28"/>
        <v>35+</v>
      </c>
      <c r="L475" t="str">
        <f t="shared" ca="1" si="30"/>
        <v>High Risk</v>
      </c>
      <c r="M475" t="str">
        <f t="shared" si="31"/>
        <v>Apr-2024</v>
      </c>
    </row>
    <row r="476" spans="1:13" x14ac:dyDescent="0.35">
      <c r="A476">
        <v>10475</v>
      </c>
      <c r="B476">
        <v>18</v>
      </c>
      <c r="C476" t="s">
        <v>9</v>
      </c>
      <c r="D476" t="s">
        <v>11</v>
      </c>
      <c r="E476" s="2">
        <v>45630</v>
      </c>
      <c r="F476" s="2">
        <v>46020</v>
      </c>
      <c r="G476">
        <v>1200</v>
      </c>
      <c r="H476" t="s">
        <v>14</v>
      </c>
      <c r="I476" t="s">
        <v>16</v>
      </c>
      <c r="J476">
        <f t="shared" si="29"/>
        <v>1200</v>
      </c>
      <c r="K476" t="str">
        <f t="shared" si="28"/>
        <v>18-24</v>
      </c>
      <c r="L476" t="str">
        <f t="shared" ca="1" si="30"/>
        <v>Safe</v>
      </c>
      <c r="M476" t="str">
        <f t="shared" si="31"/>
        <v>Dec-2024</v>
      </c>
    </row>
    <row r="477" spans="1:13" x14ac:dyDescent="0.35">
      <c r="A477">
        <v>10476</v>
      </c>
      <c r="B477">
        <v>25</v>
      </c>
      <c r="C477" t="s">
        <v>9</v>
      </c>
      <c r="D477" t="s">
        <v>13</v>
      </c>
      <c r="E477" s="2">
        <v>45610</v>
      </c>
      <c r="F477" s="2">
        <v>45930</v>
      </c>
      <c r="G477">
        <v>1500</v>
      </c>
      <c r="H477" t="s">
        <v>15</v>
      </c>
      <c r="I477" t="s">
        <v>17</v>
      </c>
      <c r="J477">
        <f t="shared" si="29"/>
        <v>4500</v>
      </c>
      <c r="K477" t="str">
        <f t="shared" si="28"/>
        <v>25-34</v>
      </c>
      <c r="L477" t="str">
        <f t="shared" ca="1" si="30"/>
        <v>High Risk</v>
      </c>
      <c r="M477" t="str">
        <f t="shared" si="31"/>
        <v>Nov-2024</v>
      </c>
    </row>
    <row r="478" spans="1:13" x14ac:dyDescent="0.35">
      <c r="A478">
        <v>10477</v>
      </c>
      <c r="B478">
        <v>31</v>
      </c>
      <c r="C478" t="s">
        <v>10</v>
      </c>
      <c r="D478" t="s">
        <v>13</v>
      </c>
      <c r="E478" s="2">
        <v>45944</v>
      </c>
      <c r="F478" s="2">
        <v>46018</v>
      </c>
      <c r="G478">
        <v>1000</v>
      </c>
      <c r="H478" t="s">
        <v>14</v>
      </c>
      <c r="I478" t="s">
        <v>16</v>
      </c>
      <c r="J478">
        <f t="shared" si="29"/>
        <v>3000</v>
      </c>
      <c r="K478" t="str">
        <f t="shared" si="28"/>
        <v>25-34</v>
      </c>
      <c r="L478" t="str">
        <f t="shared" ca="1" si="30"/>
        <v>Safe</v>
      </c>
      <c r="M478" t="str">
        <f t="shared" si="31"/>
        <v>Oct-2025</v>
      </c>
    </row>
    <row r="479" spans="1:13" x14ac:dyDescent="0.35">
      <c r="A479">
        <v>10478</v>
      </c>
      <c r="B479">
        <v>33</v>
      </c>
      <c r="C479" t="s">
        <v>9</v>
      </c>
      <c r="D479" t="s">
        <v>13</v>
      </c>
      <c r="E479" s="2">
        <v>45462</v>
      </c>
      <c r="F479" s="2">
        <v>46009</v>
      </c>
      <c r="G479">
        <v>1000</v>
      </c>
      <c r="H479" t="s">
        <v>14</v>
      </c>
      <c r="I479" t="s">
        <v>16</v>
      </c>
      <c r="J479">
        <f t="shared" si="29"/>
        <v>3000</v>
      </c>
      <c r="K479" t="str">
        <f t="shared" si="28"/>
        <v>25-34</v>
      </c>
      <c r="L479" t="str">
        <f t="shared" ca="1" si="30"/>
        <v>Safe</v>
      </c>
      <c r="M479" t="str">
        <f t="shared" si="31"/>
        <v>Jun-2024</v>
      </c>
    </row>
    <row r="480" spans="1:13" x14ac:dyDescent="0.35">
      <c r="A480">
        <v>10479</v>
      </c>
      <c r="B480">
        <v>31</v>
      </c>
      <c r="C480" t="s">
        <v>10</v>
      </c>
      <c r="D480" t="s">
        <v>12</v>
      </c>
      <c r="E480" s="2">
        <v>45334</v>
      </c>
      <c r="F480" s="2">
        <v>46027</v>
      </c>
      <c r="G480">
        <v>800</v>
      </c>
      <c r="H480" t="s">
        <v>14</v>
      </c>
      <c r="I480" t="s">
        <v>16</v>
      </c>
      <c r="J480">
        <f t="shared" si="29"/>
        <v>9600</v>
      </c>
      <c r="K480" t="str">
        <f t="shared" si="28"/>
        <v>25-34</v>
      </c>
      <c r="L480" t="str">
        <f t="shared" ca="1" si="30"/>
        <v>Safe</v>
      </c>
      <c r="M480" t="str">
        <f t="shared" si="31"/>
        <v>Feb-2024</v>
      </c>
    </row>
    <row r="481" spans="1:13" x14ac:dyDescent="0.35">
      <c r="A481">
        <v>10480</v>
      </c>
      <c r="B481">
        <v>29</v>
      </c>
      <c r="C481" t="s">
        <v>9</v>
      </c>
      <c r="D481" t="s">
        <v>13</v>
      </c>
      <c r="E481" s="2">
        <v>45986</v>
      </c>
      <c r="F481" s="2">
        <v>46012</v>
      </c>
      <c r="G481">
        <v>1000</v>
      </c>
      <c r="H481" t="s">
        <v>14</v>
      </c>
      <c r="I481" t="s">
        <v>16</v>
      </c>
      <c r="J481">
        <f t="shared" si="29"/>
        <v>3000</v>
      </c>
      <c r="K481" t="str">
        <f t="shared" si="28"/>
        <v>25-34</v>
      </c>
      <c r="L481" t="str">
        <f t="shared" ca="1" si="30"/>
        <v>Safe</v>
      </c>
      <c r="M481" t="str">
        <f t="shared" si="31"/>
        <v>Nov-2025</v>
      </c>
    </row>
    <row r="482" spans="1:13" x14ac:dyDescent="0.35">
      <c r="A482">
        <v>10481</v>
      </c>
      <c r="B482">
        <v>36</v>
      </c>
      <c r="C482" t="s">
        <v>9</v>
      </c>
      <c r="D482" t="s">
        <v>13</v>
      </c>
      <c r="E482" s="2">
        <v>45247</v>
      </c>
      <c r="F482" s="2">
        <v>46010</v>
      </c>
      <c r="G482">
        <v>1000</v>
      </c>
      <c r="H482" t="s">
        <v>14</v>
      </c>
      <c r="I482" t="s">
        <v>16</v>
      </c>
      <c r="J482">
        <f t="shared" si="29"/>
        <v>3000</v>
      </c>
      <c r="K482" t="str">
        <f t="shared" si="28"/>
        <v>35+</v>
      </c>
      <c r="L482" t="str">
        <f t="shared" ca="1" si="30"/>
        <v>Safe</v>
      </c>
      <c r="M482" t="str">
        <f t="shared" si="31"/>
        <v>Nov-2023</v>
      </c>
    </row>
    <row r="483" spans="1:13" x14ac:dyDescent="0.35">
      <c r="A483">
        <v>10482</v>
      </c>
      <c r="B483">
        <v>40</v>
      </c>
      <c r="C483" t="s">
        <v>9</v>
      </c>
      <c r="D483" t="s">
        <v>11</v>
      </c>
      <c r="E483" s="2">
        <v>45376</v>
      </c>
      <c r="F483" s="2">
        <v>45921</v>
      </c>
      <c r="G483">
        <v>1200</v>
      </c>
      <c r="H483" t="s">
        <v>14</v>
      </c>
      <c r="I483" t="s">
        <v>17</v>
      </c>
      <c r="J483">
        <f t="shared" si="29"/>
        <v>1200</v>
      </c>
      <c r="K483" t="str">
        <f t="shared" si="28"/>
        <v>35+</v>
      </c>
      <c r="L483" t="str">
        <f t="shared" ca="1" si="30"/>
        <v>High Risk</v>
      </c>
      <c r="M483" t="str">
        <f t="shared" si="31"/>
        <v>Mar-2024</v>
      </c>
    </row>
    <row r="484" spans="1:13" x14ac:dyDescent="0.35">
      <c r="A484">
        <v>10483</v>
      </c>
      <c r="B484">
        <v>32</v>
      </c>
      <c r="C484" t="s">
        <v>10</v>
      </c>
      <c r="D484" t="s">
        <v>11</v>
      </c>
      <c r="E484" s="2">
        <v>45564</v>
      </c>
      <c r="F484" s="2">
        <v>46008</v>
      </c>
      <c r="G484">
        <v>1200</v>
      </c>
      <c r="H484" t="s">
        <v>14</v>
      </c>
      <c r="I484" t="s">
        <v>16</v>
      </c>
      <c r="J484">
        <f t="shared" si="29"/>
        <v>1200</v>
      </c>
      <c r="K484" t="str">
        <f t="shared" si="28"/>
        <v>25-34</v>
      </c>
      <c r="L484" t="str">
        <f t="shared" ca="1" si="30"/>
        <v>Safe</v>
      </c>
      <c r="M484" t="str">
        <f t="shared" si="31"/>
        <v>Sep-2024</v>
      </c>
    </row>
    <row r="485" spans="1:13" x14ac:dyDescent="0.35">
      <c r="A485">
        <v>10484</v>
      </c>
      <c r="B485">
        <v>45</v>
      </c>
      <c r="C485" t="s">
        <v>9</v>
      </c>
      <c r="D485" t="s">
        <v>11</v>
      </c>
      <c r="E485" s="2">
        <v>45507</v>
      </c>
      <c r="F485" s="2">
        <v>46027</v>
      </c>
      <c r="G485">
        <v>1200</v>
      </c>
      <c r="H485" t="s">
        <v>14</v>
      </c>
      <c r="I485" t="s">
        <v>16</v>
      </c>
      <c r="J485">
        <f t="shared" si="29"/>
        <v>1200</v>
      </c>
      <c r="K485" t="str">
        <f t="shared" si="28"/>
        <v>35+</v>
      </c>
      <c r="L485" t="str">
        <f t="shared" ca="1" si="30"/>
        <v>Safe</v>
      </c>
      <c r="M485" t="str">
        <f t="shared" si="31"/>
        <v>Aug-2024</v>
      </c>
    </row>
    <row r="486" spans="1:13" x14ac:dyDescent="0.35">
      <c r="A486">
        <v>10485</v>
      </c>
      <c r="B486">
        <v>19</v>
      </c>
      <c r="C486" t="s">
        <v>9</v>
      </c>
      <c r="D486" t="s">
        <v>11</v>
      </c>
      <c r="E486" s="2">
        <v>45734</v>
      </c>
      <c r="F486" s="2">
        <v>46028</v>
      </c>
      <c r="G486">
        <v>1200</v>
      </c>
      <c r="H486" t="s">
        <v>14</v>
      </c>
      <c r="I486" t="s">
        <v>16</v>
      </c>
      <c r="J486">
        <f t="shared" si="29"/>
        <v>1200</v>
      </c>
      <c r="K486" t="str">
        <f t="shared" si="28"/>
        <v>18-24</v>
      </c>
      <c r="L486" t="str">
        <f t="shared" ca="1" si="30"/>
        <v>Safe</v>
      </c>
      <c r="M486" t="str">
        <f t="shared" si="31"/>
        <v>Mar-2025</v>
      </c>
    </row>
    <row r="487" spans="1:13" x14ac:dyDescent="0.35">
      <c r="A487">
        <v>10486</v>
      </c>
      <c r="B487">
        <v>19</v>
      </c>
      <c r="C487" t="s">
        <v>10</v>
      </c>
      <c r="D487" t="s">
        <v>13</v>
      </c>
      <c r="E487" s="2">
        <v>45880</v>
      </c>
      <c r="F487" s="2">
        <v>46011</v>
      </c>
      <c r="G487">
        <v>1000</v>
      </c>
      <c r="H487" t="s">
        <v>14</v>
      </c>
      <c r="I487" t="s">
        <v>16</v>
      </c>
      <c r="J487">
        <f t="shared" si="29"/>
        <v>3000</v>
      </c>
      <c r="K487" t="str">
        <f t="shared" si="28"/>
        <v>18-24</v>
      </c>
      <c r="L487" t="str">
        <f t="shared" ca="1" si="30"/>
        <v>Safe</v>
      </c>
      <c r="M487" t="str">
        <f t="shared" si="31"/>
        <v>Aug-2025</v>
      </c>
    </row>
    <row r="488" spans="1:13" x14ac:dyDescent="0.35">
      <c r="A488">
        <v>10487</v>
      </c>
      <c r="B488">
        <v>40</v>
      </c>
      <c r="C488" t="s">
        <v>9</v>
      </c>
      <c r="D488" t="s">
        <v>11</v>
      </c>
      <c r="E488" s="2">
        <v>45821</v>
      </c>
      <c r="F488" s="2">
        <v>46012</v>
      </c>
      <c r="G488">
        <v>1700</v>
      </c>
      <c r="H488" t="s">
        <v>15</v>
      </c>
      <c r="I488" t="s">
        <v>16</v>
      </c>
      <c r="J488">
        <f t="shared" si="29"/>
        <v>1700</v>
      </c>
      <c r="K488" t="str">
        <f t="shared" si="28"/>
        <v>35+</v>
      </c>
      <c r="L488" t="str">
        <f t="shared" ca="1" si="30"/>
        <v>Safe</v>
      </c>
      <c r="M488" t="str">
        <f t="shared" si="31"/>
        <v>Jun-2025</v>
      </c>
    </row>
    <row r="489" spans="1:13" x14ac:dyDescent="0.35">
      <c r="A489">
        <v>10488</v>
      </c>
      <c r="B489">
        <v>39</v>
      </c>
      <c r="C489" t="s">
        <v>9</v>
      </c>
      <c r="D489" t="s">
        <v>11</v>
      </c>
      <c r="E489" s="2">
        <v>45746</v>
      </c>
      <c r="F489" s="2">
        <v>46030</v>
      </c>
      <c r="G489">
        <v>1200</v>
      </c>
      <c r="H489" t="s">
        <v>14</v>
      </c>
      <c r="I489" t="s">
        <v>16</v>
      </c>
      <c r="J489">
        <f t="shared" si="29"/>
        <v>1200</v>
      </c>
      <c r="K489" t="str">
        <f t="shared" si="28"/>
        <v>35+</v>
      </c>
      <c r="L489" t="str">
        <f t="shared" ca="1" si="30"/>
        <v>Safe</v>
      </c>
      <c r="M489" t="str">
        <f t="shared" si="31"/>
        <v>Mar-2025</v>
      </c>
    </row>
    <row r="490" spans="1:13" x14ac:dyDescent="0.35">
      <c r="A490">
        <v>10489</v>
      </c>
      <c r="B490">
        <v>36</v>
      </c>
      <c r="C490" t="s">
        <v>9</v>
      </c>
      <c r="D490" t="s">
        <v>11</v>
      </c>
      <c r="E490" s="2">
        <v>45619</v>
      </c>
      <c r="F490" s="2">
        <v>46025</v>
      </c>
      <c r="G490">
        <v>1200</v>
      </c>
      <c r="H490" t="s">
        <v>14</v>
      </c>
      <c r="I490" t="s">
        <v>16</v>
      </c>
      <c r="J490">
        <f t="shared" si="29"/>
        <v>1200</v>
      </c>
      <c r="K490" t="str">
        <f t="shared" si="28"/>
        <v>35+</v>
      </c>
      <c r="L490" t="str">
        <f t="shared" ca="1" si="30"/>
        <v>Safe</v>
      </c>
      <c r="M490" t="str">
        <f t="shared" si="31"/>
        <v>Nov-2024</v>
      </c>
    </row>
    <row r="491" spans="1:13" x14ac:dyDescent="0.35">
      <c r="A491">
        <v>10490</v>
      </c>
      <c r="B491">
        <v>42</v>
      </c>
      <c r="C491" t="s">
        <v>10</v>
      </c>
      <c r="D491" t="s">
        <v>12</v>
      </c>
      <c r="E491" s="2">
        <v>45821</v>
      </c>
      <c r="F491" s="2">
        <v>46020</v>
      </c>
      <c r="G491">
        <v>800</v>
      </c>
      <c r="H491" t="s">
        <v>14</v>
      </c>
      <c r="I491" t="s">
        <v>16</v>
      </c>
      <c r="J491">
        <f t="shared" si="29"/>
        <v>9600</v>
      </c>
      <c r="K491" t="str">
        <f t="shared" si="28"/>
        <v>35+</v>
      </c>
      <c r="L491" t="str">
        <f t="shared" ca="1" si="30"/>
        <v>Safe</v>
      </c>
      <c r="M491" t="str">
        <f t="shared" si="31"/>
        <v>Jun-2025</v>
      </c>
    </row>
    <row r="492" spans="1:13" x14ac:dyDescent="0.35">
      <c r="A492">
        <v>10491</v>
      </c>
      <c r="B492">
        <v>43</v>
      </c>
      <c r="C492" t="s">
        <v>9</v>
      </c>
      <c r="D492" t="s">
        <v>12</v>
      </c>
      <c r="E492" s="2">
        <v>45661</v>
      </c>
      <c r="F492" s="2">
        <v>46016</v>
      </c>
      <c r="G492">
        <v>1300</v>
      </c>
      <c r="H492" t="s">
        <v>15</v>
      </c>
      <c r="I492" t="s">
        <v>16</v>
      </c>
      <c r="J492">
        <f t="shared" si="29"/>
        <v>15600</v>
      </c>
      <c r="K492" t="str">
        <f t="shared" si="28"/>
        <v>35+</v>
      </c>
      <c r="L492" t="str">
        <f t="shared" ca="1" si="30"/>
        <v>Safe</v>
      </c>
      <c r="M492" t="str">
        <f t="shared" si="31"/>
        <v>Jan-2025</v>
      </c>
    </row>
    <row r="493" spans="1:13" x14ac:dyDescent="0.35">
      <c r="A493">
        <v>10492</v>
      </c>
      <c r="B493">
        <v>39</v>
      </c>
      <c r="C493" t="s">
        <v>10</v>
      </c>
      <c r="D493" t="s">
        <v>13</v>
      </c>
      <c r="E493" s="2">
        <v>45734</v>
      </c>
      <c r="F493" s="2">
        <v>46030</v>
      </c>
      <c r="G493">
        <v>1000</v>
      </c>
      <c r="H493" t="s">
        <v>14</v>
      </c>
      <c r="I493" t="s">
        <v>16</v>
      </c>
      <c r="J493">
        <f t="shared" si="29"/>
        <v>3000</v>
      </c>
      <c r="K493" t="str">
        <f t="shared" si="28"/>
        <v>35+</v>
      </c>
      <c r="L493" t="str">
        <f t="shared" ca="1" si="30"/>
        <v>Safe</v>
      </c>
      <c r="M493" t="str">
        <f t="shared" si="31"/>
        <v>Mar-2025</v>
      </c>
    </row>
    <row r="494" spans="1:13" x14ac:dyDescent="0.35">
      <c r="A494">
        <v>10493</v>
      </c>
      <c r="B494">
        <v>43</v>
      </c>
      <c r="C494" t="s">
        <v>10</v>
      </c>
      <c r="D494" t="s">
        <v>12</v>
      </c>
      <c r="E494" s="2">
        <v>45309</v>
      </c>
      <c r="F494" s="2">
        <v>46029</v>
      </c>
      <c r="G494">
        <v>1300</v>
      </c>
      <c r="H494" t="s">
        <v>15</v>
      </c>
      <c r="I494" t="s">
        <v>16</v>
      </c>
      <c r="J494">
        <f t="shared" si="29"/>
        <v>15600</v>
      </c>
      <c r="K494" t="str">
        <f t="shared" si="28"/>
        <v>35+</v>
      </c>
      <c r="L494" t="str">
        <f t="shared" ca="1" si="30"/>
        <v>Safe</v>
      </c>
      <c r="M494" t="str">
        <f t="shared" si="31"/>
        <v>Jan-2024</v>
      </c>
    </row>
    <row r="495" spans="1:13" x14ac:dyDescent="0.35">
      <c r="A495">
        <v>10494</v>
      </c>
      <c r="B495">
        <v>43</v>
      </c>
      <c r="C495" t="s">
        <v>9</v>
      </c>
      <c r="D495" t="s">
        <v>12</v>
      </c>
      <c r="E495" s="2">
        <v>45331</v>
      </c>
      <c r="F495" s="2">
        <v>46029</v>
      </c>
      <c r="G495">
        <v>1300</v>
      </c>
      <c r="H495" t="s">
        <v>15</v>
      </c>
      <c r="I495" t="s">
        <v>16</v>
      </c>
      <c r="J495">
        <f t="shared" si="29"/>
        <v>15600</v>
      </c>
      <c r="K495" t="str">
        <f t="shared" si="28"/>
        <v>35+</v>
      </c>
      <c r="L495" t="str">
        <f t="shared" ca="1" si="30"/>
        <v>Safe</v>
      </c>
      <c r="M495" t="str">
        <f t="shared" si="31"/>
        <v>Feb-2024</v>
      </c>
    </row>
    <row r="496" spans="1:13" x14ac:dyDescent="0.35">
      <c r="A496">
        <v>10495</v>
      </c>
      <c r="B496">
        <v>39</v>
      </c>
      <c r="C496" t="s">
        <v>9</v>
      </c>
      <c r="D496" t="s">
        <v>13</v>
      </c>
      <c r="E496" s="2">
        <v>45602</v>
      </c>
      <c r="F496" s="2">
        <v>46028</v>
      </c>
      <c r="G496">
        <v>1000</v>
      </c>
      <c r="H496" t="s">
        <v>14</v>
      </c>
      <c r="I496" t="s">
        <v>16</v>
      </c>
      <c r="J496">
        <f t="shared" si="29"/>
        <v>3000</v>
      </c>
      <c r="K496" t="str">
        <f t="shared" si="28"/>
        <v>35+</v>
      </c>
      <c r="L496" t="str">
        <f t="shared" ca="1" si="30"/>
        <v>Safe</v>
      </c>
      <c r="M496" t="str">
        <f t="shared" si="31"/>
        <v>Nov-2024</v>
      </c>
    </row>
    <row r="497" spans="1:13" x14ac:dyDescent="0.35">
      <c r="A497">
        <v>10496</v>
      </c>
      <c r="B497">
        <v>34</v>
      </c>
      <c r="C497" t="s">
        <v>9</v>
      </c>
      <c r="D497" t="s">
        <v>11</v>
      </c>
      <c r="E497" s="2">
        <v>45229</v>
      </c>
      <c r="F497" s="2">
        <v>46024</v>
      </c>
      <c r="G497">
        <v>1200</v>
      </c>
      <c r="H497" t="s">
        <v>14</v>
      </c>
      <c r="I497" t="s">
        <v>16</v>
      </c>
      <c r="J497">
        <f t="shared" si="29"/>
        <v>1200</v>
      </c>
      <c r="K497" t="str">
        <f t="shared" si="28"/>
        <v>25-34</v>
      </c>
      <c r="L497" t="str">
        <f t="shared" ca="1" si="30"/>
        <v>Safe</v>
      </c>
      <c r="M497" t="str">
        <f t="shared" si="31"/>
        <v>Oct-2023</v>
      </c>
    </row>
    <row r="498" spans="1:13" x14ac:dyDescent="0.35">
      <c r="A498">
        <v>10497</v>
      </c>
      <c r="B498">
        <v>37</v>
      </c>
      <c r="C498" t="s">
        <v>9</v>
      </c>
      <c r="D498" t="s">
        <v>12</v>
      </c>
      <c r="E498" s="2">
        <v>45360</v>
      </c>
      <c r="F498" s="2">
        <v>46031</v>
      </c>
      <c r="G498">
        <v>1300</v>
      </c>
      <c r="H498" t="s">
        <v>15</v>
      </c>
      <c r="I498" t="s">
        <v>16</v>
      </c>
      <c r="J498">
        <f t="shared" si="29"/>
        <v>15600</v>
      </c>
      <c r="K498" t="str">
        <f t="shared" si="28"/>
        <v>35+</v>
      </c>
      <c r="L498" t="str">
        <f t="shared" ca="1" si="30"/>
        <v>Safe</v>
      </c>
      <c r="M498" t="str">
        <f t="shared" si="31"/>
        <v>Mar-2024</v>
      </c>
    </row>
    <row r="499" spans="1:13" x14ac:dyDescent="0.35">
      <c r="A499">
        <v>10498</v>
      </c>
      <c r="B499">
        <v>27</v>
      </c>
      <c r="C499" t="s">
        <v>10</v>
      </c>
      <c r="D499" t="s">
        <v>13</v>
      </c>
      <c r="E499" s="2">
        <v>45574</v>
      </c>
      <c r="F499" s="2">
        <v>45974</v>
      </c>
      <c r="G499">
        <v>1000</v>
      </c>
      <c r="H499" t="s">
        <v>14</v>
      </c>
      <c r="I499" t="s">
        <v>17</v>
      </c>
      <c r="J499">
        <f t="shared" si="29"/>
        <v>3000</v>
      </c>
      <c r="K499" t="str">
        <f t="shared" si="28"/>
        <v>25-34</v>
      </c>
      <c r="L499" t="str">
        <f t="shared" ca="1" si="30"/>
        <v>High Risk</v>
      </c>
      <c r="M499" t="str">
        <f t="shared" si="31"/>
        <v>Oct-2024</v>
      </c>
    </row>
    <row r="500" spans="1:13" x14ac:dyDescent="0.35">
      <c r="A500">
        <v>10499</v>
      </c>
      <c r="B500">
        <v>23</v>
      </c>
      <c r="C500" t="s">
        <v>10</v>
      </c>
      <c r="D500" t="s">
        <v>13</v>
      </c>
      <c r="E500" s="2">
        <v>45717</v>
      </c>
      <c r="F500" s="2">
        <v>46024</v>
      </c>
      <c r="G500">
        <v>1000</v>
      </c>
      <c r="H500" t="s">
        <v>14</v>
      </c>
      <c r="I500" t="s">
        <v>16</v>
      </c>
      <c r="J500">
        <f t="shared" si="29"/>
        <v>3000</v>
      </c>
      <c r="K500" t="str">
        <f t="shared" si="28"/>
        <v>18-24</v>
      </c>
      <c r="L500" t="str">
        <f t="shared" ca="1" si="30"/>
        <v>Safe</v>
      </c>
      <c r="M500" t="str">
        <f t="shared" si="31"/>
        <v>Mar-2025</v>
      </c>
    </row>
    <row r="501" spans="1:13" x14ac:dyDescent="0.35">
      <c r="A501">
        <v>10500</v>
      </c>
      <c r="B501">
        <v>32</v>
      </c>
      <c r="C501" t="s">
        <v>9</v>
      </c>
      <c r="D501" t="s">
        <v>12</v>
      </c>
      <c r="E501" s="2">
        <v>45498</v>
      </c>
      <c r="F501" s="2">
        <v>46009</v>
      </c>
      <c r="G501">
        <v>800</v>
      </c>
      <c r="H501" t="s">
        <v>14</v>
      </c>
      <c r="I501" t="s">
        <v>16</v>
      </c>
      <c r="J501">
        <f t="shared" si="29"/>
        <v>9600</v>
      </c>
      <c r="K501" t="str">
        <f t="shared" si="28"/>
        <v>25-34</v>
      </c>
      <c r="L501" t="str">
        <f t="shared" ca="1" si="30"/>
        <v>Safe</v>
      </c>
      <c r="M501" t="str">
        <f t="shared" si="31"/>
        <v>Jul-2024</v>
      </c>
    </row>
    <row r="502" spans="1:13" x14ac:dyDescent="0.35">
      <c r="A502">
        <v>10501</v>
      </c>
      <c r="B502">
        <v>39</v>
      </c>
      <c r="C502" t="s">
        <v>9</v>
      </c>
      <c r="D502" t="s">
        <v>13</v>
      </c>
      <c r="E502" s="2">
        <v>45765</v>
      </c>
      <c r="F502" s="2">
        <v>46010</v>
      </c>
      <c r="G502">
        <v>1500</v>
      </c>
      <c r="H502" t="s">
        <v>15</v>
      </c>
      <c r="I502" t="s">
        <v>16</v>
      </c>
      <c r="J502">
        <f t="shared" si="29"/>
        <v>4500</v>
      </c>
      <c r="K502" t="str">
        <f t="shared" si="28"/>
        <v>35+</v>
      </c>
      <c r="L502" t="str">
        <f t="shared" ca="1" si="30"/>
        <v>Safe</v>
      </c>
      <c r="M502" t="str">
        <f t="shared" si="31"/>
        <v>Apr-2025</v>
      </c>
    </row>
    <row r="503" spans="1:13" x14ac:dyDescent="0.35">
      <c r="A503">
        <v>10502</v>
      </c>
      <c r="B503">
        <v>28</v>
      </c>
      <c r="C503" t="s">
        <v>9</v>
      </c>
      <c r="D503" t="s">
        <v>13</v>
      </c>
      <c r="E503" s="2">
        <v>45230</v>
      </c>
      <c r="F503" s="2">
        <v>45936</v>
      </c>
      <c r="G503">
        <v>1000</v>
      </c>
      <c r="H503" t="s">
        <v>14</v>
      </c>
      <c r="I503" t="s">
        <v>17</v>
      </c>
      <c r="J503">
        <f t="shared" si="29"/>
        <v>3000</v>
      </c>
      <c r="K503" t="str">
        <f t="shared" si="28"/>
        <v>25-34</v>
      </c>
      <c r="L503" t="str">
        <f t="shared" ca="1" si="30"/>
        <v>High Risk</v>
      </c>
      <c r="M503" t="str">
        <f t="shared" si="31"/>
        <v>Oct-2023</v>
      </c>
    </row>
    <row r="504" spans="1:13" x14ac:dyDescent="0.35">
      <c r="A504">
        <v>10503</v>
      </c>
      <c r="B504">
        <v>45</v>
      </c>
      <c r="C504" t="s">
        <v>9</v>
      </c>
      <c r="D504" t="s">
        <v>12</v>
      </c>
      <c r="E504" s="2">
        <v>45637</v>
      </c>
      <c r="F504" s="2">
        <v>46008</v>
      </c>
      <c r="G504">
        <v>800</v>
      </c>
      <c r="H504" t="s">
        <v>14</v>
      </c>
      <c r="I504" t="s">
        <v>16</v>
      </c>
      <c r="J504">
        <f t="shared" si="29"/>
        <v>9600</v>
      </c>
      <c r="K504" t="str">
        <f t="shared" si="28"/>
        <v>35+</v>
      </c>
      <c r="L504" t="str">
        <f t="shared" ca="1" si="30"/>
        <v>Safe</v>
      </c>
      <c r="M504" t="str">
        <f t="shared" si="31"/>
        <v>Dec-2024</v>
      </c>
    </row>
    <row r="505" spans="1:13" x14ac:dyDescent="0.35">
      <c r="A505">
        <v>10504</v>
      </c>
      <c r="B505">
        <v>22</v>
      </c>
      <c r="C505" t="s">
        <v>9</v>
      </c>
      <c r="D505" t="s">
        <v>11</v>
      </c>
      <c r="E505" s="2">
        <v>45337</v>
      </c>
      <c r="F505" s="2">
        <v>46032</v>
      </c>
      <c r="G505">
        <v>1200</v>
      </c>
      <c r="H505" t="s">
        <v>14</v>
      </c>
      <c r="I505" t="s">
        <v>16</v>
      </c>
      <c r="J505">
        <f t="shared" si="29"/>
        <v>1200</v>
      </c>
      <c r="K505" t="str">
        <f t="shared" si="28"/>
        <v>18-24</v>
      </c>
      <c r="L505" t="str">
        <f t="shared" ca="1" si="30"/>
        <v>Safe</v>
      </c>
      <c r="M505" t="str">
        <f t="shared" si="31"/>
        <v>Feb-2024</v>
      </c>
    </row>
    <row r="506" spans="1:13" x14ac:dyDescent="0.35">
      <c r="A506">
        <v>10505</v>
      </c>
      <c r="B506">
        <v>18</v>
      </c>
      <c r="C506" t="s">
        <v>9</v>
      </c>
      <c r="D506" t="s">
        <v>13</v>
      </c>
      <c r="E506" s="2">
        <v>45459</v>
      </c>
      <c r="F506" s="2">
        <v>46014</v>
      </c>
      <c r="G506">
        <v>1000</v>
      </c>
      <c r="H506" t="s">
        <v>14</v>
      </c>
      <c r="I506" t="s">
        <v>16</v>
      </c>
      <c r="J506">
        <f t="shared" si="29"/>
        <v>3000</v>
      </c>
      <c r="K506" t="str">
        <f t="shared" si="28"/>
        <v>18-24</v>
      </c>
      <c r="L506" t="str">
        <f t="shared" ca="1" si="30"/>
        <v>Safe</v>
      </c>
      <c r="M506" t="str">
        <f t="shared" si="31"/>
        <v>Jun-2024</v>
      </c>
    </row>
    <row r="507" spans="1:13" x14ac:dyDescent="0.35">
      <c r="A507">
        <v>10506</v>
      </c>
      <c r="B507">
        <v>25</v>
      </c>
      <c r="C507" t="s">
        <v>9</v>
      </c>
      <c r="D507" t="s">
        <v>13</v>
      </c>
      <c r="E507" s="2">
        <v>45185</v>
      </c>
      <c r="F507" s="2">
        <v>45929</v>
      </c>
      <c r="G507">
        <v>1000</v>
      </c>
      <c r="H507" t="s">
        <v>14</v>
      </c>
      <c r="I507" t="s">
        <v>17</v>
      </c>
      <c r="J507">
        <f t="shared" si="29"/>
        <v>3000</v>
      </c>
      <c r="K507" t="str">
        <f t="shared" si="28"/>
        <v>25-34</v>
      </c>
      <c r="L507" t="str">
        <f t="shared" ca="1" si="30"/>
        <v>High Risk</v>
      </c>
      <c r="M507" t="str">
        <f t="shared" si="31"/>
        <v>Sep-2023</v>
      </c>
    </row>
    <row r="508" spans="1:13" x14ac:dyDescent="0.35">
      <c r="A508">
        <v>10507</v>
      </c>
      <c r="B508">
        <v>38</v>
      </c>
      <c r="C508" t="s">
        <v>9</v>
      </c>
      <c r="D508" t="s">
        <v>13</v>
      </c>
      <c r="E508" s="2">
        <v>45234</v>
      </c>
      <c r="F508" s="2">
        <v>46012</v>
      </c>
      <c r="G508">
        <v>1500</v>
      </c>
      <c r="H508" t="s">
        <v>15</v>
      </c>
      <c r="I508" t="s">
        <v>16</v>
      </c>
      <c r="J508">
        <f t="shared" si="29"/>
        <v>4500</v>
      </c>
      <c r="K508" t="str">
        <f t="shared" si="28"/>
        <v>35+</v>
      </c>
      <c r="L508" t="str">
        <f t="shared" ca="1" si="30"/>
        <v>Safe</v>
      </c>
      <c r="M508" t="str">
        <f t="shared" si="31"/>
        <v>Nov-2023</v>
      </c>
    </row>
    <row r="509" spans="1:13" x14ac:dyDescent="0.35">
      <c r="A509">
        <v>10508</v>
      </c>
      <c r="B509">
        <v>45</v>
      </c>
      <c r="C509" t="s">
        <v>9</v>
      </c>
      <c r="D509" t="s">
        <v>12</v>
      </c>
      <c r="E509" s="2">
        <v>45811</v>
      </c>
      <c r="F509" s="2">
        <v>46025</v>
      </c>
      <c r="G509">
        <v>800</v>
      </c>
      <c r="H509" t="s">
        <v>14</v>
      </c>
      <c r="I509" t="s">
        <v>16</v>
      </c>
      <c r="J509">
        <f t="shared" si="29"/>
        <v>9600</v>
      </c>
      <c r="K509" t="str">
        <f t="shared" si="28"/>
        <v>35+</v>
      </c>
      <c r="L509" t="str">
        <f t="shared" ca="1" si="30"/>
        <v>Safe</v>
      </c>
      <c r="M509" t="str">
        <f t="shared" si="31"/>
        <v>Jun-2025</v>
      </c>
    </row>
    <row r="510" spans="1:13" x14ac:dyDescent="0.35">
      <c r="A510">
        <v>10509</v>
      </c>
      <c r="B510">
        <v>29</v>
      </c>
      <c r="C510" t="s">
        <v>9</v>
      </c>
      <c r="D510" t="s">
        <v>11</v>
      </c>
      <c r="E510" s="2">
        <v>45259</v>
      </c>
      <c r="F510" s="2">
        <v>46024</v>
      </c>
      <c r="G510">
        <v>1700</v>
      </c>
      <c r="H510" t="s">
        <v>15</v>
      </c>
      <c r="I510" t="s">
        <v>16</v>
      </c>
      <c r="J510">
        <f t="shared" si="29"/>
        <v>1700</v>
      </c>
      <c r="K510" t="str">
        <f t="shared" si="28"/>
        <v>25-34</v>
      </c>
      <c r="L510" t="str">
        <f t="shared" ca="1" si="30"/>
        <v>Safe</v>
      </c>
      <c r="M510" t="str">
        <f t="shared" si="31"/>
        <v>Nov-2023</v>
      </c>
    </row>
    <row r="511" spans="1:13" x14ac:dyDescent="0.35">
      <c r="A511">
        <v>10510</v>
      </c>
      <c r="B511">
        <v>29</v>
      </c>
      <c r="C511" t="s">
        <v>9</v>
      </c>
      <c r="D511" t="s">
        <v>13</v>
      </c>
      <c r="E511" s="2">
        <v>45832</v>
      </c>
      <c r="F511" s="2">
        <v>45993</v>
      </c>
      <c r="G511">
        <v>1000</v>
      </c>
      <c r="H511" t="s">
        <v>14</v>
      </c>
      <c r="I511" t="s">
        <v>17</v>
      </c>
      <c r="J511">
        <f t="shared" si="29"/>
        <v>3000</v>
      </c>
      <c r="K511" t="str">
        <f t="shared" si="28"/>
        <v>25-34</v>
      </c>
      <c r="L511" t="str">
        <f t="shared" ca="1" si="30"/>
        <v>High Risk</v>
      </c>
      <c r="M511" t="str">
        <f t="shared" si="31"/>
        <v>Jun-2025</v>
      </c>
    </row>
    <row r="512" spans="1:13" x14ac:dyDescent="0.35">
      <c r="A512">
        <v>10511</v>
      </c>
      <c r="B512">
        <v>22</v>
      </c>
      <c r="C512" t="s">
        <v>10</v>
      </c>
      <c r="D512" t="s">
        <v>11</v>
      </c>
      <c r="E512" s="2">
        <v>45687</v>
      </c>
      <c r="F512" s="2">
        <v>46012</v>
      </c>
      <c r="G512">
        <v>1200</v>
      </c>
      <c r="H512" t="s">
        <v>14</v>
      </c>
      <c r="I512" t="s">
        <v>16</v>
      </c>
      <c r="J512">
        <f t="shared" si="29"/>
        <v>1200</v>
      </c>
      <c r="K512" t="str">
        <f t="shared" si="28"/>
        <v>18-24</v>
      </c>
      <c r="L512" t="str">
        <f t="shared" ca="1" si="30"/>
        <v>Safe</v>
      </c>
      <c r="M512" t="str">
        <f t="shared" si="31"/>
        <v>Jan-2025</v>
      </c>
    </row>
    <row r="513" spans="1:13" x14ac:dyDescent="0.35">
      <c r="A513">
        <v>10512</v>
      </c>
      <c r="B513">
        <v>24</v>
      </c>
      <c r="C513" t="s">
        <v>9</v>
      </c>
      <c r="D513" t="s">
        <v>13</v>
      </c>
      <c r="E513" s="2">
        <v>45545</v>
      </c>
      <c r="F513" s="2">
        <v>46031</v>
      </c>
      <c r="G513">
        <v>1500</v>
      </c>
      <c r="H513" t="s">
        <v>15</v>
      </c>
      <c r="I513" t="s">
        <v>16</v>
      </c>
      <c r="J513">
        <f t="shared" si="29"/>
        <v>4500</v>
      </c>
      <c r="K513" t="str">
        <f t="shared" si="28"/>
        <v>18-24</v>
      </c>
      <c r="L513" t="str">
        <f t="shared" ca="1" si="30"/>
        <v>Safe</v>
      </c>
      <c r="M513" t="str">
        <f t="shared" si="31"/>
        <v>Sep-2024</v>
      </c>
    </row>
    <row r="514" spans="1:13" x14ac:dyDescent="0.35">
      <c r="A514">
        <v>10513</v>
      </c>
      <c r="B514">
        <v>21</v>
      </c>
      <c r="C514" t="s">
        <v>10</v>
      </c>
      <c r="D514" t="s">
        <v>13</v>
      </c>
      <c r="E514" s="2">
        <v>45956</v>
      </c>
      <c r="F514" s="2">
        <v>46028</v>
      </c>
      <c r="G514">
        <v>1000</v>
      </c>
      <c r="H514" t="s">
        <v>14</v>
      </c>
      <c r="I514" t="s">
        <v>16</v>
      </c>
      <c r="J514">
        <f t="shared" si="29"/>
        <v>3000</v>
      </c>
      <c r="K514" t="str">
        <f t="shared" ref="K514:K577" si="32">IF(B514&lt;25,"18-24",IF(B514&lt;35,"25-34","35+"))</f>
        <v>18-24</v>
      </c>
      <c r="L514" t="str">
        <f t="shared" ca="1" si="30"/>
        <v>Safe</v>
      </c>
      <c r="M514" t="str">
        <f t="shared" si="31"/>
        <v>Oct-2025</v>
      </c>
    </row>
    <row r="515" spans="1:13" x14ac:dyDescent="0.35">
      <c r="A515">
        <v>10514</v>
      </c>
      <c r="B515">
        <v>23</v>
      </c>
      <c r="C515" t="s">
        <v>10</v>
      </c>
      <c r="D515" t="s">
        <v>12</v>
      </c>
      <c r="E515" s="2">
        <v>45200</v>
      </c>
      <c r="F515" s="2">
        <v>46029</v>
      </c>
      <c r="G515">
        <v>1300</v>
      </c>
      <c r="H515" t="s">
        <v>15</v>
      </c>
      <c r="I515" t="s">
        <v>16</v>
      </c>
      <c r="J515">
        <f t="shared" ref="J515:J578" si="33">IF(D515="Monthly",G515,IF(D515="Quarterly",G515*3,G515*12))</f>
        <v>15600</v>
      </c>
      <c r="K515" t="str">
        <f t="shared" si="32"/>
        <v>18-24</v>
      </c>
      <c r="L515" t="str">
        <f t="shared" ref="L515:L578" ca="1" si="34">IF(F515&lt;TODAY()-30,"High Risk","Safe")</f>
        <v>Safe</v>
      </c>
      <c r="M515" t="str">
        <f t="shared" ref="M515:M578" si="35">TEXT(E515,"mmm-yyyy")</f>
        <v>Oct-2023</v>
      </c>
    </row>
    <row r="516" spans="1:13" x14ac:dyDescent="0.35">
      <c r="A516">
        <v>10515</v>
      </c>
      <c r="B516">
        <v>30</v>
      </c>
      <c r="C516" t="s">
        <v>9</v>
      </c>
      <c r="D516" t="s">
        <v>11</v>
      </c>
      <c r="E516" s="2">
        <v>45958</v>
      </c>
      <c r="F516" s="2">
        <v>45996</v>
      </c>
      <c r="G516">
        <v>1700</v>
      </c>
      <c r="H516" t="s">
        <v>15</v>
      </c>
      <c r="I516" t="s">
        <v>17</v>
      </c>
      <c r="J516">
        <f t="shared" si="33"/>
        <v>1700</v>
      </c>
      <c r="K516" t="str">
        <f t="shared" si="32"/>
        <v>25-34</v>
      </c>
      <c r="L516" t="str">
        <f t="shared" ca="1" si="34"/>
        <v>High Risk</v>
      </c>
      <c r="M516" t="str">
        <f t="shared" si="35"/>
        <v>Oct-2025</v>
      </c>
    </row>
    <row r="517" spans="1:13" x14ac:dyDescent="0.35">
      <c r="A517">
        <v>10516</v>
      </c>
      <c r="B517">
        <v>37</v>
      </c>
      <c r="C517" t="s">
        <v>10</v>
      </c>
      <c r="D517" t="s">
        <v>13</v>
      </c>
      <c r="E517" s="2">
        <v>45950</v>
      </c>
      <c r="F517" s="2">
        <v>46009</v>
      </c>
      <c r="G517">
        <v>1000</v>
      </c>
      <c r="H517" t="s">
        <v>14</v>
      </c>
      <c r="I517" t="s">
        <v>16</v>
      </c>
      <c r="J517">
        <f t="shared" si="33"/>
        <v>3000</v>
      </c>
      <c r="K517" t="str">
        <f t="shared" si="32"/>
        <v>35+</v>
      </c>
      <c r="L517" t="str">
        <f t="shared" ca="1" si="34"/>
        <v>Safe</v>
      </c>
      <c r="M517" t="str">
        <f t="shared" si="35"/>
        <v>Oct-2025</v>
      </c>
    </row>
    <row r="518" spans="1:13" x14ac:dyDescent="0.35">
      <c r="A518">
        <v>10517</v>
      </c>
      <c r="B518">
        <v>32</v>
      </c>
      <c r="C518" t="s">
        <v>9</v>
      </c>
      <c r="D518" t="s">
        <v>11</v>
      </c>
      <c r="E518" s="2">
        <v>45258</v>
      </c>
      <c r="F518" s="2">
        <v>46028</v>
      </c>
      <c r="G518">
        <v>1700</v>
      </c>
      <c r="H518" t="s">
        <v>15</v>
      </c>
      <c r="I518" t="s">
        <v>16</v>
      </c>
      <c r="J518">
        <f t="shared" si="33"/>
        <v>1700</v>
      </c>
      <c r="K518" t="str">
        <f t="shared" si="32"/>
        <v>25-34</v>
      </c>
      <c r="L518" t="str">
        <f t="shared" ca="1" si="34"/>
        <v>Safe</v>
      </c>
      <c r="M518" t="str">
        <f t="shared" si="35"/>
        <v>Nov-2023</v>
      </c>
    </row>
    <row r="519" spans="1:13" x14ac:dyDescent="0.35">
      <c r="A519">
        <v>10518</v>
      </c>
      <c r="B519">
        <v>20</v>
      </c>
      <c r="C519" t="s">
        <v>9</v>
      </c>
      <c r="D519" t="s">
        <v>12</v>
      </c>
      <c r="E519" s="2">
        <v>45287</v>
      </c>
      <c r="F519" s="2">
        <v>45940</v>
      </c>
      <c r="G519">
        <v>800</v>
      </c>
      <c r="H519" t="s">
        <v>14</v>
      </c>
      <c r="I519" t="s">
        <v>17</v>
      </c>
      <c r="J519">
        <f t="shared" si="33"/>
        <v>9600</v>
      </c>
      <c r="K519" t="str">
        <f t="shared" si="32"/>
        <v>18-24</v>
      </c>
      <c r="L519" t="str">
        <f t="shared" ca="1" si="34"/>
        <v>High Risk</v>
      </c>
      <c r="M519" t="str">
        <f t="shared" si="35"/>
        <v>Dec-2023</v>
      </c>
    </row>
    <row r="520" spans="1:13" x14ac:dyDescent="0.35">
      <c r="A520">
        <v>10519</v>
      </c>
      <c r="B520">
        <v>40</v>
      </c>
      <c r="C520" t="s">
        <v>9</v>
      </c>
      <c r="D520" t="s">
        <v>12</v>
      </c>
      <c r="E520" s="2">
        <v>45549</v>
      </c>
      <c r="F520" s="2">
        <v>46024</v>
      </c>
      <c r="G520">
        <v>1300</v>
      </c>
      <c r="H520" t="s">
        <v>15</v>
      </c>
      <c r="I520" t="s">
        <v>16</v>
      </c>
      <c r="J520">
        <f t="shared" si="33"/>
        <v>15600</v>
      </c>
      <c r="K520" t="str">
        <f t="shared" si="32"/>
        <v>35+</v>
      </c>
      <c r="L520" t="str">
        <f t="shared" ca="1" si="34"/>
        <v>Safe</v>
      </c>
      <c r="M520" t="str">
        <f t="shared" si="35"/>
        <v>Sep-2024</v>
      </c>
    </row>
    <row r="521" spans="1:13" x14ac:dyDescent="0.35">
      <c r="A521">
        <v>10520</v>
      </c>
      <c r="B521">
        <v>25</v>
      </c>
      <c r="C521" t="s">
        <v>9</v>
      </c>
      <c r="D521" t="s">
        <v>12</v>
      </c>
      <c r="E521" s="2">
        <v>45485</v>
      </c>
      <c r="F521" s="2">
        <v>45967</v>
      </c>
      <c r="G521">
        <v>800</v>
      </c>
      <c r="H521" t="s">
        <v>14</v>
      </c>
      <c r="I521" t="s">
        <v>17</v>
      </c>
      <c r="J521">
        <f t="shared" si="33"/>
        <v>9600</v>
      </c>
      <c r="K521" t="str">
        <f t="shared" si="32"/>
        <v>25-34</v>
      </c>
      <c r="L521" t="str">
        <f t="shared" ca="1" si="34"/>
        <v>High Risk</v>
      </c>
      <c r="M521" t="str">
        <f t="shared" si="35"/>
        <v>Jul-2024</v>
      </c>
    </row>
    <row r="522" spans="1:13" x14ac:dyDescent="0.35">
      <c r="A522">
        <v>10521</v>
      </c>
      <c r="B522">
        <v>37</v>
      </c>
      <c r="C522" t="s">
        <v>9</v>
      </c>
      <c r="D522" t="s">
        <v>12</v>
      </c>
      <c r="E522" s="2">
        <v>45509</v>
      </c>
      <c r="F522" s="2">
        <v>45966</v>
      </c>
      <c r="G522">
        <v>800</v>
      </c>
      <c r="H522" t="s">
        <v>14</v>
      </c>
      <c r="I522" t="s">
        <v>17</v>
      </c>
      <c r="J522">
        <f t="shared" si="33"/>
        <v>9600</v>
      </c>
      <c r="K522" t="str">
        <f t="shared" si="32"/>
        <v>35+</v>
      </c>
      <c r="L522" t="str">
        <f t="shared" ca="1" si="34"/>
        <v>High Risk</v>
      </c>
      <c r="M522" t="str">
        <f t="shared" si="35"/>
        <v>Aug-2024</v>
      </c>
    </row>
    <row r="523" spans="1:13" x14ac:dyDescent="0.35">
      <c r="A523">
        <v>10522</v>
      </c>
      <c r="B523">
        <v>33</v>
      </c>
      <c r="C523" t="s">
        <v>9</v>
      </c>
      <c r="D523" t="s">
        <v>12</v>
      </c>
      <c r="E523" s="2">
        <v>45661</v>
      </c>
      <c r="F523" s="2">
        <v>46024</v>
      </c>
      <c r="G523">
        <v>800</v>
      </c>
      <c r="H523" t="s">
        <v>14</v>
      </c>
      <c r="I523" t="s">
        <v>16</v>
      </c>
      <c r="J523">
        <f t="shared" si="33"/>
        <v>9600</v>
      </c>
      <c r="K523" t="str">
        <f t="shared" si="32"/>
        <v>25-34</v>
      </c>
      <c r="L523" t="str">
        <f t="shared" ca="1" si="34"/>
        <v>Safe</v>
      </c>
      <c r="M523" t="str">
        <f t="shared" si="35"/>
        <v>Jan-2025</v>
      </c>
    </row>
    <row r="524" spans="1:13" x14ac:dyDescent="0.35">
      <c r="A524">
        <v>10523</v>
      </c>
      <c r="B524">
        <v>30</v>
      </c>
      <c r="C524" t="s">
        <v>9</v>
      </c>
      <c r="D524" t="s">
        <v>11</v>
      </c>
      <c r="E524" s="2">
        <v>45167</v>
      </c>
      <c r="F524" s="2">
        <v>45928</v>
      </c>
      <c r="G524">
        <v>1200</v>
      </c>
      <c r="H524" t="s">
        <v>14</v>
      </c>
      <c r="I524" t="s">
        <v>17</v>
      </c>
      <c r="J524">
        <f t="shared" si="33"/>
        <v>1200</v>
      </c>
      <c r="K524" t="str">
        <f t="shared" si="32"/>
        <v>25-34</v>
      </c>
      <c r="L524" t="str">
        <f t="shared" ca="1" si="34"/>
        <v>High Risk</v>
      </c>
      <c r="M524" t="str">
        <f t="shared" si="35"/>
        <v>Aug-2023</v>
      </c>
    </row>
    <row r="525" spans="1:13" x14ac:dyDescent="0.35">
      <c r="A525">
        <v>10524</v>
      </c>
      <c r="B525">
        <v>35</v>
      </c>
      <c r="C525" t="s">
        <v>9</v>
      </c>
      <c r="D525" t="s">
        <v>11</v>
      </c>
      <c r="E525" s="2">
        <v>45292</v>
      </c>
      <c r="F525" s="2">
        <v>46008</v>
      </c>
      <c r="G525">
        <v>1200</v>
      </c>
      <c r="H525" t="s">
        <v>14</v>
      </c>
      <c r="I525" t="s">
        <v>16</v>
      </c>
      <c r="J525">
        <f t="shared" si="33"/>
        <v>1200</v>
      </c>
      <c r="K525" t="str">
        <f t="shared" si="32"/>
        <v>35+</v>
      </c>
      <c r="L525" t="str">
        <f t="shared" ca="1" si="34"/>
        <v>Safe</v>
      </c>
      <c r="M525" t="str">
        <f t="shared" si="35"/>
        <v>Jan-2024</v>
      </c>
    </row>
    <row r="526" spans="1:13" x14ac:dyDescent="0.35">
      <c r="A526">
        <v>10525</v>
      </c>
      <c r="B526">
        <v>45</v>
      </c>
      <c r="C526" t="s">
        <v>9</v>
      </c>
      <c r="D526" t="s">
        <v>13</v>
      </c>
      <c r="E526" s="2">
        <v>45541</v>
      </c>
      <c r="F526" s="2">
        <v>46012</v>
      </c>
      <c r="G526">
        <v>1500</v>
      </c>
      <c r="H526" t="s">
        <v>15</v>
      </c>
      <c r="I526" t="s">
        <v>16</v>
      </c>
      <c r="J526">
        <f t="shared" si="33"/>
        <v>4500</v>
      </c>
      <c r="K526" t="str">
        <f t="shared" si="32"/>
        <v>35+</v>
      </c>
      <c r="L526" t="str">
        <f t="shared" ca="1" si="34"/>
        <v>Safe</v>
      </c>
      <c r="M526" t="str">
        <f t="shared" si="35"/>
        <v>Sep-2024</v>
      </c>
    </row>
    <row r="527" spans="1:13" x14ac:dyDescent="0.35">
      <c r="A527">
        <v>10526</v>
      </c>
      <c r="B527">
        <v>27</v>
      </c>
      <c r="C527" t="s">
        <v>10</v>
      </c>
      <c r="D527" t="s">
        <v>12</v>
      </c>
      <c r="E527" s="2">
        <v>45398</v>
      </c>
      <c r="F527" s="2">
        <v>46018</v>
      </c>
      <c r="G527">
        <v>1300</v>
      </c>
      <c r="H527" t="s">
        <v>15</v>
      </c>
      <c r="I527" t="s">
        <v>16</v>
      </c>
      <c r="J527">
        <f t="shared" si="33"/>
        <v>15600</v>
      </c>
      <c r="K527" t="str">
        <f t="shared" si="32"/>
        <v>25-34</v>
      </c>
      <c r="L527" t="str">
        <f t="shared" ca="1" si="34"/>
        <v>Safe</v>
      </c>
      <c r="M527" t="str">
        <f t="shared" si="35"/>
        <v>Apr-2024</v>
      </c>
    </row>
    <row r="528" spans="1:13" x14ac:dyDescent="0.35">
      <c r="A528">
        <v>10527</v>
      </c>
      <c r="B528">
        <v>36</v>
      </c>
      <c r="C528" t="s">
        <v>9</v>
      </c>
      <c r="D528" t="s">
        <v>12</v>
      </c>
      <c r="E528" s="2">
        <v>45252</v>
      </c>
      <c r="F528" s="2">
        <v>46027</v>
      </c>
      <c r="G528">
        <v>800</v>
      </c>
      <c r="H528" t="s">
        <v>14</v>
      </c>
      <c r="I528" t="s">
        <v>16</v>
      </c>
      <c r="J528">
        <f t="shared" si="33"/>
        <v>9600</v>
      </c>
      <c r="K528" t="str">
        <f t="shared" si="32"/>
        <v>35+</v>
      </c>
      <c r="L528" t="str">
        <f t="shared" ca="1" si="34"/>
        <v>Safe</v>
      </c>
      <c r="M528" t="str">
        <f t="shared" si="35"/>
        <v>Nov-2023</v>
      </c>
    </row>
    <row r="529" spans="1:13" x14ac:dyDescent="0.35">
      <c r="A529">
        <v>10528</v>
      </c>
      <c r="B529">
        <v>34</v>
      </c>
      <c r="C529" t="s">
        <v>9</v>
      </c>
      <c r="D529" t="s">
        <v>11</v>
      </c>
      <c r="E529" s="2">
        <v>45470</v>
      </c>
      <c r="F529" s="2">
        <v>45914</v>
      </c>
      <c r="G529">
        <v>1700</v>
      </c>
      <c r="H529" t="s">
        <v>15</v>
      </c>
      <c r="I529" t="s">
        <v>17</v>
      </c>
      <c r="J529">
        <f t="shared" si="33"/>
        <v>1700</v>
      </c>
      <c r="K529" t="str">
        <f t="shared" si="32"/>
        <v>25-34</v>
      </c>
      <c r="L529" t="str">
        <f t="shared" ca="1" si="34"/>
        <v>High Risk</v>
      </c>
      <c r="M529" t="str">
        <f t="shared" si="35"/>
        <v>Jun-2024</v>
      </c>
    </row>
    <row r="530" spans="1:13" x14ac:dyDescent="0.35">
      <c r="A530">
        <v>10529</v>
      </c>
      <c r="B530">
        <v>41</v>
      </c>
      <c r="C530" t="s">
        <v>10</v>
      </c>
      <c r="D530" t="s">
        <v>12</v>
      </c>
      <c r="E530" s="2">
        <v>45216</v>
      </c>
      <c r="F530" s="2">
        <v>46025</v>
      </c>
      <c r="G530">
        <v>800</v>
      </c>
      <c r="H530" t="s">
        <v>14</v>
      </c>
      <c r="I530" t="s">
        <v>16</v>
      </c>
      <c r="J530">
        <f t="shared" si="33"/>
        <v>9600</v>
      </c>
      <c r="K530" t="str">
        <f t="shared" si="32"/>
        <v>35+</v>
      </c>
      <c r="L530" t="str">
        <f t="shared" ca="1" si="34"/>
        <v>Safe</v>
      </c>
      <c r="M530" t="str">
        <f t="shared" si="35"/>
        <v>Oct-2023</v>
      </c>
    </row>
    <row r="531" spans="1:13" x14ac:dyDescent="0.35">
      <c r="A531">
        <v>10530</v>
      </c>
      <c r="B531">
        <v>36</v>
      </c>
      <c r="C531" t="s">
        <v>9</v>
      </c>
      <c r="D531" t="s">
        <v>13</v>
      </c>
      <c r="E531" s="2">
        <v>45724</v>
      </c>
      <c r="F531" s="2">
        <v>45968</v>
      </c>
      <c r="G531">
        <v>1500</v>
      </c>
      <c r="H531" t="s">
        <v>15</v>
      </c>
      <c r="I531" t="s">
        <v>17</v>
      </c>
      <c r="J531">
        <f t="shared" si="33"/>
        <v>4500</v>
      </c>
      <c r="K531" t="str">
        <f t="shared" si="32"/>
        <v>35+</v>
      </c>
      <c r="L531" t="str">
        <f t="shared" ca="1" si="34"/>
        <v>High Risk</v>
      </c>
      <c r="M531" t="str">
        <f t="shared" si="35"/>
        <v>Mar-2025</v>
      </c>
    </row>
    <row r="532" spans="1:13" x14ac:dyDescent="0.35">
      <c r="A532">
        <v>10531</v>
      </c>
      <c r="B532">
        <v>45</v>
      </c>
      <c r="C532" t="s">
        <v>9</v>
      </c>
      <c r="D532" t="s">
        <v>13</v>
      </c>
      <c r="E532" s="2">
        <v>45647</v>
      </c>
      <c r="F532" s="2">
        <v>46016</v>
      </c>
      <c r="G532">
        <v>1000</v>
      </c>
      <c r="H532" t="s">
        <v>14</v>
      </c>
      <c r="I532" t="s">
        <v>16</v>
      </c>
      <c r="J532">
        <f t="shared" si="33"/>
        <v>3000</v>
      </c>
      <c r="K532" t="str">
        <f t="shared" si="32"/>
        <v>35+</v>
      </c>
      <c r="L532" t="str">
        <f t="shared" ca="1" si="34"/>
        <v>Safe</v>
      </c>
      <c r="M532" t="str">
        <f t="shared" si="35"/>
        <v>Dec-2024</v>
      </c>
    </row>
    <row r="533" spans="1:13" x14ac:dyDescent="0.35">
      <c r="A533">
        <v>10532</v>
      </c>
      <c r="B533">
        <v>43</v>
      </c>
      <c r="C533" t="s">
        <v>9</v>
      </c>
      <c r="D533" t="s">
        <v>11</v>
      </c>
      <c r="E533" s="2">
        <v>45381</v>
      </c>
      <c r="F533" s="2">
        <v>46009</v>
      </c>
      <c r="G533">
        <v>1200</v>
      </c>
      <c r="H533" t="s">
        <v>14</v>
      </c>
      <c r="I533" t="s">
        <v>16</v>
      </c>
      <c r="J533">
        <f t="shared" si="33"/>
        <v>1200</v>
      </c>
      <c r="K533" t="str">
        <f t="shared" si="32"/>
        <v>35+</v>
      </c>
      <c r="L533" t="str">
        <f t="shared" ca="1" si="34"/>
        <v>Safe</v>
      </c>
      <c r="M533" t="str">
        <f t="shared" si="35"/>
        <v>Mar-2024</v>
      </c>
    </row>
    <row r="534" spans="1:13" x14ac:dyDescent="0.35">
      <c r="A534">
        <v>10533</v>
      </c>
      <c r="B534">
        <v>40</v>
      </c>
      <c r="C534" t="s">
        <v>9</v>
      </c>
      <c r="D534" t="s">
        <v>11</v>
      </c>
      <c r="E534" s="2">
        <v>45336</v>
      </c>
      <c r="F534" s="2">
        <v>45964</v>
      </c>
      <c r="G534">
        <v>1700</v>
      </c>
      <c r="H534" t="s">
        <v>15</v>
      </c>
      <c r="I534" t="s">
        <v>17</v>
      </c>
      <c r="J534">
        <f t="shared" si="33"/>
        <v>1700</v>
      </c>
      <c r="K534" t="str">
        <f t="shared" si="32"/>
        <v>35+</v>
      </c>
      <c r="L534" t="str">
        <f t="shared" ca="1" si="34"/>
        <v>High Risk</v>
      </c>
      <c r="M534" t="str">
        <f t="shared" si="35"/>
        <v>Feb-2024</v>
      </c>
    </row>
    <row r="535" spans="1:13" x14ac:dyDescent="0.35">
      <c r="A535">
        <v>10534</v>
      </c>
      <c r="B535">
        <v>43</v>
      </c>
      <c r="C535" t="s">
        <v>10</v>
      </c>
      <c r="D535" t="s">
        <v>13</v>
      </c>
      <c r="E535" s="2">
        <v>45391</v>
      </c>
      <c r="F535" s="2">
        <v>46024</v>
      </c>
      <c r="G535">
        <v>1000</v>
      </c>
      <c r="H535" t="s">
        <v>14</v>
      </c>
      <c r="I535" t="s">
        <v>16</v>
      </c>
      <c r="J535">
        <f t="shared" si="33"/>
        <v>3000</v>
      </c>
      <c r="K535" t="str">
        <f t="shared" si="32"/>
        <v>35+</v>
      </c>
      <c r="L535" t="str">
        <f t="shared" ca="1" si="34"/>
        <v>Safe</v>
      </c>
      <c r="M535" t="str">
        <f t="shared" si="35"/>
        <v>Apr-2024</v>
      </c>
    </row>
    <row r="536" spans="1:13" x14ac:dyDescent="0.35">
      <c r="A536">
        <v>10535</v>
      </c>
      <c r="B536">
        <v>22</v>
      </c>
      <c r="C536" t="s">
        <v>9</v>
      </c>
      <c r="D536" t="s">
        <v>13</v>
      </c>
      <c r="E536" s="2">
        <v>45414</v>
      </c>
      <c r="F536" s="2">
        <v>46029</v>
      </c>
      <c r="G536">
        <v>1500</v>
      </c>
      <c r="H536" t="s">
        <v>15</v>
      </c>
      <c r="I536" t="s">
        <v>16</v>
      </c>
      <c r="J536">
        <f t="shared" si="33"/>
        <v>4500</v>
      </c>
      <c r="K536" t="str">
        <f t="shared" si="32"/>
        <v>18-24</v>
      </c>
      <c r="L536" t="str">
        <f t="shared" ca="1" si="34"/>
        <v>Safe</v>
      </c>
      <c r="M536" t="str">
        <f t="shared" si="35"/>
        <v>May-2024</v>
      </c>
    </row>
    <row r="537" spans="1:13" x14ac:dyDescent="0.35">
      <c r="A537">
        <v>10536</v>
      </c>
      <c r="B537">
        <v>43</v>
      </c>
      <c r="C537" t="s">
        <v>10</v>
      </c>
      <c r="D537" t="s">
        <v>11</v>
      </c>
      <c r="E537" s="2">
        <v>45967</v>
      </c>
      <c r="F537" s="2">
        <v>46012</v>
      </c>
      <c r="G537">
        <v>1200</v>
      </c>
      <c r="H537" t="s">
        <v>14</v>
      </c>
      <c r="I537" t="s">
        <v>16</v>
      </c>
      <c r="J537">
        <f t="shared" si="33"/>
        <v>1200</v>
      </c>
      <c r="K537" t="str">
        <f t="shared" si="32"/>
        <v>35+</v>
      </c>
      <c r="L537" t="str">
        <f t="shared" ca="1" si="34"/>
        <v>Safe</v>
      </c>
      <c r="M537" t="str">
        <f t="shared" si="35"/>
        <v>Nov-2025</v>
      </c>
    </row>
    <row r="538" spans="1:13" x14ac:dyDescent="0.35">
      <c r="A538">
        <v>10537</v>
      </c>
      <c r="B538">
        <v>38</v>
      </c>
      <c r="C538" t="s">
        <v>9</v>
      </c>
      <c r="D538" t="s">
        <v>13</v>
      </c>
      <c r="E538" s="2">
        <v>45214</v>
      </c>
      <c r="F538" s="2">
        <v>45937</v>
      </c>
      <c r="G538">
        <v>1500</v>
      </c>
      <c r="H538" t="s">
        <v>15</v>
      </c>
      <c r="I538" t="s">
        <v>17</v>
      </c>
      <c r="J538">
        <f t="shared" si="33"/>
        <v>4500</v>
      </c>
      <c r="K538" t="str">
        <f t="shared" si="32"/>
        <v>35+</v>
      </c>
      <c r="L538" t="str">
        <f t="shared" ca="1" si="34"/>
        <v>High Risk</v>
      </c>
      <c r="M538" t="str">
        <f t="shared" si="35"/>
        <v>Oct-2023</v>
      </c>
    </row>
    <row r="539" spans="1:13" x14ac:dyDescent="0.35">
      <c r="A539">
        <v>10538</v>
      </c>
      <c r="B539">
        <v>40</v>
      </c>
      <c r="C539" t="s">
        <v>9</v>
      </c>
      <c r="D539" t="s">
        <v>12</v>
      </c>
      <c r="E539" s="2">
        <v>45747</v>
      </c>
      <c r="F539" s="2">
        <v>46010</v>
      </c>
      <c r="G539">
        <v>800</v>
      </c>
      <c r="H539" t="s">
        <v>14</v>
      </c>
      <c r="I539" t="s">
        <v>16</v>
      </c>
      <c r="J539">
        <f t="shared" si="33"/>
        <v>9600</v>
      </c>
      <c r="K539" t="str">
        <f t="shared" si="32"/>
        <v>35+</v>
      </c>
      <c r="L539" t="str">
        <f t="shared" ca="1" si="34"/>
        <v>Safe</v>
      </c>
      <c r="M539" t="str">
        <f t="shared" si="35"/>
        <v>Mar-2025</v>
      </c>
    </row>
    <row r="540" spans="1:13" x14ac:dyDescent="0.35">
      <c r="A540">
        <v>10539</v>
      </c>
      <c r="B540">
        <v>26</v>
      </c>
      <c r="C540" t="s">
        <v>9</v>
      </c>
      <c r="D540" t="s">
        <v>12</v>
      </c>
      <c r="E540" s="2">
        <v>45700</v>
      </c>
      <c r="F540" s="2">
        <v>46028</v>
      </c>
      <c r="G540">
        <v>800</v>
      </c>
      <c r="H540" t="s">
        <v>14</v>
      </c>
      <c r="I540" t="s">
        <v>16</v>
      </c>
      <c r="J540">
        <f t="shared" si="33"/>
        <v>9600</v>
      </c>
      <c r="K540" t="str">
        <f t="shared" si="32"/>
        <v>25-34</v>
      </c>
      <c r="L540" t="str">
        <f t="shared" ca="1" si="34"/>
        <v>Safe</v>
      </c>
      <c r="M540" t="str">
        <f t="shared" si="35"/>
        <v>Feb-2025</v>
      </c>
    </row>
    <row r="541" spans="1:13" x14ac:dyDescent="0.35">
      <c r="A541">
        <v>10540</v>
      </c>
      <c r="B541">
        <v>29</v>
      </c>
      <c r="C541" t="s">
        <v>9</v>
      </c>
      <c r="D541" t="s">
        <v>12</v>
      </c>
      <c r="E541" s="2">
        <v>45471</v>
      </c>
      <c r="F541" s="2">
        <v>46025</v>
      </c>
      <c r="G541">
        <v>1300</v>
      </c>
      <c r="H541" t="s">
        <v>15</v>
      </c>
      <c r="I541" t="s">
        <v>16</v>
      </c>
      <c r="J541">
        <f t="shared" si="33"/>
        <v>15600</v>
      </c>
      <c r="K541" t="str">
        <f t="shared" si="32"/>
        <v>25-34</v>
      </c>
      <c r="L541" t="str">
        <f t="shared" ca="1" si="34"/>
        <v>Safe</v>
      </c>
      <c r="M541" t="str">
        <f t="shared" si="35"/>
        <v>Jun-2024</v>
      </c>
    </row>
    <row r="542" spans="1:13" x14ac:dyDescent="0.35">
      <c r="A542">
        <v>10541</v>
      </c>
      <c r="B542">
        <v>38</v>
      </c>
      <c r="C542" t="s">
        <v>9</v>
      </c>
      <c r="D542" t="s">
        <v>11</v>
      </c>
      <c r="E542" s="2">
        <v>45674</v>
      </c>
      <c r="F542" s="2">
        <v>45930</v>
      </c>
      <c r="G542">
        <v>1700</v>
      </c>
      <c r="H542" t="s">
        <v>15</v>
      </c>
      <c r="I542" t="s">
        <v>17</v>
      </c>
      <c r="J542">
        <f t="shared" si="33"/>
        <v>1700</v>
      </c>
      <c r="K542" t="str">
        <f t="shared" si="32"/>
        <v>35+</v>
      </c>
      <c r="L542" t="str">
        <f t="shared" ca="1" si="34"/>
        <v>High Risk</v>
      </c>
      <c r="M542" t="str">
        <f t="shared" si="35"/>
        <v>Jan-2025</v>
      </c>
    </row>
    <row r="543" spans="1:13" x14ac:dyDescent="0.35">
      <c r="A543">
        <v>10542</v>
      </c>
      <c r="B543">
        <v>18</v>
      </c>
      <c r="C543" t="s">
        <v>10</v>
      </c>
      <c r="D543" t="s">
        <v>11</v>
      </c>
      <c r="E543" s="2">
        <v>45625</v>
      </c>
      <c r="F543" s="2">
        <v>46012</v>
      </c>
      <c r="G543">
        <v>1200</v>
      </c>
      <c r="H543" t="s">
        <v>14</v>
      </c>
      <c r="I543" t="s">
        <v>16</v>
      </c>
      <c r="J543">
        <f t="shared" si="33"/>
        <v>1200</v>
      </c>
      <c r="K543" t="str">
        <f t="shared" si="32"/>
        <v>18-24</v>
      </c>
      <c r="L543" t="str">
        <f t="shared" ca="1" si="34"/>
        <v>Safe</v>
      </c>
      <c r="M543" t="str">
        <f t="shared" si="35"/>
        <v>Nov-2024</v>
      </c>
    </row>
    <row r="544" spans="1:13" x14ac:dyDescent="0.35">
      <c r="A544">
        <v>10543</v>
      </c>
      <c r="B544">
        <v>43</v>
      </c>
      <c r="C544" t="s">
        <v>10</v>
      </c>
      <c r="D544" t="s">
        <v>13</v>
      </c>
      <c r="E544" s="2">
        <v>45733</v>
      </c>
      <c r="F544" s="2">
        <v>46032</v>
      </c>
      <c r="G544">
        <v>1500</v>
      </c>
      <c r="H544" t="s">
        <v>15</v>
      </c>
      <c r="I544" t="s">
        <v>16</v>
      </c>
      <c r="J544">
        <f t="shared" si="33"/>
        <v>4500</v>
      </c>
      <c r="K544" t="str">
        <f t="shared" si="32"/>
        <v>35+</v>
      </c>
      <c r="L544" t="str">
        <f t="shared" ca="1" si="34"/>
        <v>Safe</v>
      </c>
      <c r="M544" t="str">
        <f t="shared" si="35"/>
        <v>Mar-2025</v>
      </c>
    </row>
    <row r="545" spans="1:13" x14ac:dyDescent="0.35">
      <c r="A545">
        <v>10544</v>
      </c>
      <c r="B545">
        <v>43</v>
      </c>
      <c r="C545" t="s">
        <v>9</v>
      </c>
      <c r="D545" t="s">
        <v>11</v>
      </c>
      <c r="E545" s="2">
        <v>45745</v>
      </c>
      <c r="F545" s="2">
        <v>46024</v>
      </c>
      <c r="G545">
        <v>1200</v>
      </c>
      <c r="H545" t="s">
        <v>14</v>
      </c>
      <c r="I545" t="s">
        <v>16</v>
      </c>
      <c r="J545">
        <f t="shared" si="33"/>
        <v>1200</v>
      </c>
      <c r="K545" t="str">
        <f t="shared" si="32"/>
        <v>35+</v>
      </c>
      <c r="L545" t="str">
        <f t="shared" ca="1" si="34"/>
        <v>Safe</v>
      </c>
      <c r="M545" t="str">
        <f t="shared" si="35"/>
        <v>Mar-2025</v>
      </c>
    </row>
    <row r="546" spans="1:13" x14ac:dyDescent="0.35">
      <c r="A546">
        <v>10545</v>
      </c>
      <c r="B546">
        <v>18</v>
      </c>
      <c r="C546" t="s">
        <v>10</v>
      </c>
      <c r="D546" t="s">
        <v>11</v>
      </c>
      <c r="E546" s="2">
        <v>45791</v>
      </c>
      <c r="F546" s="2">
        <v>46025</v>
      </c>
      <c r="G546">
        <v>1200</v>
      </c>
      <c r="H546" t="s">
        <v>14</v>
      </c>
      <c r="I546" t="s">
        <v>16</v>
      </c>
      <c r="J546">
        <f t="shared" si="33"/>
        <v>1200</v>
      </c>
      <c r="K546" t="str">
        <f t="shared" si="32"/>
        <v>18-24</v>
      </c>
      <c r="L546" t="str">
        <f t="shared" ca="1" si="34"/>
        <v>Safe</v>
      </c>
      <c r="M546" t="str">
        <f t="shared" si="35"/>
        <v>May-2025</v>
      </c>
    </row>
    <row r="547" spans="1:13" x14ac:dyDescent="0.35">
      <c r="A547">
        <v>10546</v>
      </c>
      <c r="B547">
        <v>32</v>
      </c>
      <c r="C547" t="s">
        <v>10</v>
      </c>
      <c r="D547" t="s">
        <v>11</v>
      </c>
      <c r="E547" s="2">
        <v>45537</v>
      </c>
      <c r="F547" s="2">
        <v>46024</v>
      </c>
      <c r="G547">
        <v>1200</v>
      </c>
      <c r="H547" t="s">
        <v>14</v>
      </c>
      <c r="I547" t="s">
        <v>16</v>
      </c>
      <c r="J547">
        <f t="shared" si="33"/>
        <v>1200</v>
      </c>
      <c r="K547" t="str">
        <f t="shared" si="32"/>
        <v>25-34</v>
      </c>
      <c r="L547" t="str">
        <f t="shared" ca="1" si="34"/>
        <v>Safe</v>
      </c>
      <c r="M547" t="str">
        <f t="shared" si="35"/>
        <v>Sep-2024</v>
      </c>
    </row>
    <row r="548" spans="1:13" x14ac:dyDescent="0.35">
      <c r="A548">
        <v>10547</v>
      </c>
      <c r="B548">
        <v>19</v>
      </c>
      <c r="C548" t="s">
        <v>9</v>
      </c>
      <c r="D548" t="s">
        <v>11</v>
      </c>
      <c r="E548" s="2">
        <v>45817</v>
      </c>
      <c r="F548" s="2">
        <v>46029</v>
      </c>
      <c r="G548">
        <v>1200</v>
      </c>
      <c r="H548" t="s">
        <v>14</v>
      </c>
      <c r="I548" t="s">
        <v>16</v>
      </c>
      <c r="J548">
        <f t="shared" si="33"/>
        <v>1200</v>
      </c>
      <c r="K548" t="str">
        <f t="shared" si="32"/>
        <v>18-24</v>
      </c>
      <c r="L548" t="str">
        <f t="shared" ca="1" si="34"/>
        <v>Safe</v>
      </c>
      <c r="M548" t="str">
        <f t="shared" si="35"/>
        <v>Jun-2025</v>
      </c>
    </row>
    <row r="549" spans="1:13" x14ac:dyDescent="0.35">
      <c r="A549">
        <v>10548</v>
      </c>
      <c r="B549">
        <v>39</v>
      </c>
      <c r="C549" t="s">
        <v>9</v>
      </c>
      <c r="D549" t="s">
        <v>11</v>
      </c>
      <c r="E549" s="2">
        <v>45920</v>
      </c>
      <c r="F549" s="2">
        <v>45918</v>
      </c>
      <c r="G549">
        <v>1200</v>
      </c>
      <c r="H549" t="s">
        <v>14</v>
      </c>
      <c r="I549" t="s">
        <v>17</v>
      </c>
      <c r="J549">
        <f t="shared" si="33"/>
        <v>1200</v>
      </c>
      <c r="K549" t="str">
        <f t="shared" si="32"/>
        <v>35+</v>
      </c>
      <c r="L549" t="str">
        <f t="shared" ca="1" si="34"/>
        <v>High Risk</v>
      </c>
      <c r="M549" t="str">
        <f t="shared" si="35"/>
        <v>Sep-2025</v>
      </c>
    </row>
    <row r="550" spans="1:13" x14ac:dyDescent="0.35">
      <c r="A550">
        <v>10549</v>
      </c>
      <c r="B550">
        <v>33</v>
      </c>
      <c r="C550" t="s">
        <v>9</v>
      </c>
      <c r="D550" t="s">
        <v>11</v>
      </c>
      <c r="E550" s="2">
        <v>45342</v>
      </c>
      <c r="F550" s="2">
        <v>46028</v>
      </c>
      <c r="G550">
        <v>1200</v>
      </c>
      <c r="H550" t="s">
        <v>14</v>
      </c>
      <c r="I550" t="s">
        <v>16</v>
      </c>
      <c r="J550">
        <f t="shared" si="33"/>
        <v>1200</v>
      </c>
      <c r="K550" t="str">
        <f t="shared" si="32"/>
        <v>25-34</v>
      </c>
      <c r="L550" t="str">
        <f t="shared" ca="1" si="34"/>
        <v>Safe</v>
      </c>
      <c r="M550" t="str">
        <f t="shared" si="35"/>
        <v>Feb-2024</v>
      </c>
    </row>
    <row r="551" spans="1:13" x14ac:dyDescent="0.35">
      <c r="A551">
        <v>10550</v>
      </c>
      <c r="B551">
        <v>42</v>
      </c>
      <c r="C551" t="s">
        <v>9</v>
      </c>
      <c r="D551" t="s">
        <v>11</v>
      </c>
      <c r="E551" s="2">
        <v>45384</v>
      </c>
      <c r="F551" s="2">
        <v>46016</v>
      </c>
      <c r="G551">
        <v>1200</v>
      </c>
      <c r="H551" t="s">
        <v>14</v>
      </c>
      <c r="I551" t="s">
        <v>16</v>
      </c>
      <c r="J551">
        <f t="shared" si="33"/>
        <v>1200</v>
      </c>
      <c r="K551" t="str">
        <f t="shared" si="32"/>
        <v>35+</v>
      </c>
      <c r="L551" t="str">
        <f t="shared" ca="1" si="34"/>
        <v>Safe</v>
      </c>
      <c r="M551" t="str">
        <f t="shared" si="35"/>
        <v>Apr-2024</v>
      </c>
    </row>
    <row r="552" spans="1:13" x14ac:dyDescent="0.35">
      <c r="A552">
        <v>10551</v>
      </c>
      <c r="B552">
        <v>25</v>
      </c>
      <c r="C552" t="s">
        <v>9</v>
      </c>
      <c r="D552" t="s">
        <v>11</v>
      </c>
      <c r="E552" s="2">
        <v>45934</v>
      </c>
      <c r="F552" s="2">
        <v>46015</v>
      </c>
      <c r="G552">
        <v>1700</v>
      </c>
      <c r="H552" t="s">
        <v>15</v>
      </c>
      <c r="I552" t="s">
        <v>16</v>
      </c>
      <c r="J552">
        <f t="shared" si="33"/>
        <v>1700</v>
      </c>
      <c r="K552" t="str">
        <f t="shared" si="32"/>
        <v>25-34</v>
      </c>
      <c r="L552" t="str">
        <f t="shared" ca="1" si="34"/>
        <v>Safe</v>
      </c>
      <c r="M552" t="str">
        <f t="shared" si="35"/>
        <v>Oct-2025</v>
      </c>
    </row>
    <row r="553" spans="1:13" x14ac:dyDescent="0.35">
      <c r="A553">
        <v>10552</v>
      </c>
      <c r="B553">
        <v>30</v>
      </c>
      <c r="C553" t="s">
        <v>9</v>
      </c>
      <c r="D553" t="s">
        <v>13</v>
      </c>
      <c r="E553" s="2">
        <v>45677</v>
      </c>
      <c r="F553" s="2">
        <v>46030</v>
      </c>
      <c r="G553">
        <v>1500</v>
      </c>
      <c r="H553" t="s">
        <v>15</v>
      </c>
      <c r="I553" t="s">
        <v>16</v>
      </c>
      <c r="J553">
        <f t="shared" si="33"/>
        <v>4500</v>
      </c>
      <c r="K553" t="str">
        <f t="shared" si="32"/>
        <v>25-34</v>
      </c>
      <c r="L553" t="str">
        <f t="shared" ca="1" si="34"/>
        <v>Safe</v>
      </c>
      <c r="M553" t="str">
        <f t="shared" si="35"/>
        <v>Jan-2025</v>
      </c>
    </row>
    <row r="554" spans="1:13" x14ac:dyDescent="0.35">
      <c r="A554">
        <v>10553</v>
      </c>
      <c r="B554">
        <v>38</v>
      </c>
      <c r="C554" t="s">
        <v>10</v>
      </c>
      <c r="D554" t="s">
        <v>13</v>
      </c>
      <c r="E554" s="2">
        <v>45614</v>
      </c>
      <c r="F554" s="2">
        <v>46018</v>
      </c>
      <c r="G554">
        <v>1000</v>
      </c>
      <c r="H554" t="s">
        <v>14</v>
      </c>
      <c r="I554" t="s">
        <v>16</v>
      </c>
      <c r="J554">
        <f t="shared" si="33"/>
        <v>3000</v>
      </c>
      <c r="K554" t="str">
        <f t="shared" si="32"/>
        <v>35+</v>
      </c>
      <c r="L554" t="str">
        <f t="shared" ca="1" si="34"/>
        <v>Safe</v>
      </c>
      <c r="M554" t="str">
        <f t="shared" si="35"/>
        <v>Nov-2024</v>
      </c>
    </row>
    <row r="555" spans="1:13" x14ac:dyDescent="0.35">
      <c r="A555">
        <v>10554</v>
      </c>
      <c r="B555">
        <v>18</v>
      </c>
      <c r="C555" t="s">
        <v>9</v>
      </c>
      <c r="D555" t="s">
        <v>13</v>
      </c>
      <c r="E555" s="2">
        <v>45530</v>
      </c>
      <c r="F555" s="2">
        <v>46027</v>
      </c>
      <c r="G555">
        <v>1000</v>
      </c>
      <c r="H555" t="s">
        <v>14</v>
      </c>
      <c r="I555" t="s">
        <v>16</v>
      </c>
      <c r="J555">
        <f t="shared" si="33"/>
        <v>3000</v>
      </c>
      <c r="K555" t="str">
        <f t="shared" si="32"/>
        <v>18-24</v>
      </c>
      <c r="L555" t="str">
        <f t="shared" ca="1" si="34"/>
        <v>Safe</v>
      </c>
      <c r="M555" t="str">
        <f t="shared" si="35"/>
        <v>Aug-2024</v>
      </c>
    </row>
    <row r="556" spans="1:13" x14ac:dyDescent="0.35">
      <c r="A556">
        <v>10555</v>
      </c>
      <c r="B556">
        <v>33</v>
      </c>
      <c r="C556" t="s">
        <v>9</v>
      </c>
      <c r="D556" t="s">
        <v>11</v>
      </c>
      <c r="E556" s="2">
        <v>45874</v>
      </c>
      <c r="F556" s="2">
        <v>46017</v>
      </c>
      <c r="G556">
        <v>1700</v>
      </c>
      <c r="H556" t="s">
        <v>15</v>
      </c>
      <c r="I556" t="s">
        <v>16</v>
      </c>
      <c r="J556">
        <f t="shared" si="33"/>
        <v>1700</v>
      </c>
      <c r="K556" t="str">
        <f t="shared" si="32"/>
        <v>25-34</v>
      </c>
      <c r="L556" t="str">
        <f t="shared" ca="1" si="34"/>
        <v>Safe</v>
      </c>
      <c r="M556" t="str">
        <f t="shared" si="35"/>
        <v>Aug-2025</v>
      </c>
    </row>
    <row r="557" spans="1:13" x14ac:dyDescent="0.35">
      <c r="A557">
        <v>10556</v>
      </c>
      <c r="B557">
        <v>24</v>
      </c>
      <c r="C557" t="s">
        <v>10</v>
      </c>
      <c r="D557" t="s">
        <v>11</v>
      </c>
      <c r="E557" s="2">
        <v>45566</v>
      </c>
      <c r="F557" s="2">
        <v>46012</v>
      </c>
      <c r="G557">
        <v>1200</v>
      </c>
      <c r="H557" t="s">
        <v>14</v>
      </c>
      <c r="I557" t="s">
        <v>16</v>
      </c>
      <c r="J557">
        <f t="shared" si="33"/>
        <v>1200</v>
      </c>
      <c r="K557" t="str">
        <f t="shared" si="32"/>
        <v>18-24</v>
      </c>
      <c r="L557" t="str">
        <f t="shared" ca="1" si="34"/>
        <v>Safe</v>
      </c>
      <c r="M557" t="str">
        <f t="shared" si="35"/>
        <v>Oct-2024</v>
      </c>
    </row>
    <row r="558" spans="1:13" x14ac:dyDescent="0.35">
      <c r="A558">
        <v>10557</v>
      </c>
      <c r="B558">
        <v>22</v>
      </c>
      <c r="C558" t="s">
        <v>10</v>
      </c>
      <c r="D558" t="s">
        <v>13</v>
      </c>
      <c r="E558" s="2">
        <v>45821</v>
      </c>
      <c r="F558" s="2">
        <v>45932</v>
      </c>
      <c r="G558">
        <v>1000</v>
      </c>
      <c r="H558" t="s">
        <v>14</v>
      </c>
      <c r="I558" t="s">
        <v>17</v>
      </c>
      <c r="J558">
        <f t="shared" si="33"/>
        <v>3000</v>
      </c>
      <c r="K558" t="str">
        <f t="shared" si="32"/>
        <v>18-24</v>
      </c>
      <c r="L558" t="str">
        <f t="shared" ca="1" si="34"/>
        <v>High Risk</v>
      </c>
      <c r="M558" t="str">
        <f t="shared" si="35"/>
        <v>Jun-2025</v>
      </c>
    </row>
    <row r="559" spans="1:13" x14ac:dyDescent="0.35">
      <c r="A559">
        <v>10558</v>
      </c>
      <c r="B559">
        <v>39</v>
      </c>
      <c r="C559" t="s">
        <v>9</v>
      </c>
      <c r="D559" t="s">
        <v>13</v>
      </c>
      <c r="E559" s="2">
        <v>45570</v>
      </c>
      <c r="F559" s="2">
        <v>46022</v>
      </c>
      <c r="G559">
        <v>1500</v>
      </c>
      <c r="H559" t="s">
        <v>15</v>
      </c>
      <c r="I559" t="s">
        <v>16</v>
      </c>
      <c r="J559">
        <f t="shared" si="33"/>
        <v>4500</v>
      </c>
      <c r="K559" t="str">
        <f t="shared" si="32"/>
        <v>35+</v>
      </c>
      <c r="L559" t="str">
        <f t="shared" ca="1" si="34"/>
        <v>Safe</v>
      </c>
      <c r="M559" t="str">
        <f t="shared" si="35"/>
        <v>Oct-2024</v>
      </c>
    </row>
    <row r="560" spans="1:13" x14ac:dyDescent="0.35">
      <c r="A560">
        <v>10559</v>
      </c>
      <c r="B560">
        <v>40</v>
      </c>
      <c r="C560" t="s">
        <v>10</v>
      </c>
      <c r="D560" t="s">
        <v>13</v>
      </c>
      <c r="E560" s="2">
        <v>45681</v>
      </c>
      <c r="F560" s="2">
        <v>46012</v>
      </c>
      <c r="G560">
        <v>1000</v>
      </c>
      <c r="H560" t="s">
        <v>14</v>
      </c>
      <c r="I560" t="s">
        <v>16</v>
      </c>
      <c r="J560">
        <f t="shared" si="33"/>
        <v>3000</v>
      </c>
      <c r="K560" t="str">
        <f t="shared" si="32"/>
        <v>35+</v>
      </c>
      <c r="L560" t="str">
        <f t="shared" ca="1" si="34"/>
        <v>Safe</v>
      </c>
      <c r="M560" t="str">
        <f t="shared" si="35"/>
        <v>Jan-2025</v>
      </c>
    </row>
    <row r="561" spans="1:13" x14ac:dyDescent="0.35">
      <c r="A561">
        <v>10560</v>
      </c>
      <c r="B561">
        <v>20</v>
      </c>
      <c r="C561" t="s">
        <v>9</v>
      </c>
      <c r="D561" t="s">
        <v>11</v>
      </c>
      <c r="E561" s="2">
        <v>45821</v>
      </c>
      <c r="F561" s="2">
        <v>46014</v>
      </c>
      <c r="G561">
        <v>1700</v>
      </c>
      <c r="H561" t="s">
        <v>15</v>
      </c>
      <c r="I561" t="s">
        <v>16</v>
      </c>
      <c r="J561">
        <f t="shared" si="33"/>
        <v>1700</v>
      </c>
      <c r="K561" t="str">
        <f t="shared" si="32"/>
        <v>18-24</v>
      </c>
      <c r="L561" t="str">
        <f t="shared" ca="1" si="34"/>
        <v>Safe</v>
      </c>
      <c r="M561" t="str">
        <f t="shared" si="35"/>
        <v>Jun-2025</v>
      </c>
    </row>
    <row r="562" spans="1:13" x14ac:dyDescent="0.35">
      <c r="A562">
        <v>10561</v>
      </c>
      <c r="B562">
        <v>29</v>
      </c>
      <c r="C562" t="s">
        <v>9</v>
      </c>
      <c r="D562" t="s">
        <v>12</v>
      </c>
      <c r="E562" s="2">
        <v>45487</v>
      </c>
      <c r="F562" s="2">
        <v>46024</v>
      </c>
      <c r="G562">
        <v>800</v>
      </c>
      <c r="H562" t="s">
        <v>14</v>
      </c>
      <c r="I562" t="s">
        <v>16</v>
      </c>
      <c r="J562">
        <f t="shared" si="33"/>
        <v>9600</v>
      </c>
      <c r="K562" t="str">
        <f t="shared" si="32"/>
        <v>25-34</v>
      </c>
      <c r="L562" t="str">
        <f t="shared" ca="1" si="34"/>
        <v>Safe</v>
      </c>
      <c r="M562" t="str">
        <f t="shared" si="35"/>
        <v>Jul-2024</v>
      </c>
    </row>
    <row r="563" spans="1:13" x14ac:dyDescent="0.35">
      <c r="A563">
        <v>10562</v>
      </c>
      <c r="B563">
        <v>43</v>
      </c>
      <c r="C563" t="s">
        <v>9</v>
      </c>
      <c r="D563" t="s">
        <v>11</v>
      </c>
      <c r="E563" s="2">
        <v>45337</v>
      </c>
      <c r="F563" s="2">
        <v>46023</v>
      </c>
      <c r="G563">
        <v>1700</v>
      </c>
      <c r="H563" t="s">
        <v>15</v>
      </c>
      <c r="I563" t="s">
        <v>16</v>
      </c>
      <c r="J563">
        <f t="shared" si="33"/>
        <v>1700</v>
      </c>
      <c r="K563" t="str">
        <f t="shared" si="32"/>
        <v>35+</v>
      </c>
      <c r="L563" t="str">
        <f t="shared" ca="1" si="34"/>
        <v>Safe</v>
      </c>
      <c r="M563" t="str">
        <f t="shared" si="35"/>
        <v>Feb-2024</v>
      </c>
    </row>
    <row r="564" spans="1:13" x14ac:dyDescent="0.35">
      <c r="A564">
        <v>10563</v>
      </c>
      <c r="B564">
        <v>33</v>
      </c>
      <c r="C564" t="s">
        <v>9</v>
      </c>
      <c r="D564" t="s">
        <v>13</v>
      </c>
      <c r="E564" s="2">
        <v>45484</v>
      </c>
      <c r="F564" s="2">
        <v>46022</v>
      </c>
      <c r="G564">
        <v>1000</v>
      </c>
      <c r="H564" t="s">
        <v>14</v>
      </c>
      <c r="I564" t="s">
        <v>16</v>
      </c>
      <c r="J564">
        <f t="shared" si="33"/>
        <v>3000</v>
      </c>
      <c r="K564" t="str">
        <f t="shared" si="32"/>
        <v>25-34</v>
      </c>
      <c r="L564" t="str">
        <f t="shared" ca="1" si="34"/>
        <v>Safe</v>
      </c>
      <c r="M564" t="str">
        <f t="shared" si="35"/>
        <v>Jul-2024</v>
      </c>
    </row>
    <row r="565" spans="1:13" x14ac:dyDescent="0.35">
      <c r="A565">
        <v>10564</v>
      </c>
      <c r="B565">
        <v>36</v>
      </c>
      <c r="C565" t="s">
        <v>9</v>
      </c>
      <c r="D565" t="s">
        <v>13</v>
      </c>
      <c r="E565" s="2">
        <v>45205</v>
      </c>
      <c r="F565" s="2">
        <v>45977</v>
      </c>
      <c r="G565">
        <v>1500</v>
      </c>
      <c r="H565" t="s">
        <v>15</v>
      </c>
      <c r="I565" t="s">
        <v>17</v>
      </c>
      <c r="J565">
        <f t="shared" si="33"/>
        <v>4500</v>
      </c>
      <c r="K565" t="str">
        <f t="shared" si="32"/>
        <v>35+</v>
      </c>
      <c r="L565" t="str">
        <f t="shared" ca="1" si="34"/>
        <v>High Risk</v>
      </c>
      <c r="M565" t="str">
        <f t="shared" si="35"/>
        <v>Oct-2023</v>
      </c>
    </row>
    <row r="566" spans="1:13" x14ac:dyDescent="0.35">
      <c r="A566">
        <v>10565</v>
      </c>
      <c r="B566">
        <v>22</v>
      </c>
      <c r="C566" t="s">
        <v>9</v>
      </c>
      <c r="D566" t="s">
        <v>13</v>
      </c>
      <c r="E566" s="2">
        <v>45445</v>
      </c>
      <c r="F566" s="2">
        <v>45929</v>
      </c>
      <c r="G566">
        <v>1000</v>
      </c>
      <c r="H566" t="s">
        <v>14</v>
      </c>
      <c r="I566" t="s">
        <v>17</v>
      </c>
      <c r="J566">
        <f t="shared" si="33"/>
        <v>3000</v>
      </c>
      <c r="K566" t="str">
        <f t="shared" si="32"/>
        <v>18-24</v>
      </c>
      <c r="L566" t="str">
        <f t="shared" ca="1" si="34"/>
        <v>High Risk</v>
      </c>
      <c r="M566" t="str">
        <f t="shared" si="35"/>
        <v>Jun-2024</v>
      </c>
    </row>
    <row r="567" spans="1:13" x14ac:dyDescent="0.35">
      <c r="A567">
        <v>10566</v>
      </c>
      <c r="B567">
        <v>39</v>
      </c>
      <c r="C567" t="s">
        <v>9</v>
      </c>
      <c r="D567" t="s">
        <v>11</v>
      </c>
      <c r="E567" s="2">
        <v>45171</v>
      </c>
      <c r="F567" s="2">
        <v>45919</v>
      </c>
      <c r="G567">
        <v>1200</v>
      </c>
      <c r="H567" t="s">
        <v>14</v>
      </c>
      <c r="I567" t="s">
        <v>17</v>
      </c>
      <c r="J567">
        <f t="shared" si="33"/>
        <v>1200</v>
      </c>
      <c r="K567" t="str">
        <f t="shared" si="32"/>
        <v>35+</v>
      </c>
      <c r="L567" t="str">
        <f t="shared" ca="1" si="34"/>
        <v>High Risk</v>
      </c>
      <c r="M567" t="str">
        <f t="shared" si="35"/>
        <v>Sep-2023</v>
      </c>
    </row>
    <row r="568" spans="1:13" x14ac:dyDescent="0.35">
      <c r="A568">
        <v>10567</v>
      </c>
      <c r="B568">
        <v>42</v>
      </c>
      <c r="C568" t="s">
        <v>9</v>
      </c>
      <c r="D568" t="s">
        <v>11</v>
      </c>
      <c r="E568" s="2">
        <v>45687</v>
      </c>
      <c r="F568" s="2">
        <v>45929</v>
      </c>
      <c r="G568">
        <v>1700</v>
      </c>
      <c r="H568" t="s">
        <v>15</v>
      </c>
      <c r="I568" t="s">
        <v>17</v>
      </c>
      <c r="J568">
        <f t="shared" si="33"/>
        <v>1700</v>
      </c>
      <c r="K568" t="str">
        <f t="shared" si="32"/>
        <v>35+</v>
      </c>
      <c r="L568" t="str">
        <f t="shared" ca="1" si="34"/>
        <v>High Risk</v>
      </c>
      <c r="M568" t="str">
        <f t="shared" si="35"/>
        <v>Jan-2025</v>
      </c>
    </row>
    <row r="569" spans="1:13" x14ac:dyDescent="0.35">
      <c r="A569">
        <v>10568</v>
      </c>
      <c r="B569">
        <v>31</v>
      </c>
      <c r="C569" t="s">
        <v>9</v>
      </c>
      <c r="D569" t="s">
        <v>12</v>
      </c>
      <c r="E569" s="2">
        <v>45497</v>
      </c>
      <c r="F569" s="2">
        <v>46009</v>
      </c>
      <c r="G569">
        <v>800</v>
      </c>
      <c r="H569" t="s">
        <v>14</v>
      </c>
      <c r="I569" t="s">
        <v>16</v>
      </c>
      <c r="J569">
        <f t="shared" si="33"/>
        <v>9600</v>
      </c>
      <c r="K569" t="str">
        <f t="shared" si="32"/>
        <v>25-34</v>
      </c>
      <c r="L569" t="str">
        <f t="shared" ca="1" si="34"/>
        <v>Safe</v>
      </c>
      <c r="M569" t="str">
        <f t="shared" si="35"/>
        <v>Jul-2024</v>
      </c>
    </row>
    <row r="570" spans="1:13" x14ac:dyDescent="0.35">
      <c r="A570">
        <v>10569</v>
      </c>
      <c r="B570">
        <v>45</v>
      </c>
      <c r="C570" t="s">
        <v>10</v>
      </c>
      <c r="D570" t="s">
        <v>11</v>
      </c>
      <c r="E570" s="2">
        <v>45735</v>
      </c>
      <c r="F570" s="2">
        <v>46021</v>
      </c>
      <c r="G570">
        <v>1200</v>
      </c>
      <c r="H570" t="s">
        <v>14</v>
      </c>
      <c r="I570" t="s">
        <v>16</v>
      </c>
      <c r="J570">
        <f t="shared" si="33"/>
        <v>1200</v>
      </c>
      <c r="K570" t="str">
        <f t="shared" si="32"/>
        <v>35+</v>
      </c>
      <c r="L570" t="str">
        <f t="shared" ca="1" si="34"/>
        <v>Safe</v>
      </c>
      <c r="M570" t="str">
        <f t="shared" si="35"/>
        <v>Mar-2025</v>
      </c>
    </row>
    <row r="571" spans="1:13" x14ac:dyDescent="0.35">
      <c r="A571">
        <v>10570</v>
      </c>
      <c r="B571">
        <v>22</v>
      </c>
      <c r="C571" t="s">
        <v>9</v>
      </c>
      <c r="D571" t="s">
        <v>11</v>
      </c>
      <c r="E571" s="2">
        <v>45775</v>
      </c>
      <c r="F571" s="2">
        <v>46026</v>
      </c>
      <c r="G571">
        <v>1700</v>
      </c>
      <c r="H571" t="s">
        <v>15</v>
      </c>
      <c r="I571" t="s">
        <v>16</v>
      </c>
      <c r="J571">
        <f t="shared" si="33"/>
        <v>1700</v>
      </c>
      <c r="K571" t="str">
        <f t="shared" si="32"/>
        <v>18-24</v>
      </c>
      <c r="L571" t="str">
        <f t="shared" ca="1" si="34"/>
        <v>Safe</v>
      </c>
      <c r="M571" t="str">
        <f t="shared" si="35"/>
        <v>Apr-2025</v>
      </c>
    </row>
    <row r="572" spans="1:13" x14ac:dyDescent="0.35">
      <c r="A572">
        <v>10571</v>
      </c>
      <c r="B572">
        <v>32</v>
      </c>
      <c r="C572" t="s">
        <v>9</v>
      </c>
      <c r="D572" t="s">
        <v>11</v>
      </c>
      <c r="E572" s="2">
        <v>45687</v>
      </c>
      <c r="F572" s="2">
        <v>46014</v>
      </c>
      <c r="G572">
        <v>1200</v>
      </c>
      <c r="H572" t="s">
        <v>14</v>
      </c>
      <c r="I572" t="s">
        <v>16</v>
      </c>
      <c r="J572">
        <f t="shared" si="33"/>
        <v>1200</v>
      </c>
      <c r="K572" t="str">
        <f t="shared" si="32"/>
        <v>25-34</v>
      </c>
      <c r="L572" t="str">
        <f t="shared" ca="1" si="34"/>
        <v>Safe</v>
      </c>
      <c r="M572" t="str">
        <f t="shared" si="35"/>
        <v>Jan-2025</v>
      </c>
    </row>
    <row r="573" spans="1:13" x14ac:dyDescent="0.35">
      <c r="A573">
        <v>10572</v>
      </c>
      <c r="B573">
        <v>34</v>
      </c>
      <c r="C573" t="s">
        <v>9</v>
      </c>
      <c r="D573" t="s">
        <v>12</v>
      </c>
      <c r="E573" s="2">
        <v>45721</v>
      </c>
      <c r="F573" s="2">
        <v>46024</v>
      </c>
      <c r="G573">
        <v>1300</v>
      </c>
      <c r="H573" t="s">
        <v>15</v>
      </c>
      <c r="I573" t="s">
        <v>16</v>
      </c>
      <c r="J573">
        <f t="shared" si="33"/>
        <v>15600</v>
      </c>
      <c r="K573" t="str">
        <f t="shared" si="32"/>
        <v>25-34</v>
      </c>
      <c r="L573" t="str">
        <f t="shared" ca="1" si="34"/>
        <v>Safe</v>
      </c>
      <c r="M573" t="str">
        <f t="shared" si="35"/>
        <v>Mar-2025</v>
      </c>
    </row>
    <row r="574" spans="1:13" x14ac:dyDescent="0.35">
      <c r="A574">
        <v>10573</v>
      </c>
      <c r="B574">
        <v>31</v>
      </c>
      <c r="C574" t="s">
        <v>9</v>
      </c>
      <c r="D574" t="s">
        <v>11</v>
      </c>
      <c r="E574" s="2">
        <v>45816</v>
      </c>
      <c r="F574" s="2">
        <v>46011</v>
      </c>
      <c r="G574">
        <v>1200</v>
      </c>
      <c r="H574" t="s">
        <v>14</v>
      </c>
      <c r="I574" t="s">
        <v>16</v>
      </c>
      <c r="J574">
        <f t="shared" si="33"/>
        <v>1200</v>
      </c>
      <c r="K574" t="str">
        <f t="shared" si="32"/>
        <v>25-34</v>
      </c>
      <c r="L574" t="str">
        <f t="shared" ca="1" si="34"/>
        <v>Safe</v>
      </c>
      <c r="M574" t="str">
        <f t="shared" si="35"/>
        <v>Jun-2025</v>
      </c>
    </row>
    <row r="575" spans="1:13" x14ac:dyDescent="0.35">
      <c r="A575">
        <v>10574</v>
      </c>
      <c r="B575">
        <v>37</v>
      </c>
      <c r="C575" t="s">
        <v>9</v>
      </c>
      <c r="D575" t="s">
        <v>12</v>
      </c>
      <c r="E575" s="2">
        <v>45785</v>
      </c>
      <c r="F575" s="2">
        <v>46013</v>
      </c>
      <c r="G575">
        <v>800</v>
      </c>
      <c r="H575" t="s">
        <v>14</v>
      </c>
      <c r="I575" t="s">
        <v>16</v>
      </c>
      <c r="J575">
        <f t="shared" si="33"/>
        <v>9600</v>
      </c>
      <c r="K575" t="str">
        <f t="shared" si="32"/>
        <v>35+</v>
      </c>
      <c r="L575" t="str">
        <f t="shared" ca="1" si="34"/>
        <v>Safe</v>
      </c>
      <c r="M575" t="str">
        <f t="shared" si="35"/>
        <v>May-2025</v>
      </c>
    </row>
    <row r="576" spans="1:13" x14ac:dyDescent="0.35">
      <c r="A576">
        <v>10575</v>
      </c>
      <c r="B576">
        <v>22</v>
      </c>
      <c r="C576" t="s">
        <v>10</v>
      </c>
      <c r="D576" t="s">
        <v>13</v>
      </c>
      <c r="E576" s="2">
        <v>45760</v>
      </c>
      <c r="F576" s="2">
        <v>46009</v>
      </c>
      <c r="G576">
        <v>1000</v>
      </c>
      <c r="H576" t="s">
        <v>14</v>
      </c>
      <c r="I576" t="s">
        <v>16</v>
      </c>
      <c r="J576">
        <f t="shared" si="33"/>
        <v>3000</v>
      </c>
      <c r="K576" t="str">
        <f t="shared" si="32"/>
        <v>18-24</v>
      </c>
      <c r="L576" t="str">
        <f t="shared" ca="1" si="34"/>
        <v>Safe</v>
      </c>
      <c r="M576" t="str">
        <f t="shared" si="35"/>
        <v>Apr-2025</v>
      </c>
    </row>
    <row r="577" spans="1:13" x14ac:dyDescent="0.35">
      <c r="A577">
        <v>10576</v>
      </c>
      <c r="B577">
        <v>29</v>
      </c>
      <c r="C577" t="s">
        <v>9</v>
      </c>
      <c r="D577" t="s">
        <v>12</v>
      </c>
      <c r="E577" s="2">
        <v>45787</v>
      </c>
      <c r="F577" s="2">
        <v>46032</v>
      </c>
      <c r="G577">
        <v>1300</v>
      </c>
      <c r="H577" t="s">
        <v>15</v>
      </c>
      <c r="I577" t="s">
        <v>16</v>
      </c>
      <c r="J577">
        <f t="shared" si="33"/>
        <v>15600</v>
      </c>
      <c r="K577" t="str">
        <f t="shared" si="32"/>
        <v>25-34</v>
      </c>
      <c r="L577" t="str">
        <f t="shared" ca="1" si="34"/>
        <v>Safe</v>
      </c>
      <c r="M577" t="str">
        <f t="shared" si="35"/>
        <v>May-2025</v>
      </c>
    </row>
    <row r="578" spans="1:13" x14ac:dyDescent="0.35">
      <c r="A578">
        <v>10577</v>
      </c>
      <c r="B578">
        <v>33</v>
      </c>
      <c r="C578" t="s">
        <v>9</v>
      </c>
      <c r="D578" t="s">
        <v>12</v>
      </c>
      <c r="E578" s="2">
        <v>45243</v>
      </c>
      <c r="F578" s="2">
        <v>46013</v>
      </c>
      <c r="G578">
        <v>800</v>
      </c>
      <c r="H578" t="s">
        <v>14</v>
      </c>
      <c r="I578" t="s">
        <v>16</v>
      </c>
      <c r="J578">
        <f t="shared" si="33"/>
        <v>9600</v>
      </c>
      <c r="K578" t="str">
        <f t="shared" ref="K578:K641" si="36">IF(B578&lt;25,"18-24",IF(B578&lt;35,"25-34","35+"))</f>
        <v>25-34</v>
      </c>
      <c r="L578" t="str">
        <f t="shared" ca="1" si="34"/>
        <v>Safe</v>
      </c>
      <c r="M578" t="str">
        <f t="shared" si="35"/>
        <v>Nov-2023</v>
      </c>
    </row>
    <row r="579" spans="1:13" x14ac:dyDescent="0.35">
      <c r="A579">
        <v>10578</v>
      </c>
      <c r="B579">
        <v>43</v>
      </c>
      <c r="C579" t="s">
        <v>9</v>
      </c>
      <c r="D579" t="s">
        <v>13</v>
      </c>
      <c r="E579" s="2">
        <v>45207</v>
      </c>
      <c r="F579" s="2">
        <v>46023</v>
      </c>
      <c r="G579">
        <v>1000</v>
      </c>
      <c r="H579" t="s">
        <v>14</v>
      </c>
      <c r="I579" t="s">
        <v>16</v>
      </c>
      <c r="J579">
        <f t="shared" ref="J579:J642" si="37">IF(D579="Monthly",G579,IF(D579="Quarterly",G579*3,G579*12))</f>
        <v>3000</v>
      </c>
      <c r="K579" t="str">
        <f t="shared" si="36"/>
        <v>35+</v>
      </c>
      <c r="L579" t="str">
        <f t="shared" ref="L579:L642" ca="1" si="38">IF(F579&lt;TODAY()-30,"High Risk","Safe")</f>
        <v>Safe</v>
      </c>
      <c r="M579" t="str">
        <f t="shared" ref="M579:M642" si="39">TEXT(E579,"mmm-yyyy")</f>
        <v>Oct-2023</v>
      </c>
    </row>
    <row r="580" spans="1:13" x14ac:dyDescent="0.35">
      <c r="A580">
        <v>10579</v>
      </c>
      <c r="B580">
        <v>43</v>
      </c>
      <c r="C580" t="s">
        <v>9</v>
      </c>
      <c r="D580" t="s">
        <v>11</v>
      </c>
      <c r="E580" s="2">
        <v>45265</v>
      </c>
      <c r="F580" s="2">
        <v>45959</v>
      </c>
      <c r="G580">
        <v>1200</v>
      </c>
      <c r="H580" t="s">
        <v>14</v>
      </c>
      <c r="I580" t="s">
        <v>17</v>
      </c>
      <c r="J580">
        <f t="shared" si="37"/>
        <v>1200</v>
      </c>
      <c r="K580" t="str">
        <f t="shared" si="36"/>
        <v>35+</v>
      </c>
      <c r="L580" t="str">
        <f t="shared" ca="1" si="38"/>
        <v>High Risk</v>
      </c>
      <c r="M580" t="str">
        <f t="shared" si="39"/>
        <v>Dec-2023</v>
      </c>
    </row>
    <row r="581" spans="1:13" x14ac:dyDescent="0.35">
      <c r="A581">
        <v>10580</v>
      </c>
      <c r="B581">
        <v>33</v>
      </c>
      <c r="C581" t="s">
        <v>9</v>
      </c>
      <c r="D581" t="s">
        <v>11</v>
      </c>
      <c r="E581" s="2">
        <v>45623</v>
      </c>
      <c r="F581" s="2">
        <v>46031</v>
      </c>
      <c r="G581">
        <v>1200</v>
      </c>
      <c r="H581" t="s">
        <v>14</v>
      </c>
      <c r="I581" t="s">
        <v>16</v>
      </c>
      <c r="J581">
        <f t="shared" si="37"/>
        <v>1200</v>
      </c>
      <c r="K581" t="str">
        <f t="shared" si="36"/>
        <v>25-34</v>
      </c>
      <c r="L581" t="str">
        <f t="shared" ca="1" si="38"/>
        <v>Safe</v>
      </c>
      <c r="M581" t="str">
        <f t="shared" si="39"/>
        <v>Nov-2024</v>
      </c>
    </row>
    <row r="582" spans="1:13" x14ac:dyDescent="0.35">
      <c r="A582">
        <v>10581</v>
      </c>
      <c r="B582">
        <v>38</v>
      </c>
      <c r="C582" t="s">
        <v>9</v>
      </c>
      <c r="D582" t="s">
        <v>11</v>
      </c>
      <c r="E582" s="2">
        <v>45972</v>
      </c>
      <c r="F582" s="2">
        <v>46027</v>
      </c>
      <c r="G582">
        <v>1200</v>
      </c>
      <c r="H582" t="s">
        <v>14</v>
      </c>
      <c r="I582" t="s">
        <v>16</v>
      </c>
      <c r="J582">
        <f t="shared" si="37"/>
        <v>1200</v>
      </c>
      <c r="K582" t="str">
        <f t="shared" si="36"/>
        <v>35+</v>
      </c>
      <c r="L582" t="str">
        <f t="shared" ca="1" si="38"/>
        <v>Safe</v>
      </c>
      <c r="M582" t="str">
        <f t="shared" si="39"/>
        <v>Nov-2025</v>
      </c>
    </row>
    <row r="583" spans="1:13" x14ac:dyDescent="0.35">
      <c r="A583">
        <v>10582</v>
      </c>
      <c r="B583">
        <v>24</v>
      </c>
      <c r="C583" t="s">
        <v>9</v>
      </c>
      <c r="D583" t="s">
        <v>13</v>
      </c>
      <c r="E583" s="2">
        <v>45644</v>
      </c>
      <c r="F583" s="2">
        <v>46010</v>
      </c>
      <c r="G583">
        <v>1500</v>
      </c>
      <c r="H583" t="s">
        <v>15</v>
      </c>
      <c r="I583" t="s">
        <v>16</v>
      </c>
      <c r="J583">
        <f t="shared" si="37"/>
        <v>4500</v>
      </c>
      <c r="K583" t="str">
        <f t="shared" si="36"/>
        <v>18-24</v>
      </c>
      <c r="L583" t="str">
        <f t="shared" ca="1" si="38"/>
        <v>Safe</v>
      </c>
      <c r="M583" t="str">
        <f t="shared" si="39"/>
        <v>Dec-2024</v>
      </c>
    </row>
    <row r="584" spans="1:13" x14ac:dyDescent="0.35">
      <c r="A584">
        <v>10583</v>
      </c>
      <c r="B584">
        <v>21</v>
      </c>
      <c r="C584" t="s">
        <v>9</v>
      </c>
      <c r="D584" t="s">
        <v>11</v>
      </c>
      <c r="E584" s="2">
        <v>45644</v>
      </c>
      <c r="F584" s="2">
        <v>46022</v>
      </c>
      <c r="G584">
        <v>1700</v>
      </c>
      <c r="H584" t="s">
        <v>15</v>
      </c>
      <c r="I584" t="s">
        <v>16</v>
      </c>
      <c r="J584">
        <f t="shared" si="37"/>
        <v>1700</v>
      </c>
      <c r="K584" t="str">
        <f t="shared" si="36"/>
        <v>18-24</v>
      </c>
      <c r="L584" t="str">
        <f t="shared" ca="1" si="38"/>
        <v>Safe</v>
      </c>
      <c r="M584" t="str">
        <f t="shared" si="39"/>
        <v>Dec-2024</v>
      </c>
    </row>
    <row r="585" spans="1:13" x14ac:dyDescent="0.35">
      <c r="A585">
        <v>10584</v>
      </c>
      <c r="B585">
        <v>18</v>
      </c>
      <c r="C585" t="s">
        <v>9</v>
      </c>
      <c r="D585" t="s">
        <v>11</v>
      </c>
      <c r="E585" s="2">
        <v>45311</v>
      </c>
      <c r="F585" s="2">
        <v>45924</v>
      </c>
      <c r="G585">
        <v>1700</v>
      </c>
      <c r="H585" t="s">
        <v>15</v>
      </c>
      <c r="I585" t="s">
        <v>17</v>
      </c>
      <c r="J585">
        <f t="shared" si="37"/>
        <v>1700</v>
      </c>
      <c r="K585" t="str">
        <f t="shared" si="36"/>
        <v>18-24</v>
      </c>
      <c r="L585" t="str">
        <f t="shared" ca="1" si="38"/>
        <v>High Risk</v>
      </c>
      <c r="M585" t="str">
        <f t="shared" si="39"/>
        <v>Jan-2024</v>
      </c>
    </row>
    <row r="586" spans="1:13" x14ac:dyDescent="0.35">
      <c r="A586">
        <v>10585</v>
      </c>
      <c r="B586">
        <v>22</v>
      </c>
      <c r="C586" t="s">
        <v>9</v>
      </c>
      <c r="D586" t="s">
        <v>11</v>
      </c>
      <c r="E586" s="2">
        <v>45529</v>
      </c>
      <c r="F586" s="2">
        <v>46009</v>
      </c>
      <c r="G586">
        <v>1700</v>
      </c>
      <c r="H586" t="s">
        <v>15</v>
      </c>
      <c r="I586" t="s">
        <v>16</v>
      </c>
      <c r="J586">
        <f t="shared" si="37"/>
        <v>1700</v>
      </c>
      <c r="K586" t="str">
        <f t="shared" si="36"/>
        <v>18-24</v>
      </c>
      <c r="L586" t="str">
        <f t="shared" ca="1" si="38"/>
        <v>Safe</v>
      </c>
      <c r="M586" t="str">
        <f t="shared" si="39"/>
        <v>Aug-2024</v>
      </c>
    </row>
    <row r="587" spans="1:13" x14ac:dyDescent="0.35">
      <c r="A587">
        <v>10586</v>
      </c>
      <c r="B587">
        <v>40</v>
      </c>
      <c r="C587" t="s">
        <v>10</v>
      </c>
      <c r="D587" t="s">
        <v>12</v>
      </c>
      <c r="E587" s="2">
        <v>45534</v>
      </c>
      <c r="F587" s="2">
        <v>46024</v>
      </c>
      <c r="G587">
        <v>800</v>
      </c>
      <c r="H587" t="s">
        <v>14</v>
      </c>
      <c r="I587" t="s">
        <v>16</v>
      </c>
      <c r="J587">
        <f t="shared" si="37"/>
        <v>9600</v>
      </c>
      <c r="K587" t="str">
        <f t="shared" si="36"/>
        <v>35+</v>
      </c>
      <c r="L587" t="str">
        <f t="shared" ca="1" si="38"/>
        <v>Safe</v>
      </c>
      <c r="M587" t="str">
        <f t="shared" si="39"/>
        <v>Aug-2024</v>
      </c>
    </row>
    <row r="588" spans="1:13" x14ac:dyDescent="0.35">
      <c r="A588">
        <v>10587</v>
      </c>
      <c r="B588">
        <v>43</v>
      </c>
      <c r="C588" t="s">
        <v>10</v>
      </c>
      <c r="D588" t="s">
        <v>11</v>
      </c>
      <c r="E588" s="2">
        <v>45508</v>
      </c>
      <c r="F588" s="2">
        <v>46023</v>
      </c>
      <c r="G588">
        <v>1700</v>
      </c>
      <c r="H588" t="s">
        <v>15</v>
      </c>
      <c r="I588" t="s">
        <v>16</v>
      </c>
      <c r="J588">
        <f t="shared" si="37"/>
        <v>1700</v>
      </c>
      <c r="K588" t="str">
        <f t="shared" si="36"/>
        <v>35+</v>
      </c>
      <c r="L588" t="str">
        <f t="shared" ca="1" si="38"/>
        <v>Safe</v>
      </c>
      <c r="M588" t="str">
        <f t="shared" si="39"/>
        <v>Aug-2024</v>
      </c>
    </row>
    <row r="589" spans="1:13" x14ac:dyDescent="0.35">
      <c r="A589">
        <v>10588</v>
      </c>
      <c r="B589">
        <v>27</v>
      </c>
      <c r="C589" t="s">
        <v>10</v>
      </c>
      <c r="D589" t="s">
        <v>11</v>
      </c>
      <c r="E589" s="2">
        <v>45344</v>
      </c>
      <c r="F589" s="2">
        <v>46014</v>
      </c>
      <c r="G589">
        <v>1700</v>
      </c>
      <c r="H589" t="s">
        <v>15</v>
      </c>
      <c r="I589" t="s">
        <v>16</v>
      </c>
      <c r="J589">
        <f t="shared" si="37"/>
        <v>1700</v>
      </c>
      <c r="K589" t="str">
        <f t="shared" si="36"/>
        <v>25-34</v>
      </c>
      <c r="L589" t="str">
        <f t="shared" ca="1" si="38"/>
        <v>Safe</v>
      </c>
      <c r="M589" t="str">
        <f t="shared" si="39"/>
        <v>Feb-2024</v>
      </c>
    </row>
    <row r="590" spans="1:13" x14ac:dyDescent="0.35">
      <c r="A590">
        <v>10589</v>
      </c>
      <c r="B590">
        <v>39</v>
      </c>
      <c r="C590" t="s">
        <v>9</v>
      </c>
      <c r="D590" t="s">
        <v>11</v>
      </c>
      <c r="E590" s="2">
        <v>45493</v>
      </c>
      <c r="F590" s="2">
        <v>46008</v>
      </c>
      <c r="G590">
        <v>1700</v>
      </c>
      <c r="H590" t="s">
        <v>15</v>
      </c>
      <c r="I590" t="s">
        <v>16</v>
      </c>
      <c r="J590">
        <f t="shared" si="37"/>
        <v>1700</v>
      </c>
      <c r="K590" t="str">
        <f t="shared" si="36"/>
        <v>35+</v>
      </c>
      <c r="L590" t="str">
        <f t="shared" ca="1" si="38"/>
        <v>Safe</v>
      </c>
      <c r="M590" t="str">
        <f t="shared" si="39"/>
        <v>Jul-2024</v>
      </c>
    </row>
    <row r="591" spans="1:13" x14ac:dyDescent="0.35">
      <c r="A591">
        <v>10590</v>
      </c>
      <c r="B591">
        <v>22</v>
      </c>
      <c r="C591" t="s">
        <v>9</v>
      </c>
      <c r="D591" t="s">
        <v>12</v>
      </c>
      <c r="E591" s="2">
        <v>45450</v>
      </c>
      <c r="F591" s="2">
        <v>46013</v>
      </c>
      <c r="G591">
        <v>1300</v>
      </c>
      <c r="H591" t="s">
        <v>15</v>
      </c>
      <c r="I591" t="s">
        <v>16</v>
      </c>
      <c r="J591">
        <f t="shared" si="37"/>
        <v>15600</v>
      </c>
      <c r="K591" t="str">
        <f t="shared" si="36"/>
        <v>18-24</v>
      </c>
      <c r="L591" t="str">
        <f t="shared" ca="1" si="38"/>
        <v>Safe</v>
      </c>
      <c r="M591" t="str">
        <f t="shared" si="39"/>
        <v>Jun-2024</v>
      </c>
    </row>
    <row r="592" spans="1:13" x14ac:dyDescent="0.35">
      <c r="A592">
        <v>10591</v>
      </c>
      <c r="B592">
        <v>21</v>
      </c>
      <c r="C592" t="s">
        <v>9</v>
      </c>
      <c r="D592" t="s">
        <v>13</v>
      </c>
      <c r="E592" s="2">
        <v>45966</v>
      </c>
      <c r="F592" s="2">
        <v>46012</v>
      </c>
      <c r="G592">
        <v>1500</v>
      </c>
      <c r="H592" t="s">
        <v>15</v>
      </c>
      <c r="I592" t="s">
        <v>16</v>
      </c>
      <c r="J592">
        <f t="shared" si="37"/>
        <v>4500</v>
      </c>
      <c r="K592" t="str">
        <f t="shared" si="36"/>
        <v>18-24</v>
      </c>
      <c r="L592" t="str">
        <f t="shared" ca="1" si="38"/>
        <v>Safe</v>
      </c>
      <c r="M592" t="str">
        <f t="shared" si="39"/>
        <v>Nov-2025</v>
      </c>
    </row>
    <row r="593" spans="1:13" x14ac:dyDescent="0.35">
      <c r="A593">
        <v>10592</v>
      </c>
      <c r="B593">
        <v>19</v>
      </c>
      <c r="C593" t="s">
        <v>9</v>
      </c>
      <c r="D593" t="s">
        <v>11</v>
      </c>
      <c r="E593" s="2">
        <v>45893</v>
      </c>
      <c r="F593" s="2">
        <v>46016</v>
      </c>
      <c r="G593">
        <v>1700</v>
      </c>
      <c r="H593" t="s">
        <v>15</v>
      </c>
      <c r="I593" t="s">
        <v>16</v>
      </c>
      <c r="J593">
        <f t="shared" si="37"/>
        <v>1700</v>
      </c>
      <c r="K593" t="str">
        <f t="shared" si="36"/>
        <v>18-24</v>
      </c>
      <c r="L593" t="str">
        <f t="shared" ca="1" si="38"/>
        <v>Safe</v>
      </c>
      <c r="M593" t="str">
        <f t="shared" si="39"/>
        <v>Aug-2025</v>
      </c>
    </row>
    <row r="594" spans="1:13" x14ac:dyDescent="0.35">
      <c r="A594">
        <v>10593</v>
      </c>
      <c r="B594">
        <v>37</v>
      </c>
      <c r="C594" t="s">
        <v>9</v>
      </c>
      <c r="D594" t="s">
        <v>11</v>
      </c>
      <c r="E594" s="2">
        <v>45172</v>
      </c>
      <c r="F594" s="2">
        <v>45933</v>
      </c>
      <c r="G594">
        <v>1200</v>
      </c>
      <c r="H594" t="s">
        <v>14</v>
      </c>
      <c r="I594" t="s">
        <v>17</v>
      </c>
      <c r="J594">
        <f t="shared" si="37"/>
        <v>1200</v>
      </c>
      <c r="K594" t="str">
        <f t="shared" si="36"/>
        <v>35+</v>
      </c>
      <c r="L594" t="str">
        <f t="shared" ca="1" si="38"/>
        <v>High Risk</v>
      </c>
      <c r="M594" t="str">
        <f t="shared" si="39"/>
        <v>Sep-2023</v>
      </c>
    </row>
    <row r="595" spans="1:13" x14ac:dyDescent="0.35">
      <c r="A595">
        <v>10594</v>
      </c>
      <c r="B595">
        <v>27</v>
      </c>
      <c r="C595" t="s">
        <v>9</v>
      </c>
      <c r="D595" t="s">
        <v>11</v>
      </c>
      <c r="E595" s="2">
        <v>45232</v>
      </c>
      <c r="F595" s="2">
        <v>46021</v>
      </c>
      <c r="G595">
        <v>1200</v>
      </c>
      <c r="H595" t="s">
        <v>14</v>
      </c>
      <c r="I595" t="s">
        <v>16</v>
      </c>
      <c r="J595">
        <f t="shared" si="37"/>
        <v>1200</v>
      </c>
      <c r="K595" t="str">
        <f t="shared" si="36"/>
        <v>25-34</v>
      </c>
      <c r="L595" t="str">
        <f t="shared" ca="1" si="38"/>
        <v>Safe</v>
      </c>
      <c r="M595" t="str">
        <f t="shared" si="39"/>
        <v>Nov-2023</v>
      </c>
    </row>
    <row r="596" spans="1:13" x14ac:dyDescent="0.35">
      <c r="A596">
        <v>10595</v>
      </c>
      <c r="B596">
        <v>43</v>
      </c>
      <c r="C596" t="s">
        <v>9</v>
      </c>
      <c r="D596" t="s">
        <v>11</v>
      </c>
      <c r="E596" s="2">
        <v>45307</v>
      </c>
      <c r="F596" s="2">
        <v>46025</v>
      </c>
      <c r="G596">
        <v>1700</v>
      </c>
      <c r="H596" t="s">
        <v>15</v>
      </c>
      <c r="I596" t="s">
        <v>16</v>
      </c>
      <c r="J596">
        <f t="shared" si="37"/>
        <v>1700</v>
      </c>
      <c r="K596" t="str">
        <f t="shared" si="36"/>
        <v>35+</v>
      </c>
      <c r="L596" t="str">
        <f t="shared" ca="1" si="38"/>
        <v>Safe</v>
      </c>
      <c r="M596" t="str">
        <f t="shared" si="39"/>
        <v>Jan-2024</v>
      </c>
    </row>
    <row r="597" spans="1:13" x14ac:dyDescent="0.35">
      <c r="A597">
        <v>10596</v>
      </c>
      <c r="B597">
        <v>36</v>
      </c>
      <c r="C597" t="s">
        <v>10</v>
      </c>
      <c r="D597" t="s">
        <v>12</v>
      </c>
      <c r="E597" s="2">
        <v>45163</v>
      </c>
      <c r="F597" s="2">
        <v>46027</v>
      </c>
      <c r="G597">
        <v>800</v>
      </c>
      <c r="H597" t="s">
        <v>14</v>
      </c>
      <c r="I597" t="s">
        <v>16</v>
      </c>
      <c r="J597">
        <f t="shared" si="37"/>
        <v>9600</v>
      </c>
      <c r="K597" t="str">
        <f t="shared" si="36"/>
        <v>35+</v>
      </c>
      <c r="L597" t="str">
        <f t="shared" ca="1" si="38"/>
        <v>Safe</v>
      </c>
      <c r="M597" t="str">
        <f t="shared" si="39"/>
        <v>Aug-2023</v>
      </c>
    </row>
    <row r="598" spans="1:13" x14ac:dyDescent="0.35">
      <c r="A598">
        <v>10597</v>
      </c>
      <c r="B598">
        <v>43</v>
      </c>
      <c r="C598" t="s">
        <v>9</v>
      </c>
      <c r="D598" t="s">
        <v>12</v>
      </c>
      <c r="E598" s="2">
        <v>45865</v>
      </c>
      <c r="F598" s="2">
        <v>45932</v>
      </c>
      <c r="G598">
        <v>1300</v>
      </c>
      <c r="H598" t="s">
        <v>15</v>
      </c>
      <c r="I598" t="s">
        <v>17</v>
      </c>
      <c r="J598">
        <f t="shared" si="37"/>
        <v>15600</v>
      </c>
      <c r="K598" t="str">
        <f t="shared" si="36"/>
        <v>35+</v>
      </c>
      <c r="L598" t="str">
        <f t="shared" ca="1" si="38"/>
        <v>High Risk</v>
      </c>
      <c r="M598" t="str">
        <f t="shared" si="39"/>
        <v>Jul-2025</v>
      </c>
    </row>
    <row r="599" spans="1:13" x14ac:dyDescent="0.35">
      <c r="A599">
        <v>10598</v>
      </c>
      <c r="B599">
        <v>18</v>
      </c>
      <c r="C599" t="s">
        <v>9</v>
      </c>
      <c r="D599" t="s">
        <v>13</v>
      </c>
      <c r="E599" s="2">
        <v>45575</v>
      </c>
      <c r="F599" s="2">
        <v>45915</v>
      </c>
      <c r="G599">
        <v>1500</v>
      </c>
      <c r="H599" t="s">
        <v>15</v>
      </c>
      <c r="I599" t="s">
        <v>17</v>
      </c>
      <c r="J599">
        <f t="shared" si="37"/>
        <v>4500</v>
      </c>
      <c r="K599" t="str">
        <f t="shared" si="36"/>
        <v>18-24</v>
      </c>
      <c r="L599" t="str">
        <f t="shared" ca="1" si="38"/>
        <v>High Risk</v>
      </c>
      <c r="M599" t="str">
        <f t="shared" si="39"/>
        <v>Oct-2024</v>
      </c>
    </row>
    <row r="600" spans="1:13" x14ac:dyDescent="0.35">
      <c r="A600">
        <v>10599</v>
      </c>
      <c r="B600">
        <v>41</v>
      </c>
      <c r="C600" t="s">
        <v>9</v>
      </c>
      <c r="D600" t="s">
        <v>12</v>
      </c>
      <c r="E600" s="2">
        <v>45414</v>
      </c>
      <c r="F600" s="2">
        <v>46023</v>
      </c>
      <c r="G600">
        <v>1300</v>
      </c>
      <c r="H600" t="s">
        <v>15</v>
      </c>
      <c r="I600" t="s">
        <v>16</v>
      </c>
      <c r="J600">
        <f t="shared" si="37"/>
        <v>15600</v>
      </c>
      <c r="K600" t="str">
        <f t="shared" si="36"/>
        <v>35+</v>
      </c>
      <c r="L600" t="str">
        <f t="shared" ca="1" si="38"/>
        <v>Safe</v>
      </c>
      <c r="M600" t="str">
        <f t="shared" si="39"/>
        <v>May-2024</v>
      </c>
    </row>
    <row r="601" spans="1:13" x14ac:dyDescent="0.35">
      <c r="A601">
        <v>10600</v>
      </c>
      <c r="B601">
        <v>22</v>
      </c>
      <c r="C601" t="s">
        <v>10</v>
      </c>
      <c r="D601" t="s">
        <v>11</v>
      </c>
      <c r="E601" s="2">
        <v>45435</v>
      </c>
      <c r="F601" s="2">
        <v>46018</v>
      </c>
      <c r="G601">
        <v>1200</v>
      </c>
      <c r="H601" t="s">
        <v>14</v>
      </c>
      <c r="I601" t="s">
        <v>16</v>
      </c>
      <c r="J601">
        <f t="shared" si="37"/>
        <v>1200</v>
      </c>
      <c r="K601" t="str">
        <f t="shared" si="36"/>
        <v>18-24</v>
      </c>
      <c r="L601" t="str">
        <f t="shared" ca="1" si="38"/>
        <v>Safe</v>
      </c>
      <c r="M601" t="str">
        <f t="shared" si="39"/>
        <v>May-2024</v>
      </c>
    </row>
    <row r="602" spans="1:13" x14ac:dyDescent="0.35">
      <c r="A602">
        <v>10601</v>
      </c>
      <c r="B602">
        <v>30</v>
      </c>
      <c r="C602" t="s">
        <v>9</v>
      </c>
      <c r="D602" t="s">
        <v>13</v>
      </c>
      <c r="E602" s="2">
        <v>45396</v>
      </c>
      <c r="F602" s="2">
        <v>45983</v>
      </c>
      <c r="G602">
        <v>1000</v>
      </c>
      <c r="H602" t="s">
        <v>14</v>
      </c>
      <c r="I602" t="s">
        <v>17</v>
      </c>
      <c r="J602">
        <f t="shared" si="37"/>
        <v>3000</v>
      </c>
      <c r="K602" t="str">
        <f t="shared" si="36"/>
        <v>25-34</v>
      </c>
      <c r="L602" t="str">
        <f t="shared" ca="1" si="38"/>
        <v>High Risk</v>
      </c>
      <c r="M602" t="str">
        <f t="shared" si="39"/>
        <v>Apr-2024</v>
      </c>
    </row>
    <row r="603" spans="1:13" x14ac:dyDescent="0.35">
      <c r="A603">
        <v>10602</v>
      </c>
      <c r="B603">
        <v>21</v>
      </c>
      <c r="C603" t="s">
        <v>9</v>
      </c>
      <c r="D603" t="s">
        <v>12</v>
      </c>
      <c r="E603" s="2">
        <v>45522</v>
      </c>
      <c r="F603" s="2">
        <v>46018</v>
      </c>
      <c r="G603">
        <v>1300</v>
      </c>
      <c r="H603" t="s">
        <v>15</v>
      </c>
      <c r="I603" t="s">
        <v>16</v>
      </c>
      <c r="J603">
        <f t="shared" si="37"/>
        <v>15600</v>
      </c>
      <c r="K603" t="str">
        <f t="shared" si="36"/>
        <v>18-24</v>
      </c>
      <c r="L603" t="str">
        <f t="shared" ca="1" si="38"/>
        <v>Safe</v>
      </c>
      <c r="M603" t="str">
        <f t="shared" si="39"/>
        <v>Aug-2024</v>
      </c>
    </row>
    <row r="604" spans="1:13" x14ac:dyDescent="0.35">
      <c r="A604">
        <v>10603</v>
      </c>
      <c r="B604">
        <v>33</v>
      </c>
      <c r="C604" t="s">
        <v>9</v>
      </c>
      <c r="D604" t="s">
        <v>11</v>
      </c>
      <c r="E604" s="2">
        <v>45191</v>
      </c>
      <c r="F604" s="2">
        <v>46029</v>
      </c>
      <c r="G604">
        <v>1700</v>
      </c>
      <c r="H604" t="s">
        <v>15</v>
      </c>
      <c r="I604" t="s">
        <v>16</v>
      </c>
      <c r="J604">
        <f t="shared" si="37"/>
        <v>1700</v>
      </c>
      <c r="K604" t="str">
        <f t="shared" si="36"/>
        <v>25-34</v>
      </c>
      <c r="L604" t="str">
        <f t="shared" ca="1" si="38"/>
        <v>Safe</v>
      </c>
      <c r="M604" t="str">
        <f t="shared" si="39"/>
        <v>Sep-2023</v>
      </c>
    </row>
    <row r="605" spans="1:13" x14ac:dyDescent="0.35">
      <c r="A605">
        <v>10604</v>
      </c>
      <c r="B605">
        <v>41</v>
      </c>
      <c r="C605" t="s">
        <v>9</v>
      </c>
      <c r="D605" t="s">
        <v>12</v>
      </c>
      <c r="E605" s="2">
        <v>45187</v>
      </c>
      <c r="F605" s="2">
        <v>46032</v>
      </c>
      <c r="G605">
        <v>800</v>
      </c>
      <c r="H605" t="s">
        <v>14</v>
      </c>
      <c r="I605" t="s">
        <v>16</v>
      </c>
      <c r="J605">
        <f t="shared" si="37"/>
        <v>9600</v>
      </c>
      <c r="K605" t="str">
        <f t="shared" si="36"/>
        <v>35+</v>
      </c>
      <c r="L605" t="str">
        <f t="shared" ca="1" si="38"/>
        <v>Safe</v>
      </c>
      <c r="M605" t="str">
        <f t="shared" si="39"/>
        <v>Sep-2023</v>
      </c>
    </row>
    <row r="606" spans="1:13" x14ac:dyDescent="0.35">
      <c r="A606">
        <v>10605</v>
      </c>
      <c r="B606">
        <v>33</v>
      </c>
      <c r="C606" t="s">
        <v>9</v>
      </c>
      <c r="D606" t="s">
        <v>11</v>
      </c>
      <c r="E606" s="2">
        <v>45830</v>
      </c>
      <c r="F606" s="2">
        <v>46015</v>
      </c>
      <c r="G606">
        <v>1700</v>
      </c>
      <c r="H606" t="s">
        <v>15</v>
      </c>
      <c r="I606" t="s">
        <v>16</v>
      </c>
      <c r="J606">
        <f t="shared" si="37"/>
        <v>1700</v>
      </c>
      <c r="K606" t="str">
        <f t="shared" si="36"/>
        <v>25-34</v>
      </c>
      <c r="L606" t="str">
        <f t="shared" ca="1" si="38"/>
        <v>Safe</v>
      </c>
      <c r="M606" t="str">
        <f t="shared" si="39"/>
        <v>Jun-2025</v>
      </c>
    </row>
    <row r="607" spans="1:13" x14ac:dyDescent="0.35">
      <c r="A607">
        <v>10606</v>
      </c>
      <c r="B607">
        <v>40</v>
      </c>
      <c r="C607" t="s">
        <v>10</v>
      </c>
      <c r="D607" t="s">
        <v>11</v>
      </c>
      <c r="E607" s="2">
        <v>45168</v>
      </c>
      <c r="F607" s="2">
        <v>46027</v>
      </c>
      <c r="G607">
        <v>1700</v>
      </c>
      <c r="H607" t="s">
        <v>15</v>
      </c>
      <c r="I607" t="s">
        <v>16</v>
      </c>
      <c r="J607">
        <f t="shared" si="37"/>
        <v>1700</v>
      </c>
      <c r="K607" t="str">
        <f t="shared" si="36"/>
        <v>35+</v>
      </c>
      <c r="L607" t="str">
        <f t="shared" ca="1" si="38"/>
        <v>Safe</v>
      </c>
      <c r="M607" t="str">
        <f t="shared" si="39"/>
        <v>Aug-2023</v>
      </c>
    </row>
    <row r="608" spans="1:13" x14ac:dyDescent="0.35">
      <c r="A608">
        <v>10607</v>
      </c>
      <c r="B608">
        <v>19</v>
      </c>
      <c r="C608" t="s">
        <v>9</v>
      </c>
      <c r="D608" t="s">
        <v>11</v>
      </c>
      <c r="E608" s="2">
        <v>45777</v>
      </c>
      <c r="F608" s="2">
        <v>45968</v>
      </c>
      <c r="G608">
        <v>1200</v>
      </c>
      <c r="H608" t="s">
        <v>14</v>
      </c>
      <c r="I608" t="s">
        <v>17</v>
      </c>
      <c r="J608">
        <f t="shared" si="37"/>
        <v>1200</v>
      </c>
      <c r="K608" t="str">
        <f t="shared" si="36"/>
        <v>18-24</v>
      </c>
      <c r="L608" t="str">
        <f t="shared" ca="1" si="38"/>
        <v>High Risk</v>
      </c>
      <c r="M608" t="str">
        <f t="shared" si="39"/>
        <v>Apr-2025</v>
      </c>
    </row>
    <row r="609" spans="1:13" x14ac:dyDescent="0.35">
      <c r="A609">
        <v>10608</v>
      </c>
      <c r="B609">
        <v>34</v>
      </c>
      <c r="C609" t="s">
        <v>9</v>
      </c>
      <c r="D609" t="s">
        <v>11</v>
      </c>
      <c r="E609" s="2">
        <v>45279</v>
      </c>
      <c r="F609" s="2">
        <v>46032</v>
      </c>
      <c r="G609">
        <v>1200</v>
      </c>
      <c r="H609" t="s">
        <v>14</v>
      </c>
      <c r="I609" t="s">
        <v>16</v>
      </c>
      <c r="J609">
        <f t="shared" si="37"/>
        <v>1200</v>
      </c>
      <c r="K609" t="str">
        <f t="shared" si="36"/>
        <v>25-34</v>
      </c>
      <c r="L609" t="str">
        <f t="shared" ca="1" si="38"/>
        <v>Safe</v>
      </c>
      <c r="M609" t="str">
        <f t="shared" si="39"/>
        <v>Dec-2023</v>
      </c>
    </row>
    <row r="610" spans="1:13" x14ac:dyDescent="0.35">
      <c r="A610">
        <v>10609</v>
      </c>
      <c r="B610">
        <v>45</v>
      </c>
      <c r="C610" t="s">
        <v>9</v>
      </c>
      <c r="D610" t="s">
        <v>13</v>
      </c>
      <c r="E610" s="2">
        <v>45807</v>
      </c>
      <c r="F610" s="2">
        <v>46032</v>
      </c>
      <c r="G610">
        <v>1000</v>
      </c>
      <c r="H610" t="s">
        <v>14</v>
      </c>
      <c r="I610" t="s">
        <v>16</v>
      </c>
      <c r="J610">
        <f t="shared" si="37"/>
        <v>3000</v>
      </c>
      <c r="K610" t="str">
        <f t="shared" si="36"/>
        <v>35+</v>
      </c>
      <c r="L610" t="str">
        <f t="shared" ca="1" si="38"/>
        <v>Safe</v>
      </c>
      <c r="M610" t="str">
        <f t="shared" si="39"/>
        <v>May-2025</v>
      </c>
    </row>
    <row r="611" spans="1:13" x14ac:dyDescent="0.35">
      <c r="A611">
        <v>10610</v>
      </c>
      <c r="B611">
        <v>44</v>
      </c>
      <c r="C611" t="s">
        <v>9</v>
      </c>
      <c r="D611" t="s">
        <v>12</v>
      </c>
      <c r="E611" s="2">
        <v>45497</v>
      </c>
      <c r="F611" s="2">
        <v>46015</v>
      </c>
      <c r="G611">
        <v>800</v>
      </c>
      <c r="H611" t="s">
        <v>14</v>
      </c>
      <c r="I611" t="s">
        <v>16</v>
      </c>
      <c r="J611">
        <f t="shared" si="37"/>
        <v>9600</v>
      </c>
      <c r="K611" t="str">
        <f t="shared" si="36"/>
        <v>35+</v>
      </c>
      <c r="L611" t="str">
        <f t="shared" ca="1" si="38"/>
        <v>Safe</v>
      </c>
      <c r="M611" t="str">
        <f t="shared" si="39"/>
        <v>Jul-2024</v>
      </c>
    </row>
    <row r="612" spans="1:13" x14ac:dyDescent="0.35">
      <c r="A612">
        <v>10611</v>
      </c>
      <c r="B612">
        <v>37</v>
      </c>
      <c r="C612" t="s">
        <v>9</v>
      </c>
      <c r="D612" t="s">
        <v>13</v>
      </c>
      <c r="E612" s="2">
        <v>45166</v>
      </c>
      <c r="F612" s="2">
        <v>46008</v>
      </c>
      <c r="G612">
        <v>1500</v>
      </c>
      <c r="H612" t="s">
        <v>15</v>
      </c>
      <c r="I612" t="s">
        <v>16</v>
      </c>
      <c r="J612">
        <f t="shared" si="37"/>
        <v>4500</v>
      </c>
      <c r="K612" t="str">
        <f t="shared" si="36"/>
        <v>35+</v>
      </c>
      <c r="L612" t="str">
        <f t="shared" ca="1" si="38"/>
        <v>Safe</v>
      </c>
      <c r="M612" t="str">
        <f t="shared" si="39"/>
        <v>Aug-2023</v>
      </c>
    </row>
    <row r="613" spans="1:13" x14ac:dyDescent="0.35">
      <c r="A613">
        <v>10612</v>
      </c>
      <c r="B613">
        <v>41</v>
      </c>
      <c r="C613" t="s">
        <v>9</v>
      </c>
      <c r="D613" t="s">
        <v>12</v>
      </c>
      <c r="E613" s="2">
        <v>45886</v>
      </c>
      <c r="F613" s="2">
        <v>46008</v>
      </c>
      <c r="G613">
        <v>1300</v>
      </c>
      <c r="H613" t="s">
        <v>15</v>
      </c>
      <c r="I613" t="s">
        <v>16</v>
      </c>
      <c r="J613">
        <f t="shared" si="37"/>
        <v>15600</v>
      </c>
      <c r="K613" t="str">
        <f t="shared" si="36"/>
        <v>35+</v>
      </c>
      <c r="L613" t="str">
        <f t="shared" ca="1" si="38"/>
        <v>Safe</v>
      </c>
      <c r="M613" t="str">
        <f t="shared" si="39"/>
        <v>Aug-2025</v>
      </c>
    </row>
    <row r="614" spans="1:13" x14ac:dyDescent="0.35">
      <c r="A614">
        <v>10613</v>
      </c>
      <c r="B614">
        <v>29</v>
      </c>
      <c r="C614" t="s">
        <v>9</v>
      </c>
      <c r="D614" t="s">
        <v>12</v>
      </c>
      <c r="E614" s="2">
        <v>45654</v>
      </c>
      <c r="F614" s="2">
        <v>45977</v>
      </c>
      <c r="G614">
        <v>800</v>
      </c>
      <c r="H614" t="s">
        <v>14</v>
      </c>
      <c r="I614" t="s">
        <v>17</v>
      </c>
      <c r="J614">
        <f t="shared" si="37"/>
        <v>9600</v>
      </c>
      <c r="K614" t="str">
        <f t="shared" si="36"/>
        <v>25-34</v>
      </c>
      <c r="L614" t="str">
        <f t="shared" ca="1" si="38"/>
        <v>High Risk</v>
      </c>
      <c r="M614" t="str">
        <f t="shared" si="39"/>
        <v>Dec-2024</v>
      </c>
    </row>
    <row r="615" spans="1:13" x14ac:dyDescent="0.35">
      <c r="A615">
        <v>10614</v>
      </c>
      <c r="B615">
        <v>35</v>
      </c>
      <c r="C615" t="s">
        <v>9</v>
      </c>
      <c r="D615" t="s">
        <v>11</v>
      </c>
      <c r="E615" s="2">
        <v>45872</v>
      </c>
      <c r="F615" s="2">
        <v>46031</v>
      </c>
      <c r="G615">
        <v>1700</v>
      </c>
      <c r="H615" t="s">
        <v>15</v>
      </c>
      <c r="I615" t="s">
        <v>16</v>
      </c>
      <c r="J615">
        <f t="shared" si="37"/>
        <v>1700</v>
      </c>
      <c r="K615" t="str">
        <f t="shared" si="36"/>
        <v>35+</v>
      </c>
      <c r="L615" t="str">
        <f t="shared" ca="1" si="38"/>
        <v>Safe</v>
      </c>
      <c r="M615" t="str">
        <f t="shared" si="39"/>
        <v>Aug-2025</v>
      </c>
    </row>
    <row r="616" spans="1:13" x14ac:dyDescent="0.35">
      <c r="A616">
        <v>10615</v>
      </c>
      <c r="B616">
        <v>20</v>
      </c>
      <c r="C616" t="s">
        <v>9</v>
      </c>
      <c r="D616" t="s">
        <v>13</v>
      </c>
      <c r="E616" s="2">
        <v>45662</v>
      </c>
      <c r="F616" s="2">
        <v>45962</v>
      </c>
      <c r="G616">
        <v>1000</v>
      </c>
      <c r="H616" t="s">
        <v>14</v>
      </c>
      <c r="I616" t="s">
        <v>17</v>
      </c>
      <c r="J616">
        <f t="shared" si="37"/>
        <v>3000</v>
      </c>
      <c r="K616" t="str">
        <f t="shared" si="36"/>
        <v>18-24</v>
      </c>
      <c r="L616" t="str">
        <f t="shared" ca="1" si="38"/>
        <v>High Risk</v>
      </c>
      <c r="M616" t="str">
        <f t="shared" si="39"/>
        <v>Jan-2025</v>
      </c>
    </row>
    <row r="617" spans="1:13" x14ac:dyDescent="0.35">
      <c r="A617">
        <v>10616</v>
      </c>
      <c r="B617">
        <v>45</v>
      </c>
      <c r="C617" t="s">
        <v>9</v>
      </c>
      <c r="D617" t="s">
        <v>11</v>
      </c>
      <c r="E617" s="2">
        <v>45751</v>
      </c>
      <c r="F617" s="2">
        <v>46023</v>
      </c>
      <c r="G617">
        <v>1200</v>
      </c>
      <c r="H617" t="s">
        <v>14</v>
      </c>
      <c r="I617" t="s">
        <v>16</v>
      </c>
      <c r="J617">
        <f t="shared" si="37"/>
        <v>1200</v>
      </c>
      <c r="K617" t="str">
        <f t="shared" si="36"/>
        <v>35+</v>
      </c>
      <c r="L617" t="str">
        <f t="shared" ca="1" si="38"/>
        <v>Safe</v>
      </c>
      <c r="M617" t="str">
        <f t="shared" si="39"/>
        <v>Apr-2025</v>
      </c>
    </row>
    <row r="618" spans="1:13" x14ac:dyDescent="0.35">
      <c r="A618">
        <v>10617</v>
      </c>
      <c r="B618">
        <v>18</v>
      </c>
      <c r="C618" t="s">
        <v>9</v>
      </c>
      <c r="D618" t="s">
        <v>13</v>
      </c>
      <c r="E618" s="2">
        <v>45284</v>
      </c>
      <c r="F618" s="2">
        <v>46027</v>
      </c>
      <c r="G618">
        <v>1000</v>
      </c>
      <c r="H618" t="s">
        <v>14</v>
      </c>
      <c r="I618" t="s">
        <v>16</v>
      </c>
      <c r="J618">
        <f t="shared" si="37"/>
        <v>3000</v>
      </c>
      <c r="K618" t="str">
        <f t="shared" si="36"/>
        <v>18-24</v>
      </c>
      <c r="L618" t="str">
        <f t="shared" ca="1" si="38"/>
        <v>Safe</v>
      </c>
      <c r="M618" t="str">
        <f t="shared" si="39"/>
        <v>Dec-2023</v>
      </c>
    </row>
    <row r="619" spans="1:13" x14ac:dyDescent="0.35">
      <c r="A619">
        <v>10618</v>
      </c>
      <c r="B619">
        <v>18</v>
      </c>
      <c r="C619" t="s">
        <v>10</v>
      </c>
      <c r="D619" t="s">
        <v>12</v>
      </c>
      <c r="E619" s="2">
        <v>45464</v>
      </c>
      <c r="F619" s="2">
        <v>45925</v>
      </c>
      <c r="G619">
        <v>1300</v>
      </c>
      <c r="H619" t="s">
        <v>15</v>
      </c>
      <c r="I619" t="s">
        <v>17</v>
      </c>
      <c r="J619">
        <f t="shared" si="37"/>
        <v>15600</v>
      </c>
      <c r="K619" t="str">
        <f t="shared" si="36"/>
        <v>18-24</v>
      </c>
      <c r="L619" t="str">
        <f t="shared" ca="1" si="38"/>
        <v>High Risk</v>
      </c>
      <c r="M619" t="str">
        <f t="shared" si="39"/>
        <v>Jun-2024</v>
      </c>
    </row>
    <row r="620" spans="1:13" x14ac:dyDescent="0.35">
      <c r="A620">
        <v>10619</v>
      </c>
      <c r="B620">
        <v>36</v>
      </c>
      <c r="C620" t="s">
        <v>9</v>
      </c>
      <c r="D620" t="s">
        <v>11</v>
      </c>
      <c r="E620" s="2">
        <v>45532</v>
      </c>
      <c r="F620" s="2">
        <v>45917</v>
      </c>
      <c r="G620">
        <v>1200</v>
      </c>
      <c r="H620" t="s">
        <v>14</v>
      </c>
      <c r="I620" t="s">
        <v>17</v>
      </c>
      <c r="J620">
        <f t="shared" si="37"/>
        <v>1200</v>
      </c>
      <c r="K620" t="str">
        <f t="shared" si="36"/>
        <v>35+</v>
      </c>
      <c r="L620" t="str">
        <f t="shared" ca="1" si="38"/>
        <v>High Risk</v>
      </c>
      <c r="M620" t="str">
        <f t="shared" si="39"/>
        <v>Aug-2024</v>
      </c>
    </row>
    <row r="621" spans="1:13" x14ac:dyDescent="0.35">
      <c r="A621">
        <v>10620</v>
      </c>
      <c r="B621">
        <v>28</v>
      </c>
      <c r="C621" t="s">
        <v>9</v>
      </c>
      <c r="D621" t="s">
        <v>13</v>
      </c>
      <c r="E621" s="2">
        <v>45138</v>
      </c>
      <c r="F621" s="2">
        <v>46028</v>
      </c>
      <c r="G621">
        <v>1000</v>
      </c>
      <c r="H621" t="s">
        <v>14</v>
      </c>
      <c r="I621" t="s">
        <v>16</v>
      </c>
      <c r="J621">
        <f t="shared" si="37"/>
        <v>3000</v>
      </c>
      <c r="K621" t="str">
        <f t="shared" si="36"/>
        <v>25-34</v>
      </c>
      <c r="L621" t="str">
        <f t="shared" ca="1" si="38"/>
        <v>Safe</v>
      </c>
      <c r="M621" t="str">
        <f t="shared" si="39"/>
        <v>Jul-2023</v>
      </c>
    </row>
    <row r="622" spans="1:13" x14ac:dyDescent="0.35">
      <c r="A622">
        <v>10621</v>
      </c>
      <c r="B622">
        <v>22</v>
      </c>
      <c r="C622" t="s">
        <v>10</v>
      </c>
      <c r="D622" t="s">
        <v>13</v>
      </c>
      <c r="E622" s="2">
        <v>45605</v>
      </c>
      <c r="F622" s="2">
        <v>46009</v>
      </c>
      <c r="G622">
        <v>1000</v>
      </c>
      <c r="H622" t="s">
        <v>14</v>
      </c>
      <c r="I622" t="s">
        <v>16</v>
      </c>
      <c r="J622">
        <f t="shared" si="37"/>
        <v>3000</v>
      </c>
      <c r="K622" t="str">
        <f t="shared" si="36"/>
        <v>18-24</v>
      </c>
      <c r="L622" t="str">
        <f t="shared" ca="1" si="38"/>
        <v>Safe</v>
      </c>
      <c r="M622" t="str">
        <f t="shared" si="39"/>
        <v>Nov-2024</v>
      </c>
    </row>
    <row r="623" spans="1:13" x14ac:dyDescent="0.35">
      <c r="A623">
        <v>10622</v>
      </c>
      <c r="B623">
        <v>29</v>
      </c>
      <c r="C623" t="s">
        <v>9</v>
      </c>
      <c r="D623" t="s">
        <v>13</v>
      </c>
      <c r="E623" s="2">
        <v>45416</v>
      </c>
      <c r="F623" s="2">
        <v>46021</v>
      </c>
      <c r="G623">
        <v>1500</v>
      </c>
      <c r="H623" t="s">
        <v>15</v>
      </c>
      <c r="I623" t="s">
        <v>16</v>
      </c>
      <c r="J623">
        <f t="shared" si="37"/>
        <v>4500</v>
      </c>
      <c r="K623" t="str">
        <f t="shared" si="36"/>
        <v>25-34</v>
      </c>
      <c r="L623" t="str">
        <f t="shared" ca="1" si="38"/>
        <v>Safe</v>
      </c>
      <c r="M623" t="str">
        <f t="shared" si="39"/>
        <v>May-2024</v>
      </c>
    </row>
    <row r="624" spans="1:13" x14ac:dyDescent="0.35">
      <c r="A624">
        <v>10623</v>
      </c>
      <c r="B624">
        <v>20</v>
      </c>
      <c r="C624" t="s">
        <v>10</v>
      </c>
      <c r="D624" t="s">
        <v>11</v>
      </c>
      <c r="E624" s="2">
        <v>45403</v>
      </c>
      <c r="F624" s="2">
        <v>45934</v>
      </c>
      <c r="G624">
        <v>1700</v>
      </c>
      <c r="H624" t="s">
        <v>15</v>
      </c>
      <c r="I624" t="s">
        <v>17</v>
      </c>
      <c r="J624">
        <f t="shared" si="37"/>
        <v>1700</v>
      </c>
      <c r="K624" t="str">
        <f t="shared" si="36"/>
        <v>18-24</v>
      </c>
      <c r="L624" t="str">
        <f t="shared" ca="1" si="38"/>
        <v>High Risk</v>
      </c>
      <c r="M624" t="str">
        <f t="shared" si="39"/>
        <v>Apr-2024</v>
      </c>
    </row>
    <row r="625" spans="1:13" x14ac:dyDescent="0.35">
      <c r="A625">
        <v>10624</v>
      </c>
      <c r="B625">
        <v>18</v>
      </c>
      <c r="C625" t="s">
        <v>9</v>
      </c>
      <c r="D625" t="s">
        <v>11</v>
      </c>
      <c r="E625" s="2">
        <v>45759</v>
      </c>
      <c r="F625" s="2">
        <v>46015</v>
      </c>
      <c r="G625">
        <v>1700</v>
      </c>
      <c r="H625" t="s">
        <v>15</v>
      </c>
      <c r="I625" t="s">
        <v>16</v>
      </c>
      <c r="J625">
        <f t="shared" si="37"/>
        <v>1700</v>
      </c>
      <c r="K625" t="str">
        <f t="shared" si="36"/>
        <v>18-24</v>
      </c>
      <c r="L625" t="str">
        <f t="shared" ca="1" si="38"/>
        <v>Safe</v>
      </c>
      <c r="M625" t="str">
        <f t="shared" si="39"/>
        <v>Apr-2025</v>
      </c>
    </row>
    <row r="626" spans="1:13" x14ac:dyDescent="0.35">
      <c r="A626">
        <v>10625</v>
      </c>
      <c r="B626">
        <v>18</v>
      </c>
      <c r="C626" t="s">
        <v>10</v>
      </c>
      <c r="D626" t="s">
        <v>11</v>
      </c>
      <c r="E626" s="2">
        <v>45789</v>
      </c>
      <c r="F626" s="2">
        <v>46025</v>
      </c>
      <c r="G626">
        <v>1700</v>
      </c>
      <c r="H626" t="s">
        <v>15</v>
      </c>
      <c r="I626" t="s">
        <v>16</v>
      </c>
      <c r="J626">
        <f t="shared" si="37"/>
        <v>1700</v>
      </c>
      <c r="K626" t="str">
        <f t="shared" si="36"/>
        <v>18-24</v>
      </c>
      <c r="L626" t="str">
        <f t="shared" ca="1" si="38"/>
        <v>Safe</v>
      </c>
      <c r="M626" t="str">
        <f t="shared" si="39"/>
        <v>May-2025</v>
      </c>
    </row>
    <row r="627" spans="1:13" x14ac:dyDescent="0.35">
      <c r="A627">
        <v>10626</v>
      </c>
      <c r="B627">
        <v>25</v>
      </c>
      <c r="C627" t="s">
        <v>9</v>
      </c>
      <c r="D627" t="s">
        <v>11</v>
      </c>
      <c r="E627" s="2">
        <v>45923</v>
      </c>
      <c r="F627" s="2">
        <v>46016</v>
      </c>
      <c r="G627">
        <v>1700</v>
      </c>
      <c r="H627" t="s">
        <v>15</v>
      </c>
      <c r="I627" t="s">
        <v>16</v>
      </c>
      <c r="J627">
        <f t="shared" si="37"/>
        <v>1700</v>
      </c>
      <c r="K627" t="str">
        <f t="shared" si="36"/>
        <v>25-34</v>
      </c>
      <c r="L627" t="str">
        <f t="shared" ca="1" si="38"/>
        <v>Safe</v>
      </c>
      <c r="M627" t="str">
        <f t="shared" si="39"/>
        <v>Sep-2025</v>
      </c>
    </row>
    <row r="628" spans="1:13" x14ac:dyDescent="0.35">
      <c r="A628">
        <v>10627</v>
      </c>
      <c r="B628">
        <v>27</v>
      </c>
      <c r="C628" t="s">
        <v>9</v>
      </c>
      <c r="D628" t="s">
        <v>11</v>
      </c>
      <c r="E628" s="2">
        <v>45369</v>
      </c>
      <c r="F628" s="2">
        <v>45988</v>
      </c>
      <c r="G628">
        <v>1200</v>
      </c>
      <c r="H628" t="s">
        <v>14</v>
      </c>
      <c r="I628" t="s">
        <v>17</v>
      </c>
      <c r="J628">
        <f t="shared" si="37"/>
        <v>1200</v>
      </c>
      <c r="K628" t="str">
        <f t="shared" si="36"/>
        <v>25-34</v>
      </c>
      <c r="L628" t="str">
        <f t="shared" ca="1" si="38"/>
        <v>High Risk</v>
      </c>
      <c r="M628" t="str">
        <f t="shared" si="39"/>
        <v>Mar-2024</v>
      </c>
    </row>
    <row r="629" spans="1:13" x14ac:dyDescent="0.35">
      <c r="A629">
        <v>10628</v>
      </c>
      <c r="B629">
        <v>28</v>
      </c>
      <c r="C629" t="s">
        <v>9</v>
      </c>
      <c r="D629" t="s">
        <v>13</v>
      </c>
      <c r="E629" s="2">
        <v>45255</v>
      </c>
      <c r="F629" s="2">
        <v>46022</v>
      </c>
      <c r="G629">
        <v>1000</v>
      </c>
      <c r="H629" t="s">
        <v>14</v>
      </c>
      <c r="I629" t="s">
        <v>16</v>
      </c>
      <c r="J629">
        <f t="shared" si="37"/>
        <v>3000</v>
      </c>
      <c r="K629" t="str">
        <f t="shared" si="36"/>
        <v>25-34</v>
      </c>
      <c r="L629" t="str">
        <f t="shared" ca="1" si="38"/>
        <v>Safe</v>
      </c>
      <c r="M629" t="str">
        <f t="shared" si="39"/>
        <v>Nov-2023</v>
      </c>
    </row>
    <row r="630" spans="1:13" x14ac:dyDescent="0.35">
      <c r="A630">
        <v>10629</v>
      </c>
      <c r="B630">
        <v>29</v>
      </c>
      <c r="C630" t="s">
        <v>10</v>
      </c>
      <c r="D630" t="s">
        <v>11</v>
      </c>
      <c r="E630" s="2">
        <v>45849</v>
      </c>
      <c r="F630" s="2">
        <v>46030</v>
      </c>
      <c r="G630">
        <v>1700</v>
      </c>
      <c r="H630" t="s">
        <v>15</v>
      </c>
      <c r="I630" t="s">
        <v>16</v>
      </c>
      <c r="J630">
        <f t="shared" si="37"/>
        <v>1700</v>
      </c>
      <c r="K630" t="str">
        <f t="shared" si="36"/>
        <v>25-34</v>
      </c>
      <c r="L630" t="str">
        <f t="shared" ca="1" si="38"/>
        <v>Safe</v>
      </c>
      <c r="M630" t="str">
        <f t="shared" si="39"/>
        <v>Jul-2025</v>
      </c>
    </row>
    <row r="631" spans="1:13" x14ac:dyDescent="0.35">
      <c r="A631">
        <v>10630</v>
      </c>
      <c r="B631">
        <v>30</v>
      </c>
      <c r="C631" t="s">
        <v>10</v>
      </c>
      <c r="D631" t="s">
        <v>12</v>
      </c>
      <c r="E631" s="2">
        <v>45437</v>
      </c>
      <c r="F631" s="2">
        <v>46016</v>
      </c>
      <c r="G631">
        <v>800</v>
      </c>
      <c r="H631" t="s">
        <v>14</v>
      </c>
      <c r="I631" t="s">
        <v>16</v>
      </c>
      <c r="J631">
        <f t="shared" si="37"/>
        <v>9600</v>
      </c>
      <c r="K631" t="str">
        <f t="shared" si="36"/>
        <v>25-34</v>
      </c>
      <c r="L631" t="str">
        <f t="shared" ca="1" si="38"/>
        <v>Safe</v>
      </c>
      <c r="M631" t="str">
        <f t="shared" si="39"/>
        <v>May-2024</v>
      </c>
    </row>
    <row r="632" spans="1:13" x14ac:dyDescent="0.35">
      <c r="A632">
        <v>10631</v>
      </c>
      <c r="B632">
        <v>29</v>
      </c>
      <c r="C632" t="s">
        <v>9</v>
      </c>
      <c r="D632" t="s">
        <v>13</v>
      </c>
      <c r="E632" s="2">
        <v>45203</v>
      </c>
      <c r="F632" s="2">
        <v>46018</v>
      </c>
      <c r="G632">
        <v>1500</v>
      </c>
      <c r="H632" t="s">
        <v>15</v>
      </c>
      <c r="I632" t="s">
        <v>16</v>
      </c>
      <c r="J632">
        <f t="shared" si="37"/>
        <v>4500</v>
      </c>
      <c r="K632" t="str">
        <f t="shared" si="36"/>
        <v>25-34</v>
      </c>
      <c r="L632" t="str">
        <f t="shared" ca="1" si="38"/>
        <v>Safe</v>
      </c>
      <c r="M632" t="str">
        <f t="shared" si="39"/>
        <v>Oct-2023</v>
      </c>
    </row>
    <row r="633" spans="1:13" x14ac:dyDescent="0.35">
      <c r="A633">
        <v>10632</v>
      </c>
      <c r="B633">
        <v>31</v>
      </c>
      <c r="C633" t="s">
        <v>9</v>
      </c>
      <c r="D633" t="s">
        <v>13</v>
      </c>
      <c r="E633" s="2">
        <v>45885</v>
      </c>
      <c r="F633" s="2">
        <v>46026</v>
      </c>
      <c r="G633">
        <v>1000</v>
      </c>
      <c r="H633" t="s">
        <v>14</v>
      </c>
      <c r="I633" t="s">
        <v>16</v>
      </c>
      <c r="J633">
        <f t="shared" si="37"/>
        <v>3000</v>
      </c>
      <c r="K633" t="str">
        <f t="shared" si="36"/>
        <v>25-34</v>
      </c>
      <c r="L633" t="str">
        <f t="shared" ca="1" si="38"/>
        <v>Safe</v>
      </c>
      <c r="M633" t="str">
        <f t="shared" si="39"/>
        <v>Aug-2025</v>
      </c>
    </row>
    <row r="634" spans="1:13" x14ac:dyDescent="0.35">
      <c r="A634">
        <v>10633</v>
      </c>
      <c r="B634">
        <v>19</v>
      </c>
      <c r="C634" t="s">
        <v>10</v>
      </c>
      <c r="D634" t="s">
        <v>11</v>
      </c>
      <c r="E634" s="2">
        <v>45839</v>
      </c>
      <c r="F634" s="2">
        <v>45959</v>
      </c>
      <c r="G634">
        <v>1200</v>
      </c>
      <c r="H634" t="s">
        <v>14</v>
      </c>
      <c r="I634" t="s">
        <v>17</v>
      </c>
      <c r="J634">
        <f t="shared" si="37"/>
        <v>1200</v>
      </c>
      <c r="K634" t="str">
        <f t="shared" si="36"/>
        <v>18-24</v>
      </c>
      <c r="L634" t="str">
        <f t="shared" ca="1" si="38"/>
        <v>High Risk</v>
      </c>
      <c r="M634" t="str">
        <f t="shared" si="39"/>
        <v>Jul-2025</v>
      </c>
    </row>
    <row r="635" spans="1:13" x14ac:dyDescent="0.35">
      <c r="A635">
        <v>10634</v>
      </c>
      <c r="B635">
        <v>36</v>
      </c>
      <c r="C635" t="s">
        <v>9</v>
      </c>
      <c r="D635" t="s">
        <v>13</v>
      </c>
      <c r="E635" s="2">
        <v>45841</v>
      </c>
      <c r="F635" s="2">
        <v>46015</v>
      </c>
      <c r="G635">
        <v>1000</v>
      </c>
      <c r="H635" t="s">
        <v>14</v>
      </c>
      <c r="I635" t="s">
        <v>16</v>
      </c>
      <c r="J635">
        <f t="shared" si="37"/>
        <v>3000</v>
      </c>
      <c r="K635" t="str">
        <f t="shared" si="36"/>
        <v>35+</v>
      </c>
      <c r="L635" t="str">
        <f t="shared" ca="1" si="38"/>
        <v>Safe</v>
      </c>
      <c r="M635" t="str">
        <f t="shared" si="39"/>
        <v>Jul-2025</v>
      </c>
    </row>
    <row r="636" spans="1:13" x14ac:dyDescent="0.35">
      <c r="A636">
        <v>10635</v>
      </c>
      <c r="B636">
        <v>35</v>
      </c>
      <c r="C636" t="s">
        <v>10</v>
      </c>
      <c r="D636" t="s">
        <v>12</v>
      </c>
      <c r="E636" s="2">
        <v>45509</v>
      </c>
      <c r="F636" s="2">
        <v>46008</v>
      </c>
      <c r="G636">
        <v>800</v>
      </c>
      <c r="H636" t="s">
        <v>14</v>
      </c>
      <c r="I636" t="s">
        <v>16</v>
      </c>
      <c r="J636">
        <f t="shared" si="37"/>
        <v>9600</v>
      </c>
      <c r="K636" t="str">
        <f t="shared" si="36"/>
        <v>35+</v>
      </c>
      <c r="L636" t="str">
        <f t="shared" ca="1" si="38"/>
        <v>Safe</v>
      </c>
      <c r="M636" t="str">
        <f t="shared" si="39"/>
        <v>Aug-2024</v>
      </c>
    </row>
    <row r="637" spans="1:13" x14ac:dyDescent="0.35">
      <c r="A637">
        <v>10636</v>
      </c>
      <c r="B637">
        <v>20</v>
      </c>
      <c r="C637" t="s">
        <v>10</v>
      </c>
      <c r="D637" t="s">
        <v>11</v>
      </c>
      <c r="E637" s="2">
        <v>45188</v>
      </c>
      <c r="F637" s="2">
        <v>46023</v>
      </c>
      <c r="G637">
        <v>1700</v>
      </c>
      <c r="H637" t="s">
        <v>15</v>
      </c>
      <c r="I637" t="s">
        <v>16</v>
      </c>
      <c r="J637">
        <f t="shared" si="37"/>
        <v>1700</v>
      </c>
      <c r="K637" t="str">
        <f t="shared" si="36"/>
        <v>18-24</v>
      </c>
      <c r="L637" t="str">
        <f t="shared" ca="1" si="38"/>
        <v>Safe</v>
      </c>
      <c r="M637" t="str">
        <f t="shared" si="39"/>
        <v>Sep-2023</v>
      </c>
    </row>
    <row r="638" spans="1:13" x14ac:dyDescent="0.35">
      <c r="A638">
        <v>10637</v>
      </c>
      <c r="B638">
        <v>40</v>
      </c>
      <c r="C638" t="s">
        <v>9</v>
      </c>
      <c r="D638" t="s">
        <v>11</v>
      </c>
      <c r="E638" s="2">
        <v>45761</v>
      </c>
      <c r="F638" s="2">
        <v>46023</v>
      </c>
      <c r="G638">
        <v>1700</v>
      </c>
      <c r="H638" t="s">
        <v>15</v>
      </c>
      <c r="I638" t="s">
        <v>16</v>
      </c>
      <c r="J638">
        <f t="shared" si="37"/>
        <v>1700</v>
      </c>
      <c r="K638" t="str">
        <f t="shared" si="36"/>
        <v>35+</v>
      </c>
      <c r="L638" t="str">
        <f t="shared" ca="1" si="38"/>
        <v>Safe</v>
      </c>
      <c r="M638" t="str">
        <f t="shared" si="39"/>
        <v>Apr-2025</v>
      </c>
    </row>
    <row r="639" spans="1:13" x14ac:dyDescent="0.35">
      <c r="A639">
        <v>10638</v>
      </c>
      <c r="B639">
        <v>34</v>
      </c>
      <c r="C639" t="s">
        <v>9</v>
      </c>
      <c r="D639" t="s">
        <v>12</v>
      </c>
      <c r="E639" s="2">
        <v>45203</v>
      </c>
      <c r="F639" s="2">
        <v>46010</v>
      </c>
      <c r="G639">
        <v>800</v>
      </c>
      <c r="H639" t="s">
        <v>14</v>
      </c>
      <c r="I639" t="s">
        <v>16</v>
      </c>
      <c r="J639">
        <f t="shared" si="37"/>
        <v>9600</v>
      </c>
      <c r="K639" t="str">
        <f t="shared" si="36"/>
        <v>25-34</v>
      </c>
      <c r="L639" t="str">
        <f t="shared" ca="1" si="38"/>
        <v>Safe</v>
      </c>
      <c r="M639" t="str">
        <f t="shared" si="39"/>
        <v>Oct-2023</v>
      </c>
    </row>
    <row r="640" spans="1:13" x14ac:dyDescent="0.35">
      <c r="A640">
        <v>10639</v>
      </c>
      <c r="B640">
        <v>43</v>
      </c>
      <c r="C640" t="s">
        <v>9</v>
      </c>
      <c r="D640" t="s">
        <v>11</v>
      </c>
      <c r="E640" s="2">
        <v>45351</v>
      </c>
      <c r="F640" s="2">
        <v>46016</v>
      </c>
      <c r="G640">
        <v>1200</v>
      </c>
      <c r="H640" t="s">
        <v>14</v>
      </c>
      <c r="I640" t="s">
        <v>16</v>
      </c>
      <c r="J640">
        <f t="shared" si="37"/>
        <v>1200</v>
      </c>
      <c r="K640" t="str">
        <f t="shared" si="36"/>
        <v>35+</v>
      </c>
      <c r="L640" t="str">
        <f t="shared" ca="1" si="38"/>
        <v>Safe</v>
      </c>
      <c r="M640" t="str">
        <f t="shared" si="39"/>
        <v>Feb-2024</v>
      </c>
    </row>
    <row r="641" spans="1:13" x14ac:dyDescent="0.35">
      <c r="A641">
        <v>10640</v>
      </c>
      <c r="B641">
        <v>25</v>
      </c>
      <c r="C641" t="s">
        <v>9</v>
      </c>
      <c r="D641" t="s">
        <v>11</v>
      </c>
      <c r="E641" s="2">
        <v>45625</v>
      </c>
      <c r="F641" s="2">
        <v>45946</v>
      </c>
      <c r="G641">
        <v>1700</v>
      </c>
      <c r="H641" t="s">
        <v>15</v>
      </c>
      <c r="I641" t="s">
        <v>17</v>
      </c>
      <c r="J641">
        <f t="shared" si="37"/>
        <v>1700</v>
      </c>
      <c r="K641" t="str">
        <f t="shared" si="36"/>
        <v>25-34</v>
      </c>
      <c r="L641" t="str">
        <f t="shared" ca="1" si="38"/>
        <v>High Risk</v>
      </c>
      <c r="M641" t="str">
        <f t="shared" si="39"/>
        <v>Nov-2024</v>
      </c>
    </row>
    <row r="642" spans="1:13" x14ac:dyDescent="0.35">
      <c r="A642">
        <v>10641</v>
      </c>
      <c r="B642">
        <v>43</v>
      </c>
      <c r="C642" t="s">
        <v>10</v>
      </c>
      <c r="D642" t="s">
        <v>11</v>
      </c>
      <c r="E642" s="2">
        <v>45232</v>
      </c>
      <c r="F642" s="2">
        <v>45943</v>
      </c>
      <c r="G642">
        <v>1700</v>
      </c>
      <c r="H642" t="s">
        <v>15</v>
      </c>
      <c r="I642" t="s">
        <v>17</v>
      </c>
      <c r="J642">
        <f t="shared" si="37"/>
        <v>1700</v>
      </c>
      <c r="K642" t="str">
        <f t="shared" ref="K642:K705" si="40">IF(B642&lt;25,"18-24",IF(B642&lt;35,"25-34","35+"))</f>
        <v>35+</v>
      </c>
      <c r="L642" t="str">
        <f t="shared" ca="1" si="38"/>
        <v>High Risk</v>
      </c>
      <c r="M642" t="str">
        <f t="shared" si="39"/>
        <v>Nov-2023</v>
      </c>
    </row>
    <row r="643" spans="1:13" x14ac:dyDescent="0.35">
      <c r="A643">
        <v>10642</v>
      </c>
      <c r="B643">
        <v>27</v>
      </c>
      <c r="C643" t="s">
        <v>9</v>
      </c>
      <c r="D643" t="s">
        <v>11</v>
      </c>
      <c r="E643" s="2">
        <v>45618</v>
      </c>
      <c r="F643" s="2">
        <v>46032</v>
      </c>
      <c r="G643">
        <v>1200</v>
      </c>
      <c r="H643" t="s">
        <v>14</v>
      </c>
      <c r="I643" t="s">
        <v>16</v>
      </c>
      <c r="J643">
        <f t="shared" ref="J643:J706" si="41">IF(D643="Monthly",G643,IF(D643="Quarterly",G643*3,G643*12))</f>
        <v>1200</v>
      </c>
      <c r="K643" t="str">
        <f t="shared" si="40"/>
        <v>25-34</v>
      </c>
      <c r="L643" t="str">
        <f t="shared" ref="L643:L706" ca="1" si="42">IF(F643&lt;TODAY()-30,"High Risk","Safe")</f>
        <v>Safe</v>
      </c>
      <c r="M643" t="str">
        <f t="shared" ref="M643:M706" si="43">TEXT(E643,"mmm-yyyy")</f>
        <v>Nov-2024</v>
      </c>
    </row>
    <row r="644" spans="1:13" x14ac:dyDescent="0.35">
      <c r="A644">
        <v>10643</v>
      </c>
      <c r="B644">
        <v>43</v>
      </c>
      <c r="C644" t="s">
        <v>10</v>
      </c>
      <c r="D644" t="s">
        <v>13</v>
      </c>
      <c r="E644" s="2">
        <v>45764</v>
      </c>
      <c r="F644" s="2">
        <v>46011</v>
      </c>
      <c r="G644">
        <v>1500</v>
      </c>
      <c r="H644" t="s">
        <v>15</v>
      </c>
      <c r="I644" t="s">
        <v>16</v>
      </c>
      <c r="J644">
        <f t="shared" si="41"/>
        <v>4500</v>
      </c>
      <c r="K644" t="str">
        <f t="shared" si="40"/>
        <v>35+</v>
      </c>
      <c r="L644" t="str">
        <f t="shared" ca="1" si="42"/>
        <v>Safe</v>
      </c>
      <c r="M644" t="str">
        <f t="shared" si="43"/>
        <v>Apr-2025</v>
      </c>
    </row>
    <row r="645" spans="1:13" x14ac:dyDescent="0.35">
      <c r="A645">
        <v>10644</v>
      </c>
      <c r="B645">
        <v>19</v>
      </c>
      <c r="C645" t="s">
        <v>9</v>
      </c>
      <c r="D645" t="s">
        <v>11</v>
      </c>
      <c r="E645" s="2">
        <v>45507</v>
      </c>
      <c r="F645" s="2">
        <v>45967</v>
      </c>
      <c r="G645">
        <v>1200</v>
      </c>
      <c r="H645" t="s">
        <v>14</v>
      </c>
      <c r="I645" t="s">
        <v>17</v>
      </c>
      <c r="J645">
        <f t="shared" si="41"/>
        <v>1200</v>
      </c>
      <c r="K645" t="str">
        <f t="shared" si="40"/>
        <v>18-24</v>
      </c>
      <c r="L645" t="str">
        <f t="shared" ca="1" si="42"/>
        <v>High Risk</v>
      </c>
      <c r="M645" t="str">
        <f t="shared" si="43"/>
        <v>Aug-2024</v>
      </c>
    </row>
    <row r="646" spans="1:13" x14ac:dyDescent="0.35">
      <c r="A646">
        <v>10645</v>
      </c>
      <c r="B646">
        <v>36</v>
      </c>
      <c r="C646" t="s">
        <v>10</v>
      </c>
      <c r="D646" t="s">
        <v>12</v>
      </c>
      <c r="E646" s="2">
        <v>45608</v>
      </c>
      <c r="F646" s="2">
        <v>45997</v>
      </c>
      <c r="G646">
        <v>800</v>
      </c>
      <c r="H646" t="s">
        <v>14</v>
      </c>
      <c r="I646" t="s">
        <v>17</v>
      </c>
      <c r="J646">
        <f t="shared" si="41"/>
        <v>9600</v>
      </c>
      <c r="K646" t="str">
        <f t="shared" si="40"/>
        <v>35+</v>
      </c>
      <c r="L646" t="str">
        <f t="shared" ca="1" si="42"/>
        <v>High Risk</v>
      </c>
      <c r="M646" t="str">
        <f t="shared" si="43"/>
        <v>Nov-2024</v>
      </c>
    </row>
    <row r="647" spans="1:13" x14ac:dyDescent="0.35">
      <c r="A647">
        <v>10646</v>
      </c>
      <c r="B647">
        <v>26</v>
      </c>
      <c r="C647" t="s">
        <v>9</v>
      </c>
      <c r="D647" t="s">
        <v>12</v>
      </c>
      <c r="E647" s="2">
        <v>45176</v>
      </c>
      <c r="F647" s="2">
        <v>45975</v>
      </c>
      <c r="G647">
        <v>1300</v>
      </c>
      <c r="H647" t="s">
        <v>15</v>
      </c>
      <c r="I647" t="s">
        <v>17</v>
      </c>
      <c r="J647">
        <f t="shared" si="41"/>
        <v>15600</v>
      </c>
      <c r="K647" t="str">
        <f t="shared" si="40"/>
        <v>25-34</v>
      </c>
      <c r="L647" t="str">
        <f t="shared" ca="1" si="42"/>
        <v>High Risk</v>
      </c>
      <c r="M647" t="str">
        <f t="shared" si="43"/>
        <v>Sep-2023</v>
      </c>
    </row>
    <row r="648" spans="1:13" x14ac:dyDescent="0.35">
      <c r="A648">
        <v>10647</v>
      </c>
      <c r="B648">
        <v>24</v>
      </c>
      <c r="C648" t="s">
        <v>9</v>
      </c>
      <c r="D648" t="s">
        <v>13</v>
      </c>
      <c r="E648" s="2">
        <v>45716</v>
      </c>
      <c r="F648" s="2">
        <v>46021</v>
      </c>
      <c r="G648">
        <v>1500</v>
      </c>
      <c r="H648" t="s">
        <v>15</v>
      </c>
      <c r="I648" t="s">
        <v>16</v>
      </c>
      <c r="J648">
        <f t="shared" si="41"/>
        <v>4500</v>
      </c>
      <c r="K648" t="str">
        <f t="shared" si="40"/>
        <v>18-24</v>
      </c>
      <c r="L648" t="str">
        <f t="shared" ca="1" si="42"/>
        <v>Safe</v>
      </c>
      <c r="M648" t="str">
        <f t="shared" si="43"/>
        <v>Feb-2025</v>
      </c>
    </row>
    <row r="649" spans="1:13" x14ac:dyDescent="0.35">
      <c r="A649">
        <v>10648</v>
      </c>
      <c r="B649">
        <v>21</v>
      </c>
      <c r="C649" t="s">
        <v>9</v>
      </c>
      <c r="D649" t="s">
        <v>13</v>
      </c>
      <c r="E649" s="2">
        <v>45212</v>
      </c>
      <c r="F649" s="2">
        <v>45996</v>
      </c>
      <c r="G649">
        <v>1000</v>
      </c>
      <c r="H649" t="s">
        <v>14</v>
      </c>
      <c r="I649" t="s">
        <v>17</v>
      </c>
      <c r="J649">
        <f t="shared" si="41"/>
        <v>3000</v>
      </c>
      <c r="K649" t="str">
        <f t="shared" si="40"/>
        <v>18-24</v>
      </c>
      <c r="L649" t="str">
        <f t="shared" ca="1" si="42"/>
        <v>High Risk</v>
      </c>
      <c r="M649" t="str">
        <f t="shared" si="43"/>
        <v>Oct-2023</v>
      </c>
    </row>
    <row r="650" spans="1:13" x14ac:dyDescent="0.35">
      <c r="A650">
        <v>10649</v>
      </c>
      <c r="B650">
        <v>43</v>
      </c>
      <c r="C650" t="s">
        <v>10</v>
      </c>
      <c r="D650" t="s">
        <v>12</v>
      </c>
      <c r="E650" s="2">
        <v>45685</v>
      </c>
      <c r="F650" s="2">
        <v>46014</v>
      </c>
      <c r="G650">
        <v>800</v>
      </c>
      <c r="H650" t="s">
        <v>14</v>
      </c>
      <c r="I650" t="s">
        <v>16</v>
      </c>
      <c r="J650">
        <f t="shared" si="41"/>
        <v>9600</v>
      </c>
      <c r="K650" t="str">
        <f t="shared" si="40"/>
        <v>35+</v>
      </c>
      <c r="L650" t="str">
        <f t="shared" ca="1" si="42"/>
        <v>Safe</v>
      </c>
      <c r="M650" t="str">
        <f t="shared" si="43"/>
        <v>Jan-2025</v>
      </c>
    </row>
    <row r="651" spans="1:13" x14ac:dyDescent="0.35">
      <c r="A651">
        <v>10650</v>
      </c>
      <c r="B651">
        <v>38</v>
      </c>
      <c r="C651" t="s">
        <v>9</v>
      </c>
      <c r="D651" t="s">
        <v>11</v>
      </c>
      <c r="E651" s="2">
        <v>45562</v>
      </c>
      <c r="F651" s="2">
        <v>45935</v>
      </c>
      <c r="G651">
        <v>1200</v>
      </c>
      <c r="H651" t="s">
        <v>14</v>
      </c>
      <c r="I651" t="s">
        <v>17</v>
      </c>
      <c r="J651">
        <f t="shared" si="41"/>
        <v>1200</v>
      </c>
      <c r="K651" t="str">
        <f t="shared" si="40"/>
        <v>35+</v>
      </c>
      <c r="L651" t="str">
        <f t="shared" ca="1" si="42"/>
        <v>High Risk</v>
      </c>
      <c r="M651" t="str">
        <f t="shared" si="43"/>
        <v>Sep-2024</v>
      </c>
    </row>
    <row r="652" spans="1:13" x14ac:dyDescent="0.35">
      <c r="A652">
        <v>10651</v>
      </c>
      <c r="B652">
        <v>35</v>
      </c>
      <c r="C652" t="s">
        <v>10</v>
      </c>
      <c r="D652" t="s">
        <v>12</v>
      </c>
      <c r="E652" s="2">
        <v>45675</v>
      </c>
      <c r="F652" s="2">
        <v>46026</v>
      </c>
      <c r="G652">
        <v>1300</v>
      </c>
      <c r="H652" t="s">
        <v>15</v>
      </c>
      <c r="I652" t="s">
        <v>16</v>
      </c>
      <c r="J652">
        <f t="shared" si="41"/>
        <v>15600</v>
      </c>
      <c r="K652" t="str">
        <f t="shared" si="40"/>
        <v>35+</v>
      </c>
      <c r="L652" t="str">
        <f t="shared" ca="1" si="42"/>
        <v>Safe</v>
      </c>
      <c r="M652" t="str">
        <f t="shared" si="43"/>
        <v>Jan-2025</v>
      </c>
    </row>
    <row r="653" spans="1:13" x14ac:dyDescent="0.35">
      <c r="A653">
        <v>10652</v>
      </c>
      <c r="B653">
        <v>30</v>
      </c>
      <c r="C653" t="s">
        <v>9</v>
      </c>
      <c r="D653" t="s">
        <v>12</v>
      </c>
      <c r="E653" s="2">
        <v>45784</v>
      </c>
      <c r="F653" s="2">
        <v>45942</v>
      </c>
      <c r="G653">
        <v>1300</v>
      </c>
      <c r="H653" t="s">
        <v>15</v>
      </c>
      <c r="I653" t="s">
        <v>17</v>
      </c>
      <c r="J653">
        <f t="shared" si="41"/>
        <v>15600</v>
      </c>
      <c r="K653" t="str">
        <f t="shared" si="40"/>
        <v>25-34</v>
      </c>
      <c r="L653" t="str">
        <f t="shared" ca="1" si="42"/>
        <v>High Risk</v>
      </c>
      <c r="M653" t="str">
        <f t="shared" si="43"/>
        <v>May-2025</v>
      </c>
    </row>
    <row r="654" spans="1:13" x14ac:dyDescent="0.35">
      <c r="A654">
        <v>10653</v>
      </c>
      <c r="B654">
        <v>28</v>
      </c>
      <c r="C654" t="s">
        <v>9</v>
      </c>
      <c r="D654" t="s">
        <v>13</v>
      </c>
      <c r="E654" s="2">
        <v>45292</v>
      </c>
      <c r="F654" s="2">
        <v>46026</v>
      </c>
      <c r="G654">
        <v>1000</v>
      </c>
      <c r="H654" t="s">
        <v>14</v>
      </c>
      <c r="I654" t="s">
        <v>16</v>
      </c>
      <c r="J654">
        <f t="shared" si="41"/>
        <v>3000</v>
      </c>
      <c r="K654" t="str">
        <f t="shared" si="40"/>
        <v>25-34</v>
      </c>
      <c r="L654" t="str">
        <f t="shared" ca="1" si="42"/>
        <v>Safe</v>
      </c>
      <c r="M654" t="str">
        <f t="shared" si="43"/>
        <v>Jan-2024</v>
      </c>
    </row>
    <row r="655" spans="1:13" x14ac:dyDescent="0.35">
      <c r="A655">
        <v>10654</v>
      </c>
      <c r="B655">
        <v>41</v>
      </c>
      <c r="C655" t="s">
        <v>9</v>
      </c>
      <c r="D655" t="s">
        <v>13</v>
      </c>
      <c r="E655" s="2">
        <v>45926</v>
      </c>
      <c r="F655" s="2">
        <v>45963</v>
      </c>
      <c r="G655">
        <v>1000</v>
      </c>
      <c r="H655" t="s">
        <v>14</v>
      </c>
      <c r="I655" t="s">
        <v>17</v>
      </c>
      <c r="J655">
        <f t="shared" si="41"/>
        <v>3000</v>
      </c>
      <c r="K655" t="str">
        <f t="shared" si="40"/>
        <v>35+</v>
      </c>
      <c r="L655" t="str">
        <f t="shared" ca="1" si="42"/>
        <v>High Risk</v>
      </c>
      <c r="M655" t="str">
        <f t="shared" si="43"/>
        <v>Sep-2025</v>
      </c>
    </row>
    <row r="656" spans="1:13" x14ac:dyDescent="0.35">
      <c r="A656">
        <v>10655</v>
      </c>
      <c r="B656">
        <v>21</v>
      </c>
      <c r="C656" t="s">
        <v>9</v>
      </c>
      <c r="D656" t="s">
        <v>11</v>
      </c>
      <c r="E656" s="2">
        <v>45882</v>
      </c>
      <c r="F656" s="2">
        <v>46008</v>
      </c>
      <c r="G656">
        <v>1700</v>
      </c>
      <c r="H656" t="s">
        <v>15</v>
      </c>
      <c r="I656" t="s">
        <v>16</v>
      </c>
      <c r="J656">
        <f t="shared" si="41"/>
        <v>1700</v>
      </c>
      <c r="K656" t="str">
        <f t="shared" si="40"/>
        <v>18-24</v>
      </c>
      <c r="L656" t="str">
        <f t="shared" ca="1" si="42"/>
        <v>Safe</v>
      </c>
      <c r="M656" t="str">
        <f t="shared" si="43"/>
        <v>Aug-2025</v>
      </c>
    </row>
    <row r="657" spans="1:13" x14ac:dyDescent="0.35">
      <c r="A657">
        <v>10656</v>
      </c>
      <c r="B657">
        <v>42</v>
      </c>
      <c r="C657" t="s">
        <v>9</v>
      </c>
      <c r="D657" t="s">
        <v>11</v>
      </c>
      <c r="E657" s="2">
        <v>45769</v>
      </c>
      <c r="F657" s="2">
        <v>46010</v>
      </c>
      <c r="G657">
        <v>1200</v>
      </c>
      <c r="H657" t="s">
        <v>14</v>
      </c>
      <c r="I657" t="s">
        <v>16</v>
      </c>
      <c r="J657">
        <f t="shared" si="41"/>
        <v>1200</v>
      </c>
      <c r="K657" t="str">
        <f t="shared" si="40"/>
        <v>35+</v>
      </c>
      <c r="L657" t="str">
        <f t="shared" ca="1" si="42"/>
        <v>Safe</v>
      </c>
      <c r="M657" t="str">
        <f t="shared" si="43"/>
        <v>Apr-2025</v>
      </c>
    </row>
    <row r="658" spans="1:13" x14ac:dyDescent="0.35">
      <c r="A658">
        <v>10657</v>
      </c>
      <c r="B658">
        <v>38</v>
      </c>
      <c r="C658" t="s">
        <v>10</v>
      </c>
      <c r="D658" t="s">
        <v>12</v>
      </c>
      <c r="E658" s="2">
        <v>45787</v>
      </c>
      <c r="F658" s="2">
        <v>46015</v>
      </c>
      <c r="G658">
        <v>1300</v>
      </c>
      <c r="H658" t="s">
        <v>15</v>
      </c>
      <c r="I658" t="s">
        <v>16</v>
      </c>
      <c r="J658">
        <f t="shared" si="41"/>
        <v>15600</v>
      </c>
      <c r="K658" t="str">
        <f t="shared" si="40"/>
        <v>35+</v>
      </c>
      <c r="L658" t="str">
        <f t="shared" ca="1" si="42"/>
        <v>Safe</v>
      </c>
      <c r="M658" t="str">
        <f t="shared" si="43"/>
        <v>May-2025</v>
      </c>
    </row>
    <row r="659" spans="1:13" x14ac:dyDescent="0.35">
      <c r="A659">
        <v>10658</v>
      </c>
      <c r="B659">
        <v>42</v>
      </c>
      <c r="C659" t="s">
        <v>10</v>
      </c>
      <c r="D659" t="s">
        <v>11</v>
      </c>
      <c r="E659" s="2">
        <v>45367</v>
      </c>
      <c r="F659" s="2">
        <v>46026</v>
      </c>
      <c r="G659">
        <v>1700</v>
      </c>
      <c r="H659" t="s">
        <v>15</v>
      </c>
      <c r="I659" t="s">
        <v>16</v>
      </c>
      <c r="J659">
        <f t="shared" si="41"/>
        <v>1700</v>
      </c>
      <c r="K659" t="str">
        <f t="shared" si="40"/>
        <v>35+</v>
      </c>
      <c r="L659" t="str">
        <f t="shared" ca="1" si="42"/>
        <v>Safe</v>
      </c>
      <c r="M659" t="str">
        <f t="shared" si="43"/>
        <v>Mar-2024</v>
      </c>
    </row>
    <row r="660" spans="1:13" x14ac:dyDescent="0.35">
      <c r="A660">
        <v>10659</v>
      </c>
      <c r="B660">
        <v>21</v>
      </c>
      <c r="C660" t="s">
        <v>10</v>
      </c>
      <c r="D660" t="s">
        <v>12</v>
      </c>
      <c r="E660" s="2">
        <v>45381</v>
      </c>
      <c r="F660" s="2">
        <v>46002</v>
      </c>
      <c r="G660">
        <v>1300</v>
      </c>
      <c r="H660" t="s">
        <v>15</v>
      </c>
      <c r="I660" t="s">
        <v>17</v>
      </c>
      <c r="J660">
        <f t="shared" si="41"/>
        <v>15600</v>
      </c>
      <c r="K660" t="str">
        <f t="shared" si="40"/>
        <v>18-24</v>
      </c>
      <c r="L660" t="str">
        <f t="shared" ca="1" si="42"/>
        <v>High Risk</v>
      </c>
      <c r="M660" t="str">
        <f t="shared" si="43"/>
        <v>Mar-2024</v>
      </c>
    </row>
    <row r="661" spans="1:13" x14ac:dyDescent="0.35">
      <c r="A661">
        <v>10660</v>
      </c>
      <c r="B661">
        <v>27</v>
      </c>
      <c r="C661" t="s">
        <v>10</v>
      </c>
      <c r="D661" t="s">
        <v>11</v>
      </c>
      <c r="E661" s="2">
        <v>45418</v>
      </c>
      <c r="F661" s="2">
        <v>46027</v>
      </c>
      <c r="G661">
        <v>1200</v>
      </c>
      <c r="H661" t="s">
        <v>14</v>
      </c>
      <c r="I661" t="s">
        <v>16</v>
      </c>
      <c r="J661">
        <f t="shared" si="41"/>
        <v>1200</v>
      </c>
      <c r="K661" t="str">
        <f t="shared" si="40"/>
        <v>25-34</v>
      </c>
      <c r="L661" t="str">
        <f t="shared" ca="1" si="42"/>
        <v>Safe</v>
      </c>
      <c r="M661" t="str">
        <f t="shared" si="43"/>
        <v>May-2024</v>
      </c>
    </row>
    <row r="662" spans="1:13" x14ac:dyDescent="0.35">
      <c r="A662">
        <v>10661</v>
      </c>
      <c r="B662">
        <v>22</v>
      </c>
      <c r="C662" t="s">
        <v>9</v>
      </c>
      <c r="D662" t="s">
        <v>11</v>
      </c>
      <c r="E662" s="2">
        <v>45322</v>
      </c>
      <c r="F662" s="2">
        <v>46021</v>
      </c>
      <c r="G662">
        <v>1200</v>
      </c>
      <c r="H662" t="s">
        <v>14</v>
      </c>
      <c r="I662" t="s">
        <v>16</v>
      </c>
      <c r="J662">
        <f t="shared" si="41"/>
        <v>1200</v>
      </c>
      <c r="K662" t="str">
        <f t="shared" si="40"/>
        <v>18-24</v>
      </c>
      <c r="L662" t="str">
        <f t="shared" ca="1" si="42"/>
        <v>Safe</v>
      </c>
      <c r="M662" t="str">
        <f t="shared" si="43"/>
        <v>Jan-2024</v>
      </c>
    </row>
    <row r="663" spans="1:13" x14ac:dyDescent="0.35">
      <c r="A663">
        <v>10662</v>
      </c>
      <c r="B663">
        <v>26</v>
      </c>
      <c r="C663" t="s">
        <v>9</v>
      </c>
      <c r="D663" t="s">
        <v>11</v>
      </c>
      <c r="E663" s="2">
        <v>45885</v>
      </c>
      <c r="F663" s="2">
        <v>46030</v>
      </c>
      <c r="G663">
        <v>1200</v>
      </c>
      <c r="H663" t="s">
        <v>14</v>
      </c>
      <c r="I663" t="s">
        <v>16</v>
      </c>
      <c r="J663">
        <f t="shared" si="41"/>
        <v>1200</v>
      </c>
      <c r="K663" t="str">
        <f t="shared" si="40"/>
        <v>25-34</v>
      </c>
      <c r="L663" t="str">
        <f t="shared" ca="1" si="42"/>
        <v>Safe</v>
      </c>
      <c r="M663" t="str">
        <f t="shared" si="43"/>
        <v>Aug-2025</v>
      </c>
    </row>
    <row r="664" spans="1:13" x14ac:dyDescent="0.35">
      <c r="A664">
        <v>10663</v>
      </c>
      <c r="B664">
        <v>41</v>
      </c>
      <c r="C664" t="s">
        <v>9</v>
      </c>
      <c r="D664" t="s">
        <v>11</v>
      </c>
      <c r="E664" s="2">
        <v>45148</v>
      </c>
      <c r="F664" s="2">
        <v>46011</v>
      </c>
      <c r="G664">
        <v>1200</v>
      </c>
      <c r="H664" t="s">
        <v>14</v>
      </c>
      <c r="I664" t="s">
        <v>16</v>
      </c>
      <c r="J664">
        <f t="shared" si="41"/>
        <v>1200</v>
      </c>
      <c r="K664" t="str">
        <f t="shared" si="40"/>
        <v>35+</v>
      </c>
      <c r="L664" t="str">
        <f t="shared" ca="1" si="42"/>
        <v>Safe</v>
      </c>
      <c r="M664" t="str">
        <f t="shared" si="43"/>
        <v>Aug-2023</v>
      </c>
    </row>
    <row r="665" spans="1:13" x14ac:dyDescent="0.35">
      <c r="A665">
        <v>10664</v>
      </c>
      <c r="B665">
        <v>20</v>
      </c>
      <c r="C665" t="s">
        <v>10</v>
      </c>
      <c r="D665" t="s">
        <v>13</v>
      </c>
      <c r="E665" s="2">
        <v>45975</v>
      </c>
      <c r="F665" s="2">
        <v>46032</v>
      </c>
      <c r="G665">
        <v>1000</v>
      </c>
      <c r="H665" t="s">
        <v>14</v>
      </c>
      <c r="I665" t="s">
        <v>16</v>
      </c>
      <c r="J665">
        <f t="shared" si="41"/>
        <v>3000</v>
      </c>
      <c r="K665" t="str">
        <f t="shared" si="40"/>
        <v>18-24</v>
      </c>
      <c r="L665" t="str">
        <f t="shared" ca="1" si="42"/>
        <v>Safe</v>
      </c>
      <c r="M665" t="str">
        <f t="shared" si="43"/>
        <v>Nov-2025</v>
      </c>
    </row>
    <row r="666" spans="1:13" x14ac:dyDescent="0.35">
      <c r="A666">
        <v>10665</v>
      </c>
      <c r="B666">
        <v>34</v>
      </c>
      <c r="C666" t="s">
        <v>9</v>
      </c>
      <c r="D666" t="s">
        <v>11</v>
      </c>
      <c r="E666" s="2">
        <v>45657</v>
      </c>
      <c r="F666" s="2">
        <v>45993</v>
      </c>
      <c r="G666">
        <v>1700</v>
      </c>
      <c r="H666" t="s">
        <v>15</v>
      </c>
      <c r="I666" t="s">
        <v>17</v>
      </c>
      <c r="J666">
        <f t="shared" si="41"/>
        <v>1700</v>
      </c>
      <c r="K666" t="str">
        <f t="shared" si="40"/>
        <v>25-34</v>
      </c>
      <c r="L666" t="str">
        <f t="shared" ca="1" si="42"/>
        <v>High Risk</v>
      </c>
      <c r="M666" t="str">
        <f t="shared" si="43"/>
        <v>Dec-2024</v>
      </c>
    </row>
    <row r="667" spans="1:13" x14ac:dyDescent="0.35">
      <c r="A667">
        <v>10666</v>
      </c>
      <c r="B667">
        <v>20</v>
      </c>
      <c r="C667" t="s">
        <v>9</v>
      </c>
      <c r="D667" t="s">
        <v>12</v>
      </c>
      <c r="E667" s="2">
        <v>45510</v>
      </c>
      <c r="F667" s="2">
        <v>46021</v>
      </c>
      <c r="G667">
        <v>1300</v>
      </c>
      <c r="H667" t="s">
        <v>15</v>
      </c>
      <c r="I667" t="s">
        <v>16</v>
      </c>
      <c r="J667">
        <f t="shared" si="41"/>
        <v>15600</v>
      </c>
      <c r="K667" t="str">
        <f t="shared" si="40"/>
        <v>18-24</v>
      </c>
      <c r="L667" t="str">
        <f t="shared" ca="1" si="42"/>
        <v>Safe</v>
      </c>
      <c r="M667" t="str">
        <f t="shared" si="43"/>
        <v>Aug-2024</v>
      </c>
    </row>
    <row r="668" spans="1:13" x14ac:dyDescent="0.35">
      <c r="A668">
        <v>10667</v>
      </c>
      <c r="B668">
        <v>33</v>
      </c>
      <c r="C668" t="s">
        <v>9</v>
      </c>
      <c r="D668" t="s">
        <v>13</v>
      </c>
      <c r="E668" s="2">
        <v>45263</v>
      </c>
      <c r="F668" s="2">
        <v>46023</v>
      </c>
      <c r="G668">
        <v>1500</v>
      </c>
      <c r="H668" t="s">
        <v>15</v>
      </c>
      <c r="I668" t="s">
        <v>16</v>
      </c>
      <c r="J668">
        <f t="shared" si="41"/>
        <v>4500</v>
      </c>
      <c r="K668" t="str">
        <f t="shared" si="40"/>
        <v>25-34</v>
      </c>
      <c r="L668" t="str">
        <f t="shared" ca="1" si="42"/>
        <v>Safe</v>
      </c>
      <c r="M668" t="str">
        <f t="shared" si="43"/>
        <v>Dec-2023</v>
      </c>
    </row>
    <row r="669" spans="1:13" x14ac:dyDescent="0.35">
      <c r="A669">
        <v>10668</v>
      </c>
      <c r="B669">
        <v>21</v>
      </c>
      <c r="C669" t="s">
        <v>9</v>
      </c>
      <c r="D669" t="s">
        <v>11</v>
      </c>
      <c r="E669" s="2">
        <v>45466</v>
      </c>
      <c r="F669" s="2">
        <v>46018</v>
      </c>
      <c r="G669">
        <v>1700</v>
      </c>
      <c r="H669" t="s">
        <v>15</v>
      </c>
      <c r="I669" t="s">
        <v>16</v>
      </c>
      <c r="J669">
        <f t="shared" si="41"/>
        <v>1700</v>
      </c>
      <c r="K669" t="str">
        <f t="shared" si="40"/>
        <v>18-24</v>
      </c>
      <c r="L669" t="str">
        <f t="shared" ca="1" si="42"/>
        <v>Safe</v>
      </c>
      <c r="M669" t="str">
        <f t="shared" si="43"/>
        <v>Jun-2024</v>
      </c>
    </row>
    <row r="670" spans="1:13" x14ac:dyDescent="0.35">
      <c r="A670">
        <v>10669</v>
      </c>
      <c r="B670">
        <v>35</v>
      </c>
      <c r="C670" t="s">
        <v>10</v>
      </c>
      <c r="D670" t="s">
        <v>13</v>
      </c>
      <c r="E670" s="2">
        <v>45448</v>
      </c>
      <c r="F670" s="2">
        <v>46025</v>
      </c>
      <c r="G670">
        <v>1000</v>
      </c>
      <c r="H670" t="s">
        <v>14</v>
      </c>
      <c r="I670" t="s">
        <v>16</v>
      </c>
      <c r="J670">
        <f t="shared" si="41"/>
        <v>3000</v>
      </c>
      <c r="K670" t="str">
        <f t="shared" si="40"/>
        <v>35+</v>
      </c>
      <c r="L670" t="str">
        <f t="shared" ca="1" si="42"/>
        <v>Safe</v>
      </c>
      <c r="M670" t="str">
        <f t="shared" si="43"/>
        <v>Jun-2024</v>
      </c>
    </row>
    <row r="671" spans="1:13" x14ac:dyDescent="0.35">
      <c r="A671">
        <v>10670</v>
      </c>
      <c r="B671">
        <v>34</v>
      </c>
      <c r="C671" t="s">
        <v>10</v>
      </c>
      <c r="D671" t="s">
        <v>12</v>
      </c>
      <c r="E671" s="2">
        <v>45973</v>
      </c>
      <c r="F671" s="2">
        <v>46020</v>
      </c>
      <c r="G671">
        <v>800</v>
      </c>
      <c r="H671" t="s">
        <v>14</v>
      </c>
      <c r="I671" t="s">
        <v>16</v>
      </c>
      <c r="J671">
        <f t="shared" si="41"/>
        <v>9600</v>
      </c>
      <c r="K671" t="str">
        <f t="shared" si="40"/>
        <v>25-34</v>
      </c>
      <c r="L671" t="str">
        <f t="shared" ca="1" si="42"/>
        <v>Safe</v>
      </c>
      <c r="M671" t="str">
        <f t="shared" si="43"/>
        <v>Nov-2025</v>
      </c>
    </row>
    <row r="672" spans="1:13" x14ac:dyDescent="0.35">
      <c r="A672">
        <v>10671</v>
      </c>
      <c r="B672">
        <v>24</v>
      </c>
      <c r="C672" t="s">
        <v>9</v>
      </c>
      <c r="D672" t="s">
        <v>13</v>
      </c>
      <c r="E672" s="2">
        <v>45659</v>
      </c>
      <c r="F672" s="2">
        <v>45985</v>
      </c>
      <c r="G672">
        <v>1000</v>
      </c>
      <c r="H672" t="s">
        <v>14</v>
      </c>
      <c r="I672" t="s">
        <v>17</v>
      </c>
      <c r="J672">
        <f t="shared" si="41"/>
        <v>3000</v>
      </c>
      <c r="K672" t="str">
        <f t="shared" si="40"/>
        <v>18-24</v>
      </c>
      <c r="L672" t="str">
        <f t="shared" ca="1" si="42"/>
        <v>High Risk</v>
      </c>
      <c r="M672" t="str">
        <f t="shared" si="43"/>
        <v>Jan-2025</v>
      </c>
    </row>
    <row r="673" spans="1:13" x14ac:dyDescent="0.35">
      <c r="A673">
        <v>10672</v>
      </c>
      <c r="B673">
        <v>41</v>
      </c>
      <c r="C673" t="s">
        <v>10</v>
      </c>
      <c r="D673" t="s">
        <v>11</v>
      </c>
      <c r="E673" s="2">
        <v>45933</v>
      </c>
      <c r="F673" s="2">
        <v>46030</v>
      </c>
      <c r="G673">
        <v>1700</v>
      </c>
      <c r="H673" t="s">
        <v>15</v>
      </c>
      <c r="I673" t="s">
        <v>16</v>
      </c>
      <c r="J673">
        <f t="shared" si="41"/>
        <v>1700</v>
      </c>
      <c r="K673" t="str">
        <f t="shared" si="40"/>
        <v>35+</v>
      </c>
      <c r="L673" t="str">
        <f t="shared" ca="1" si="42"/>
        <v>Safe</v>
      </c>
      <c r="M673" t="str">
        <f t="shared" si="43"/>
        <v>Oct-2025</v>
      </c>
    </row>
    <row r="674" spans="1:13" x14ac:dyDescent="0.35">
      <c r="A674">
        <v>10673</v>
      </c>
      <c r="B674">
        <v>40</v>
      </c>
      <c r="C674" t="s">
        <v>9</v>
      </c>
      <c r="D674" t="s">
        <v>12</v>
      </c>
      <c r="E674" s="2">
        <v>45663</v>
      </c>
      <c r="F674" s="2">
        <v>46031</v>
      </c>
      <c r="G674">
        <v>1300</v>
      </c>
      <c r="H674" t="s">
        <v>15</v>
      </c>
      <c r="I674" t="s">
        <v>16</v>
      </c>
      <c r="J674">
        <f t="shared" si="41"/>
        <v>15600</v>
      </c>
      <c r="K674" t="str">
        <f t="shared" si="40"/>
        <v>35+</v>
      </c>
      <c r="L674" t="str">
        <f t="shared" ca="1" si="42"/>
        <v>Safe</v>
      </c>
      <c r="M674" t="str">
        <f t="shared" si="43"/>
        <v>Jan-2025</v>
      </c>
    </row>
    <row r="675" spans="1:13" x14ac:dyDescent="0.35">
      <c r="A675">
        <v>10674</v>
      </c>
      <c r="B675">
        <v>22</v>
      </c>
      <c r="C675" t="s">
        <v>9</v>
      </c>
      <c r="D675" t="s">
        <v>12</v>
      </c>
      <c r="E675" s="2">
        <v>45820</v>
      </c>
      <c r="F675" s="2">
        <v>46021</v>
      </c>
      <c r="G675">
        <v>800</v>
      </c>
      <c r="H675" t="s">
        <v>14</v>
      </c>
      <c r="I675" t="s">
        <v>16</v>
      </c>
      <c r="J675">
        <f t="shared" si="41"/>
        <v>9600</v>
      </c>
      <c r="K675" t="str">
        <f t="shared" si="40"/>
        <v>18-24</v>
      </c>
      <c r="L675" t="str">
        <f t="shared" ca="1" si="42"/>
        <v>Safe</v>
      </c>
      <c r="M675" t="str">
        <f t="shared" si="43"/>
        <v>Jun-2025</v>
      </c>
    </row>
    <row r="676" spans="1:13" x14ac:dyDescent="0.35">
      <c r="A676">
        <v>10675</v>
      </c>
      <c r="B676">
        <v>29</v>
      </c>
      <c r="C676" t="s">
        <v>9</v>
      </c>
      <c r="D676" t="s">
        <v>11</v>
      </c>
      <c r="E676" s="2">
        <v>45689</v>
      </c>
      <c r="F676" s="2">
        <v>45930</v>
      </c>
      <c r="G676">
        <v>1700</v>
      </c>
      <c r="H676" t="s">
        <v>15</v>
      </c>
      <c r="I676" t="s">
        <v>17</v>
      </c>
      <c r="J676">
        <f t="shared" si="41"/>
        <v>1700</v>
      </c>
      <c r="K676" t="str">
        <f t="shared" si="40"/>
        <v>25-34</v>
      </c>
      <c r="L676" t="str">
        <f t="shared" ca="1" si="42"/>
        <v>High Risk</v>
      </c>
      <c r="M676" t="str">
        <f t="shared" si="43"/>
        <v>Feb-2025</v>
      </c>
    </row>
    <row r="677" spans="1:13" x14ac:dyDescent="0.35">
      <c r="A677">
        <v>10676</v>
      </c>
      <c r="B677">
        <v>34</v>
      </c>
      <c r="C677" t="s">
        <v>9</v>
      </c>
      <c r="D677" t="s">
        <v>11</v>
      </c>
      <c r="E677" s="2">
        <v>45413</v>
      </c>
      <c r="F677" s="2">
        <v>46025</v>
      </c>
      <c r="G677">
        <v>1200</v>
      </c>
      <c r="H677" t="s">
        <v>14</v>
      </c>
      <c r="I677" t="s">
        <v>16</v>
      </c>
      <c r="J677">
        <f t="shared" si="41"/>
        <v>1200</v>
      </c>
      <c r="K677" t="str">
        <f t="shared" si="40"/>
        <v>25-34</v>
      </c>
      <c r="L677" t="str">
        <f t="shared" ca="1" si="42"/>
        <v>Safe</v>
      </c>
      <c r="M677" t="str">
        <f t="shared" si="43"/>
        <v>May-2024</v>
      </c>
    </row>
    <row r="678" spans="1:13" x14ac:dyDescent="0.35">
      <c r="A678">
        <v>10677</v>
      </c>
      <c r="B678">
        <v>40</v>
      </c>
      <c r="C678" t="s">
        <v>9</v>
      </c>
      <c r="D678" t="s">
        <v>13</v>
      </c>
      <c r="E678" s="2">
        <v>45468</v>
      </c>
      <c r="F678" s="2">
        <v>46015</v>
      </c>
      <c r="G678">
        <v>1000</v>
      </c>
      <c r="H678" t="s">
        <v>14</v>
      </c>
      <c r="I678" t="s">
        <v>16</v>
      </c>
      <c r="J678">
        <f t="shared" si="41"/>
        <v>3000</v>
      </c>
      <c r="K678" t="str">
        <f t="shared" si="40"/>
        <v>35+</v>
      </c>
      <c r="L678" t="str">
        <f t="shared" ca="1" si="42"/>
        <v>Safe</v>
      </c>
      <c r="M678" t="str">
        <f t="shared" si="43"/>
        <v>Jun-2024</v>
      </c>
    </row>
    <row r="679" spans="1:13" x14ac:dyDescent="0.35">
      <c r="A679">
        <v>10678</v>
      </c>
      <c r="B679">
        <v>30</v>
      </c>
      <c r="C679" t="s">
        <v>10</v>
      </c>
      <c r="D679" t="s">
        <v>11</v>
      </c>
      <c r="E679" s="2">
        <v>45817</v>
      </c>
      <c r="F679" s="2">
        <v>46027</v>
      </c>
      <c r="G679">
        <v>1200</v>
      </c>
      <c r="H679" t="s">
        <v>14</v>
      </c>
      <c r="I679" t="s">
        <v>16</v>
      </c>
      <c r="J679">
        <f t="shared" si="41"/>
        <v>1200</v>
      </c>
      <c r="K679" t="str">
        <f t="shared" si="40"/>
        <v>25-34</v>
      </c>
      <c r="L679" t="str">
        <f t="shared" ca="1" si="42"/>
        <v>Safe</v>
      </c>
      <c r="M679" t="str">
        <f t="shared" si="43"/>
        <v>Jun-2025</v>
      </c>
    </row>
    <row r="680" spans="1:13" x14ac:dyDescent="0.35">
      <c r="A680">
        <v>10679</v>
      </c>
      <c r="B680">
        <v>40</v>
      </c>
      <c r="C680" t="s">
        <v>9</v>
      </c>
      <c r="D680" t="s">
        <v>12</v>
      </c>
      <c r="E680" s="2">
        <v>45524</v>
      </c>
      <c r="F680" s="2">
        <v>46010</v>
      </c>
      <c r="G680">
        <v>800</v>
      </c>
      <c r="H680" t="s">
        <v>14</v>
      </c>
      <c r="I680" t="s">
        <v>16</v>
      </c>
      <c r="J680">
        <f t="shared" si="41"/>
        <v>9600</v>
      </c>
      <c r="K680" t="str">
        <f t="shared" si="40"/>
        <v>35+</v>
      </c>
      <c r="L680" t="str">
        <f t="shared" ca="1" si="42"/>
        <v>Safe</v>
      </c>
      <c r="M680" t="str">
        <f t="shared" si="43"/>
        <v>Aug-2024</v>
      </c>
    </row>
    <row r="681" spans="1:13" x14ac:dyDescent="0.35">
      <c r="A681">
        <v>10680</v>
      </c>
      <c r="B681">
        <v>42</v>
      </c>
      <c r="C681" t="s">
        <v>10</v>
      </c>
      <c r="D681" t="s">
        <v>11</v>
      </c>
      <c r="E681" s="2">
        <v>45664</v>
      </c>
      <c r="F681" s="2">
        <v>46017</v>
      </c>
      <c r="G681">
        <v>1200</v>
      </c>
      <c r="H681" t="s">
        <v>14</v>
      </c>
      <c r="I681" t="s">
        <v>16</v>
      </c>
      <c r="J681">
        <f t="shared" si="41"/>
        <v>1200</v>
      </c>
      <c r="K681" t="str">
        <f t="shared" si="40"/>
        <v>35+</v>
      </c>
      <c r="L681" t="str">
        <f t="shared" ca="1" si="42"/>
        <v>Safe</v>
      </c>
      <c r="M681" t="str">
        <f t="shared" si="43"/>
        <v>Jan-2025</v>
      </c>
    </row>
    <row r="682" spans="1:13" x14ac:dyDescent="0.35">
      <c r="A682">
        <v>10681</v>
      </c>
      <c r="B682">
        <v>20</v>
      </c>
      <c r="C682" t="s">
        <v>9</v>
      </c>
      <c r="D682" t="s">
        <v>12</v>
      </c>
      <c r="E682" s="2">
        <v>45248</v>
      </c>
      <c r="F682" s="2">
        <v>46032</v>
      </c>
      <c r="G682">
        <v>1300</v>
      </c>
      <c r="H682" t="s">
        <v>15</v>
      </c>
      <c r="I682" t="s">
        <v>16</v>
      </c>
      <c r="J682">
        <f t="shared" si="41"/>
        <v>15600</v>
      </c>
      <c r="K682" t="str">
        <f t="shared" si="40"/>
        <v>18-24</v>
      </c>
      <c r="L682" t="str">
        <f t="shared" ca="1" si="42"/>
        <v>Safe</v>
      </c>
      <c r="M682" t="str">
        <f t="shared" si="43"/>
        <v>Nov-2023</v>
      </c>
    </row>
    <row r="683" spans="1:13" x14ac:dyDescent="0.35">
      <c r="A683">
        <v>10682</v>
      </c>
      <c r="B683">
        <v>26</v>
      </c>
      <c r="C683" t="s">
        <v>9</v>
      </c>
      <c r="D683" t="s">
        <v>13</v>
      </c>
      <c r="E683" s="2">
        <v>45501</v>
      </c>
      <c r="F683" s="2">
        <v>46013</v>
      </c>
      <c r="G683">
        <v>1000</v>
      </c>
      <c r="H683" t="s">
        <v>14</v>
      </c>
      <c r="I683" t="s">
        <v>16</v>
      </c>
      <c r="J683">
        <f t="shared" si="41"/>
        <v>3000</v>
      </c>
      <c r="K683" t="str">
        <f t="shared" si="40"/>
        <v>25-34</v>
      </c>
      <c r="L683" t="str">
        <f t="shared" ca="1" si="42"/>
        <v>Safe</v>
      </c>
      <c r="M683" t="str">
        <f t="shared" si="43"/>
        <v>Jul-2024</v>
      </c>
    </row>
    <row r="684" spans="1:13" x14ac:dyDescent="0.35">
      <c r="A684">
        <v>10683</v>
      </c>
      <c r="B684">
        <v>34</v>
      </c>
      <c r="C684" t="s">
        <v>9</v>
      </c>
      <c r="D684" t="s">
        <v>11</v>
      </c>
      <c r="E684" s="2">
        <v>45147</v>
      </c>
      <c r="F684" s="2">
        <v>46014</v>
      </c>
      <c r="G684">
        <v>1700</v>
      </c>
      <c r="H684" t="s">
        <v>15</v>
      </c>
      <c r="I684" t="s">
        <v>16</v>
      </c>
      <c r="J684">
        <f t="shared" si="41"/>
        <v>1700</v>
      </c>
      <c r="K684" t="str">
        <f t="shared" si="40"/>
        <v>25-34</v>
      </c>
      <c r="L684" t="str">
        <f t="shared" ca="1" si="42"/>
        <v>Safe</v>
      </c>
      <c r="M684" t="str">
        <f t="shared" si="43"/>
        <v>Aug-2023</v>
      </c>
    </row>
    <row r="685" spans="1:13" x14ac:dyDescent="0.35">
      <c r="A685">
        <v>10684</v>
      </c>
      <c r="B685">
        <v>34</v>
      </c>
      <c r="C685" t="s">
        <v>9</v>
      </c>
      <c r="D685" t="s">
        <v>11</v>
      </c>
      <c r="E685" s="2">
        <v>45191</v>
      </c>
      <c r="F685" s="2">
        <v>46013</v>
      </c>
      <c r="G685">
        <v>1700</v>
      </c>
      <c r="H685" t="s">
        <v>15</v>
      </c>
      <c r="I685" t="s">
        <v>16</v>
      </c>
      <c r="J685">
        <f t="shared" si="41"/>
        <v>1700</v>
      </c>
      <c r="K685" t="str">
        <f t="shared" si="40"/>
        <v>25-34</v>
      </c>
      <c r="L685" t="str">
        <f t="shared" ca="1" si="42"/>
        <v>Safe</v>
      </c>
      <c r="M685" t="str">
        <f t="shared" si="43"/>
        <v>Sep-2023</v>
      </c>
    </row>
    <row r="686" spans="1:13" x14ac:dyDescent="0.35">
      <c r="A686">
        <v>10685</v>
      </c>
      <c r="B686">
        <v>37</v>
      </c>
      <c r="C686" t="s">
        <v>9</v>
      </c>
      <c r="D686" t="s">
        <v>13</v>
      </c>
      <c r="E686" s="2">
        <v>45351</v>
      </c>
      <c r="F686" s="2">
        <v>45986</v>
      </c>
      <c r="G686">
        <v>1000</v>
      </c>
      <c r="H686" t="s">
        <v>14</v>
      </c>
      <c r="I686" t="s">
        <v>17</v>
      </c>
      <c r="J686">
        <f t="shared" si="41"/>
        <v>3000</v>
      </c>
      <c r="K686" t="str">
        <f t="shared" si="40"/>
        <v>35+</v>
      </c>
      <c r="L686" t="str">
        <f t="shared" ca="1" si="42"/>
        <v>High Risk</v>
      </c>
      <c r="M686" t="str">
        <f t="shared" si="43"/>
        <v>Feb-2024</v>
      </c>
    </row>
    <row r="687" spans="1:13" x14ac:dyDescent="0.35">
      <c r="A687">
        <v>10686</v>
      </c>
      <c r="B687">
        <v>33</v>
      </c>
      <c r="C687" t="s">
        <v>10</v>
      </c>
      <c r="D687" t="s">
        <v>12</v>
      </c>
      <c r="E687" s="2">
        <v>45424</v>
      </c>
      <c r="F687" s="2">
        <v>45944</v>
      </c>
      <c r="G687">
        <v>800</v>
      </c>
      <c r="H687" t="s">
        <v>14</v>
      </c>
      <c r="I687" t="s">
        <v>17</v>
      </c>
      <c r="J687">
        <f t="shared" si="41"/>
        <v>9600</v>
      </c>
      <c r="K687" t="str">
        <f t="shared" si="40"/>
        <v>25-34</v>
      </c>
      <c r="L687" t="str">
        <f t="shared" ca="1" si="42"/>
        <v>High Risk</v>
      </c>
      <c r="M687" t="str">
        <f t="shared" si="43"/>
        <v>May-2024</v>
      </c>
    </row>
    <row r="688" spans="1:13" x14ac:dyDescent="0.35">
      <c r="A688">
        <v>10687</v>
      </c>
      <c r="B688">
        <v>42</v>
      </c>
      <c r="C688" t="s">
        <v>9</v>
      </c>
      <c r="D688" t="s">
        <v>12</v>
      </c>
      <c r="E688" s="2">
        <v>45758</v>
      </c>
      <c r="F688" s="2">
        <v>46011</v>
      </c>
      <c r="G688">
        <v>1300</v>
      </c>
      <c r="H688" t="s">
        <v>15</v>
      </c>
      <c r="I688" t="s">
        <v>16</v>
      </c>
      <c r="J688">
        <f t="shared" si="41"/>
        <v>15600</v>
      </c>
      <c r="K688" t="str">
        <f t="shared" si="40"/>
        <v>35+</v>
      </c>
      <c r="L688" t="str">
        <f t="shared" ca="1" si="42"/>
        <v>Safe</v>
      </c>
      <c r="M688" t="str">
        <f t="shared" si="43"/>
        <v>Apr-2025</v>
      </c>
    </row>
    <row r="689" spans="1:13" x14ac:dyDescent="0.35">
      <c r="A689">
        <v>10688</v>
      </c>
      <c r="B689">
        <v>39</v>
      </c>
      <c r="C689" t="s">
        <v>9</v>
      </c>
      <c r="D689" t="s">
        <v>11</v>
      </c>
      <c r="E689" s="2">
        <v>45635</v>
      </c>
      <c r="F689" s="2">
        <v>45980</v>
      </c>
      <c r="G689">
        <v>1200</v>
      </c>
      <c r="H689" t="s">
        <v>14</v>
      </c>
      <c r="I689" t="s">
        <v>17</v>
      </c>
      <c r="J689">
        <f t="shared" si="41"/>
        <v>1200</v>
      </c>
      <c r="K689" t="str">
        <f t="shared" si="40"/>
        <v>35+</v>
      </c>
      <c r="L689" t="str">
        <f t="shared" ca="1" si="42"/>
        <v>High Risk</v>
      </c>
      <c r="M689" t="str">
        <f t="shared" si="43"/>
        <v>Dec-2024</v>
      </c>
    </row>
    <row r="690" spans="1:13" x14ac:dyDescent="0.35">
      <c r="A690">
        <v>10689</v>
      </c>
      <c r="B690">
        <v>30</v>
      </c>
      <c r="C690" t="s">
        <v>9</v>
      </c>
      <c r="D690" t="s">
        <v>11</v>
      </c>
      <c r="E690" s="2">
        <v>45536</v>
      </c>
      <c r="F690" s="2">
        <v>46019</v>
      </c>
      <c r="G690">
        <v>1200</v>
      </c>
      <c r="H690" t="s">
        <v>14</v>
      </c>
      <c r="I690" t="s">
        <v>16</v>
      </c>
      <c r="J690">
        <f t="shared" si="41"/>
        <v>1200</v>
      </c>
      <c r="K690" t="str">
        <f t="shared" si="40"/>
        <v>25-34</v>
      </c>
      <c r="L690" t="str">
        <f t="shared" ca="1" si="42"/>
        <v>Safe</v>
      </c>
      <c r="M690" t="str">
        <f t="shared" si="43"/>
        <v>Sep-2024</v>
      </c>
    </row>
    <row r="691" spans="1:13" x14ac:dyDescent="0.35">
      <c r="A691">
        <v>10690</v>
      </c>
      <c r="B691">
        <v>44</v>
      </c>
      <c r="C691" t="s">
        <v>9</v>
      </c>
      <c r="D691" t="s">
        <v>11</v>
      </c>
      <c r="E691" s="2">
        <v>45552</v>
      </c>
      <c r="F691" s="2">
        <v>46025</v>
      </c>
      <c r="G691">
        <v>1200</v>
      </c>
      <c r="H691" t="s">
        <v>14</v>
      </c>
      <c r="I691" t="s">
        <v>16</v>
      </c>
      <c r="J691">
        <f t="shared" si="41"/>
        <v>1200</v>
      </c>
      <c r="K691" t="str">
        <f t="shared" si="40"/>
        <v>35+</v>
      </c>
      <c r="L691" t="str">
        <f t="shared" ca="1" si="42"/>
        <v>Safe</v>
      </c>
      <c r="M691" t="str">
        <f t="shared" si="43"/>
        <v>Sep-2024</v>
      </c>
    </row>
    <row r="692" spans="1:13" x14ac:dyDescent="0.35">
      <c r="A692">
        <v>10691</v>
      </c>
      <c r="B692">
        <v>36</v>
      </c>
      <c r="C692" t="s">
        <v>9</v>
      </c>
      <c r="D692" t="s">
        <v>13</v>
      </c>
      <c r="E692" s="2">
        <v>45685</v>
      </c>
      <c r="F692" s="2">
        <v>46027</v>
      </c>
      <c r="G692">
        <v>1000</v>
      </c>
      <c r="H692" t="s">
        <v>14</v>
      </c>
      <c r="I692" t="s">
        <v>16</v>
      </c>
      <c r="J692">
        <f t="shared" si="41"/>
        <v>3000</v>
      </c>
      <c r="K692" t="str">
        <f t="shared" si="40"/>
        <v>35+</v>
      </c>
      <c r="L692" t="str">
        <f t="shared" ca="1" si="42"/>
        <v>Safe</v>
      </c>
      <c r="M692" t="str">
        <f t="shared" si="43"/>
        <v>Jan-2025</v>
      </c>
    </row>
    <row r="693" spans="1:13" x14ac:dyDescent="0.35">
      <c r="A693">
        <v>10692</v>
      </c>
      <c r="B693">
        <v>34</v>
      </c>
      <c r="C693" t="s">
        <v>9</v>
      </c>
      <c r="D693" t="s">
        <v>11</v>
      </c>
      <c r="E693" s="2">
        <v>45603</v>
      </c>
      <c r="F693" s="2">
        <v>46031</v>
      </c>
      <c r="G693">
        <v>1700</v>
      </c>
      <c r="H693" t="s">
        <v>15</v>
      </c>
      <c r="I693" t="s">
        <v>16</v>
      </c>
      <c r="J693">
        <f t="shared" si="41"/>
        <v>1700</v>
      </c>
      <c r="K693" t="str">
        <f t="shared" si="40"/>
        <v>25-34</v>
      </c>
      <c r="L693" t="str">
        <f t="shared" ca="1" si="42"/>
        <v>Safe</v>
      </c>
      <c r="M693" t="str">
        <f t="shared" si="43"/>
        <v>Nov-2024</v>
      </c>
    </row>
    <row r="694" spans="1:13" x14ac:dyDescent="0.35">
      <c r="A694">
        <v>10693</v>
      </c>
      <c r="B694">
        <v>21</v>
      </c>
      <c r="C694" t="s">
        <v>9</v>
      </c>
      <c r="D694" t="s">
        <v>11</v>
      </c>
      <c r="E694" s="2">
        <v>45292</v>
      </c>
      <c r="F694" s="2">
        <v>45919</v>
      </c>
      <c r="G694">
        <v>1200</v>
      </c>
      <c r="H694" t="s">
        <v>14</v>
      </c>
      <c r="I694" t="s">
        <v>17</v>
      </c>
      <c r="J694">
        <f t="shared" si="41"/>
        <v>1200</v>
      </c>
      <c r="K694" t="str">
        <f t="shared" si="40"/>
        <v>18-24</v>
      </c>
      <c r="L694" t="str">
        <f t="shared" ca="1" si="42"/>
        <v>High Risk</v>
      </c>
      <c r="M694" t="str">
        <f t="shared" si="43"/>
        <v>Jan-2024</v>
      </c>
    </row>
    <row r="695" spans="1:13" x14ac:dyDescent="0.35">
      <c r="A695">
        <v>10694</v>
      </c>
      <c r="B695">
        <v>29</v>
      </c>
      <c r="C695" t="s">
        <v>9</v>
      </c>
      <c r="D695" t="s">
        <v>13</v>
      </c>
      <c r="E695" s="2">
        <v>45284</v>
      </c>
      <c r="F695" s="2">
        <v>46020</v>
      </c>
      <c r="G695">
        <v>1500</v>
      </c>
      <c r="H695" t="s">
        <v>15</v>
      </c>
      <c r="I695" t="s">
        <v>16</v>
      </c>
      <c r="J695">
        <f t="shared" si="41"/>
        <v>4500</v>
      </c>
      <c r="K695" t="str">
        <f t="shared" si="40"/>
        <v>25-34</v>
      </c>
      <c r="L695" t="str">
        <f t="shared" ca="1" si="42"/>
        <v>Safe</v>
      </c>
      <c r="M695" t="str">
        <f t="shared" si="43"/>
        <v>Dec-2023</v>
      </c>
    </row>
    <row r="696" spans="1:13" x14ac:dyDescent="0.35">
      <c r="A696">
        <v>10695</v>
      </c>
      <c r="B696">
        <v>26</v>
      </c>
      <c r="C696" t="s">
        <v>9</v>
      </c>
      <c r="D696" t="s">
        <v>12</v>
      </c>
      <c r="E696" s="2">
        <v>45826</v>
      </c>
      <c r="F696" s="2">
        <v>46024</v>
      </c>
      <c r="G696">
        <v>800</v>
      </c>
      <c r="H696" t="s">
        <v>14</v>
      </c>
      <c r="I696" t="s">
        <v>16</v>
      </c>
      <c r="J696">
        <f t="shared" si="41"/>
        <v>9600</v>
      </c>
      <c r="K696" t="str">
        <f t="shared" si="40"/>
        <v>25-34</v>
      </c>
      <c r="L696" t="str">
        <f t="shared" ca="1" si="42"/>
        <v>Safe</v>
      </c>
      <c r="M696" t="str">
        <f t="shared" si="43"/>
        <v>Jun-2025</v>
      </c>
    </row>
    <row r="697" spans="1:13" x14ac:dyDescent="0.35">
      <c r="A697">
        <v>10696</v>
      </c>
      <c r="B697">
        <v>36</v>
      </c>
      <c r="C697" t="s">
        <v>9</v>
      </c>
      <c r="D697" t="s">
        <v>11</v>
      </c>
      <c r="E697" s="2">
        <v>45784</v>
      </c>
      <c r="F697" s="2">
        <v>46010</v>
      </c>
      <c r="G697">
        <v>1700</v>
      </c>
      <c r="H697" t="s">
        <v>15</v>
      </c>
      <c r="I697" t="s">
        <v>16</v>
      </c>
      <c r="J697">
        <f t="shared" si="41"/>
        <v>1700</v>
      </c>
      <c r="K697" t="str">
        <f t="shared" si="40"/>
        <v>35+</v>
      </c>
      <c r="L697" t="str">
        <f t="shared" ca="1" si="42"/>
        <v>Safe</v>
      </c>
      <c r="M697" t="str">
        <f t="shared" si="43"/>
        <v>May-2025</v>
      </c>
    </row>
    <row r="698" spans="1:13" x14ac:dyDescent="0.35">
      <c r="A698">
        <v>10697</v>
      </c>
      <c r="B698">
        <v>29</v>
      </c>
      <c r="C698" t="s">
        <v>9</v>
      </c>
      <c r="D698" t="s">
        <v>11</v>
      </c>
      <c r="E698" s="2">
        <v>45754</v>
      </c>
      <c r="F698" s="2">
        <v>46016</v>
      </c>
      <c r="G698">
        <v>1200</v>
      </c>
      <c r="H698" t="s">
        <v>14</v>
      </c>
      <c r="I698" t="s">
        <v>16</v>
      </c>
      <c r="J698">
        <f t="shared" si="41"/>
        <v>1200</v>
      </c>
      <c r="K698" t="str">
        <f t="shared" si="40"/>
        <v>25-34</v>
      </c>
      <c r="L698" t="str">
        <f t="shared" ca="1" si="42"/>
        <v>Safe</v>
      </c>
      <c r="M698" t="str">
        <f t="shared" si="43"/>
        <v>Apr-2025</v>
      </c>
    </row>
    <row r="699" spans="1:13" x14ac:dyDescent="0.35">
      <c r="A699">
        <v>10698</v>
      </c>
      <c r="B699">
        <v>26</v>
      </c>
      <c r="C699" t="s">
        <v>9</v>
      </c>
      <c r="D699" t="s">
        <v>13</v>
      </c>
      <c r="E699" s="2">
        <v>45655</v>
      </c>
      <c r="F699" s="2">
        <v>46013</v>
      </c>
      <c r="G699">
        <v>1500</v>
      </c>
      <c r="H699" t="s">
        <v>15</v>
      </c>
      <c r="I699" t="s">
        <v>16</v>
      </c>
      <c r="J699">
        <f t="shared" si="41"/>
        <v>4500</v>
      </c>
      <c r="K699" t="str">
        <f t="shared" si="40"/>
        <v>25-34</v>
      </c>
      <c r="L699" t="str">
        <f t="shared" ca="1" si="42"/>
        <v>Safe</v>
      </c>
      <c r="M699" t="str">
        <f t="shared" si="43"/>
        <v>Dec-2024</v>
      </c>
    </row>
    <row r="700" spans="1:13" x14ac:dyDescent="0.35">
      <c r="A700">
        <v>10699</v>
      </c>
      <c r="B700">
        <v>24</v>
      </c>
      <c r="C700" t="s">
        <v>10</v>
      </c>
      <c r="D700" t="s">
        <v>13</v>
      </c>
      <c r="E700" s="2">
        <v>45694</v>
      </c>
      <c r="F700" s="2">
        <v>46012</v>
      </c>
      <c r="G700">
        <v>1000</v>
      </c>
      <c r="H700" t="s">
        <v>14</v>
      </c>
      <c r="I700" t="s">
        <v>16</v>
      </c>
      <c r="J700">
        <f t="shared" si="41"/>
        <v>3000</v>
      </c>
      <c r="K700" t="str">
        <f t="shared" si="40"/>
        <v>18-24</v>
      </c>
      <c r="L700" t="str">
        <f t="shared" ca="1" si="42"/>
        <v>Safe</v>
      </c>
      <c r="M700" t="str">
        <f t="shared" si="43"/>
        <v>Feb-2025</v>
      </c>
    </row>
    <row r="701" spans="1:13" x14ac:dyDescent="0.35">
      <c r="A701">
        <v>10700</v>
      </c>
      <c r="B701">
        <v>45</v>
      </c>
      <c r="C701" t="s">
        <v>9</v>
      </c>
      <c r="D701" t="s">
        <v>11</v>
      </c>
      <c r="E701" s="2">
        <v>45343</v>
      </c>
      <c r="F701" s="2">
        <v>46015</v>
      </c>
      <c r="G701">
        <v>1700</v>
      </c>
      <c r="H701" t="s">
        <v>15</v>
      </c>
      <c r="I701" t="s">
        <v>16</v>
      </c>
      <c r="J701">
        <f t="shared" si="41"/>
        <v>1700</v>
      </c>
      <c r="K701" t="str">
        <f t="shared" si="40"/>
        <v>35+</v>
      </c>
      <c r="L701" t="str">
        <f t="shared" ca="1" si="42"/>
        <v>Safe</v>
      </c>
      <c r="M701" t="str">
        <f t="shared" si="43"/>
        <v>Feb-2024</v>
      </c>
    </row>
    <row r="702" spans="1:13" x14ac:dyDescent="0.35">
      <c r="A702">
        <v>10701</v>
      </c>
      <c r="B702">
        <v>31</v>
      </c>
      <c r="C702" t="s">
        <v>9</v>
      </c>
      <c r="D702" t="s">
        <v>12</v>
      </c>
      <c r="E702" s="2">
        <v>45478</v>
      </c>
      <c r="F702" s="2">
        <v>46016</v>
      </c>
      <c r="G702">
        <v>1300</v>
      </c>
      <c r="H702" t="s">
        <v>15</v>
      </c>
      <c r="I702" t="s">
        <v>16</v>
      </c>
      <c r="J702">
        <f t="shared" si="41"/>
        <v>15600</v>
      </c>
      <c r="K702" t="str">
        <f t="shared" si="40"/>
        <v>25-34</v>
      </c>
      <c r="L702" t="str">
        <f t="shared" ca="1" si="42"/>
        <v>Safe</v>
      </c>
      <c r="M702" t="str">
        <f t="shared" si="43"/>
        <v>Jul-2024</v>
      </c>
    </row>
    <row r="703" spans="1:13" x14ac:dyDescent="0.35">
      <c r="A703">
        <v>10702</v>
      </c>
      <c r="B703">
        <v>37</v>
      </c>
      <c r="C703" t="s">
        <v>9</v>
      </c>
      <c r="D703" t="s">
        <v>12</v>
      </c>
      <c r="E703" s="2">
        <v>45308</v>
      </c>
      <c r="F703" s="2">
        <v>46030</v>
      </c>
      <c r="G703">
        <v>800</v>
      </c>
      <c r="H703" t="s">
        <v>14</v>
      </c>
      <c r="I703" t="s">
        <v>16</v>
      </c>
      <c r="J703">
        <f t="shared" si="41"/>
        <v>9600</v>
      </c>
      <c r="K703" t="str">
        <f t="shared" si="40"/>
        <v>35+</v>
      </c>
      <c r="L703" t="str">
        <f t="shared" ca="1" si="42"/>
        <v>Safe</v>
      </c>
      <c r="M703" t="str">
        <f t="shared" si="43"/>
        <v>Jan-2024</v>
      </c>
    </row>
    <row r="704" spans="1:13" x14ac:dyDescent="0.35">
      <c r="A704">
        <v>10703</v>
      </c>
      <c r="B704">
        <v>36</v>
      </c>
      <c r="C704" t="s">
        <v>10</v>
      </c>
      <c r="D704" t="s">
        <v>11</v>
      </c>
      <c r="E704" s="2">
        <v>45220</v>
      </c>
      <c r="F704" s="2">
        <v>46015</v>
      </c>
      <c r="G704">
        <v>1200</v>
      </c>
      <c r="H704" t="s">
        <v>14</v>
      </c>
      <c r="I704" t="s">
        <v>16</v>
      </c>
      <c r="J704">
        <f t="shared" si="41"/>
        <v>1200</v>
      </c>
      <c r="K704" t="str">
        <f t="shared" si="40"/>
        <v>35+</v>
      </c>
      <c r="L704" t="str">
        <f t="shared" ca="1" si="42"/>
        <v>Safe</v>
      </c>
      <c r="M704" t="str">
        <f t="shared" si="43"/>
        <v>Oct-2023</v>
      </c>
    </row>
    <row r="705" spans="1:13" x14ac:dyDescent="0.35">
      <c r="A705">
        <v>10704</v>
      </c>
      <c r="B705">
        <v>43</v>
      </c>
      <c r="C705" t="s">
        <v>9</v>
      </c>
      <c r="D705" t="s">
        <v>11</v>
      </c>
      <c r="E705" s="2">
        <v>45208</v>
      </c>
      <c r="F705" s="2">
        <v>46013</v>
      </c>
      <c r="G705">
        <v>1200</v>
      </c>
      <c r="H705" t="s">
        <v>14</v>
      </c>
      <c r="I705" t="s">
        <v>16</v>
      </c>
      <c r="J705">
        <f t="shared" si="41"/>
        <v>1200</v>
      </c>
      <c r="K705" t="str">
        <f t="shared" si="40"/>
        <v>35+</v>
      </c>
      <c r="L705" t="str">
        <f t="shared" ca="1" si="42"/>
        <v>Safe</v>
      </c>
      <c r="M705" t="str">
        <f t="shared" si="43"/>
        <v>Oct-2023</v>
      </c>
    </row>
    <row r="706" spans="1:13" x14ac:dyDescent="0.35">
      <c r="A706">
        <v>10705</v>
      </c>
      <c r="B706">
        <v>32</v>
      </c>
      <c r="C706" t="s">
        <v>9</v>
      </c>
      <c r="D706" t="s">
        <v>13</v>
      </c>
      <c r="E706" s="2">
        <v>45728</v>
      </c>
      <c r="F706" s="2">
        <v>45952</v>
      </c>
      <c r="G706">
        <v>1500</v>
      </c>
      <c r="H706" t="s">
        <v>15</v>
      </c>
      <c r="I706" t="s">
        <v>17</v>
      </c>
      <c r="J706">
        <f t="shared" si="41"/>
        <v>4500</v>
      </c>
      <c r="K706" t="str">
        <f t="shared" ref="K706:K769" si="44">IF(B706&lt;25,"18-24",IF(B706&lt;35,"25-34","35+"))</f>
        <v>25-34</v>
      </c>
      <c r="L706" t="str">
        <f t="shared" ca="1" si="42"/>
        <v>High Risk</v>
      </c>
      <c r="M706" t="str">
        <f t="shared" si="43"/>
        <v>Mar-2025</v>
      </c>
    </row>
    <row r="707" spans="1:13" x14ac:dyDescent="0.35">
      <c r="A707">
        <v>10706</v>
      </c>
      <c r="B707">
        <v>33</v>
      </c>
      <c r="C707" t="s">
        <v>10</v>
      </c>
      <c r="D707" t="s">
        <v>12</v>
      </c>
      <c r="E707" s="2">
        <v>45330</v>
      </c>
      <c r="F707" s="2">
        <v>46013</v>
      </c>
      <c r="G707">
        <v>800</v>
      </c>
      <c r="H707" t="s">
        <v>14</v>
      </c>
      <c r="I707" t="s">
        <v>16</v>
      </c>
      <c r="J707">
        <f t="shared" ref="J707:J770" si="45">IF(D707="Monthly",G707,IF(D707="Quarterly",G707*3,G707*12))</f>
        <v>9600</v>
      </c>
      <c r="K707" t="str">
        <f t="shared" si="44"/>
        <v>25-34</v>
      </c>
      <c r="L707" t="str">
        <f t="shared" ref="L707:L770" ca="1" si="46">IF(F707&lt;TODAY()-30,"High Risk","Safe")</f>
        <v>Safe</v>
      </c>
      <c r="M707" t="str">
        <f t="shared" ref="M707:M770" si="47">TEXT(E707,"mmm-yyyy")</f>
        <v>Feb-2024</v>
      </c>
    </row>
    <row r="708" spans="1:13" x14ac:dyDescent="0.35">
      <c r="A708">
        <v>10707</v>
      </c>
      <c r="B708">
        <v>38</v>
      </c>
      <c r="C708" t="s">
        <v>9</v>
      </c>
      <c r="D708" t="s">
        <v>11</v>
      </c>
      <c r="E708" s="2">
        <v>45885</v>
      </c>
      <c r="F708" s="2">
        <v>45969</v>
      </c>
      <c r="G708">
        <v>1200</v>
      </c>
      <c r="H708" t="s">
        <v>14</v>
      </c>
      <c r="I708" t="s">
        <v>17</v>
      </c>
      <c r="J708">
        <f t="shared" si="45"/>
        <v>1200</v>
      </c>
      <c r="K708" t="str">
        <f t="shared" si="44"/>
        <v>35+</v>
      </c>
      <c r="L708" t="str">
        <f t="shared" ca="1" si="46"/>
        <v>High Risk</v>
      </c>
      <c r="M708" t="str">
        <f t="shared" si="47"/>
        <v>Aug-2025</v>
      </c>
    </row>
    <row r="709" spans="1:13" x14ac:dyDescent="0.35">
      <c r="A709">
        <v>10708</v>
      </c>
      <c r="B709">
        <v>22</v>
      </c>
      <c r="C709" t="s">
        <v>9</v>
      </c>
      <c r="D709" t="s">
        <v>13</v>
      </c>
      <c r="E709" s="2">
        <v>45894</v>
      </c>
      <c r="F709" s="2">
        <v>45976</v>
      </c>
      <c r="G709">
        <v>1500</v>
      </c>
      <c r="H709" t="s">
        <v>15</v>
      </c>
      <c r="I709" t="s">
        <v>17</v>
      </c>
      <c r="J709">
        <f t="shared" si="45"/>
        <v>4500</v>
      </c>
      <c r="K709" t="str">
        <f t="shared" si="44"/>
        <v>18-24</v>
      </c>
      <c r="L709" t="str">
        <f t="shared" ca="1" si="46"/>
        <v>High Risk</v>
      </c>
      <c r="M709" t="str">
        <f t="shared" si="47"/>
        <v>Aug-2025</v>
      </c>
    </row>
    <row r="710" spans="1:13" x14ac:dyDescent="0.35">
      <c r="A710">
        <v>10709</v>
      </c>
      <c r="B710">
        <v>20</v>
      </c>
      <c r="C710" t="s">
        <v>9</v>
      </c>
      <c r="D710" t="s">
        <v>13</v>
      </c>
      <c r="E710" s="2">
        <v>45428</v>
      </c>
      <c r="F710" s="2">
        <v>46012</v>
      </c>
      <c r="G710">
        <v>1500</v>
      </c>
      <c r="H710" t="s">
        <v>15</v>
      </c>
      <c r="I710" t="s">
        <v>16</v>
      </c>
      <c r="J710">
        <f t="shared" si="45"/>
        <v>4500</v>
      </c>
      <c r="K710" t="str">
        <f t="shared" si="44"/>
        <v>18-24</v>
      </c>
      <c r="L710" t="str">
        <f t="shared" ca="1" si="46"/>
        <v>Safe</v>
      </c>
      <c r="M710" t="str">
        <f t="shared" si="47"/>
        <v>May-2024</v>
      </c>
    </row>
    <row r="711" spans="1:13" x14ac:dyDescent="0.35">
      <c r="A711">
        <v>10710</v>
      </c>
      <c r="B711">
        <v>29</v>
      </c>
      <c r="C711" t="s">
        <v>9</v>
      </c>
      <c r="D711" t="s">
        <v>11</v>
      </c>
      <c r="E711" s="2">
        <v>45596</v>
      </c>
      <c r="F711" s="2">
        <v>46015</v>
      </c>
      <c r="G711">
        <v>1200</v>
      </c>
      <c r="H711" t="s">
        <v>14</v>
      </c>
      <c r="I711" t="s">
        <v>16</v>
      </c>
      <c r="J711">
        <f t="shared" si="45"/>
        <v>1200</v>
      </c>
      <c r="K711" t="str">
        <f t="shared" si="44"/>
        <v>25-34</v>
      </c>
      <c r="L711" t="str">
        <f t="shared" ca="1" si="46"/>
        <v>Safe</v>
      </c>
      <c r="M711" t="str">
        <f t="shared" si="47"/>
        <v>Oct-2024</v>
      </c>
    </row>
    <row r="712" spans="1:13" x14ac:dyDescent="0.35">
      <c r="A712">
        <v>10711</v>
      </c>
      <c r="B712">
        <v>42</v>
      </c>
      <c r="C712" t="s">
        <v>10</v>
      </c>
      <c r="D712" t="s">
        <v>13</v>
      </c>
      <c r="E712" s="2">
        <v>45751</v>
      </c>
      <c r="F712" s="2">
        <v>46020</v>
      </c>
      <c r="G712">
        <v>1000</v>
      </c>
      <c r="H712" t="s">
        <v>14</v>
      </c>
      <c r="I712" t="s">
        <v>16</v>
      </c>
      <c r="J712">
        <f t="shared" si="45"/>
        <v>3000</v>
      </c>
      <c r="K712" t="str">
        <f t="shared" si="44"/>
        <v>35+</v>
      </c>
      <c r="L712" t="str">
        <f t="shared" ca="1" si="46"/>
        <v>Safe</v>
      </c>
      <c r="M712" t="str">
        <f t="shared" si="47"/>
        <v>Apr-2025</v>
      </c>
    </row>
    <row r="713" spans="1:13" x14ac:dyDescent="0.35">
      <c r="A713">
        <v>10712</v>
      </c>
      <c r="B713">
        <v>37</v>
      </c>
      <c r="C713" t="s">
        <v>10</v>
      </c>
      <c r="D713" t="s">
        <v>12</v>
      </c>
      <c r="E713" s="2">
        <v>45801</v>
      </c>
      <c r="F713" s="2">
        <v>46026</v>
      </c>
      <c r="G713">
        <v>800</v>
      </c>
      <c r="H713" t="s">
        <v>14</v>
      </c>
      <c r="I713" t="s">
        <v>16</v>
      </c>
      <c r="J713">
        <f t="shared" si="45"/>
        <v>9600</v>
      </c>
      <c r="K713" t="str">
        <f t="shared" si="44"/>
        <v>35+</v>
      </c>
      <c r="L713" t="str">
        <f t="shared" ca="1" si="46"/>
        <v>Safe</v>
      </c>
      <c r="M713" t="str">
        <f t="shared" si="47"/>
        <v>May-2025</v>
      </c>
    </row>
    <row r="714" spans="1:13" x14ac:dyDescent="0.35">
      <c r="A714">
        <v>10713</v>
      </c>
      <c r="B714">
        <v>44</v>
      </c>
      <c r="C714" t="s">
        <v>9</v>
      </c>
      <c r="D714" t="s">
        <v>11</v>
      </c>
      <c r="E714" s="2">
        <v>45802</v>
      </c>
      <c r="F714" s="2">
        <v>46032</v>
      </c>
      <c r="G714">
        <v>1200</v>
      </c>
      <c r="H714" t="s">
        <v>14</v>
      </c>
      <c r="I714" t="s">
        <v>16</v>
      </c>
      <c r="J714">
        <f t="shared" si="45"/>
        <v>1200</v>
      </c>
      <c r="K714" t="str">
        <f t="shared" si="44"/>
        <v>35+</v>
      </c>
      <c r="L714" t="str">
        <f t="shared" ca="1" si="46"/>
        <v>Safe</v>
      </c>
      <c r="M714" t="str">
        <f t="shared" si="47"/>
        <v>May-2025</v>
      </c>
    </row>
    <row r="715" spans="1:13" x14ac:dyDescent="0.35">
      <c r="A715">
        <v>10714</v>
      </c>
      <c r="B715">
        <v>38</v>
      </c>
      <c r="C715" t="s">
        <v>9</v>
      </c>
      <c r="D715" t="s">
        <v>11</v>
      </c>
      <c r="E715" s="2">
        <v>45924</v>
      </c>
      <c r="F715" s="2">
        <v>46021</v>
      </c>
      <c r="G715">
        <v>1200</v>
      </c>
      <c r="H715" t="s">
        <v>14</v>
      </c>
      <c r="I715" t="s">
        <v>16</v>
      </c>
      <c r="J715">
        <f t="shared" si="45"/>
        <v>1200</v>
      </c>
      <c r="K715" t="str">
        <f t="shared" si="44"/>
        <v>35+</v>
      </c>
      <c r="L715" t="str">
        <f t="shared" ca="1" si="46"/>
        <v>Safe</v>
      </c>
      <c r="M715" t="str">
        <f t="shared" si="47"/>
        <v>Sep-2025</v>
      </c>
    </row>
    <row r="716" spans="1:13" x14ac:dyDescent="0.35">
      <c r="A716">
        <v>10715</v>
      </c>
      <c r="B716">
        <v>21</v>
      </c>
      <c r="C716" t="s">
        <v>9</v>
      </c>
      <c r="D716" t="s">
        <v>11</v>
      </c>
      <c r="E716" s="2">
        <v>45907</v>
      </c>
      <c r="F716" s="2">
        <v>46023</v>
      </c>
      <c r="G716">
        <v>1700</v>
      </c>
      <c r="H716" t="s">
        <v>15</v>
      </c>
      <c r="I716" t="s">
        <v>16</v>
      </c>
      <c r="J716">
        <f t="shared" si="45"/>
        <v>1700</v>
      </c>
      <c r="K716" t="str">
        <f t="shared" si="44"/>
        <v>18-24</v>
      </c>
      <c r="L716" t="str">
        <f t="shared" ca="1" si="46"/>
        <v>Safe</v>
      </c>
      <c r="M716" t="str">
        <f t="shared" si="47"/>
        <v>Sep-2025</v>
      </c>
    </row>
    <row r="717" spans="1:13" x14ac:dyDescent="0.35">
      <c r="A717">
        <v>10716</v>
      </c>
      <c r="B717">
        <v>38</v>
      </c>
      <c r="C717" t="s">
        <v>9</v>
      </c>
      <c r="D717" t="s">
        <v>12</v>
      </c>
      <c r="E717" s="2">
        <v>45928</v>
      </c>
      <c r="F717" s="2">
        <v>45997</v>
      </c>
      <c r="G717">
        <v>800</v>
      </c>
      <c r="H717" t="s">
        <v>14</v>
      </c>
      <c r="I717" t="s">
        <v>17</v>
      </c>
      <c r="J717">
        <f t="shared" si="45"/>
        <v>9600</v>
      </c>
      <c r="K717" t="str">
        <f t="shared" si="44"/>
        <v>35+</v>
      </c>
      <c r="L717" t="str">
        <f t="shared" ca="1" si="46"/>
        <v>High Risk</v>
      </c>
      <c r="M717" t="str">
        <f t="shared" si="47"/>
        <v>Sep-2025</v>
      </c>
    </row>
    <row r="718" spans="1:13" x14ac:dyDescent="0.35">
      <c r="A718">
        <v>10717</v>
      </c>
      <c r="B718">
        <v>40</v>
      </c>
      <c r="C718" t="s">
        <v>10</v>
      </c>
      <c r="D718" t="s">
        <v>12</v>
      </c>
      <c r="E718" s="2">
        <v>45394</v>
      </c>
      <c r="F718" s="2">
        <v>46025</v>
      </c>
      <c r="G718">
        <v>800</v>
      </c>
      <c r="H718" t="s">
        <v>14</v>
      </c>
      <c r="I718" t="s">
        <v>16</v>
      </c>
      <c r="J718">
        <f t="shared" si="45"/>
        <v>9600</v>
      </c>
      <c r="K718" t="str">
        <f t="shared" si="44"/>
        <v>35+</v>
      </c>
      <c r="L718" t="str">
        <f t="shared" ca="1" si="46"/>
        <v>Safe</v>
      </c>
      <c r="M718" t="str">
        <f t="shared" si="47"/>
        <v>Apr-2024</v>
      </c>
    </row>
    <row r="719" spans="1:13" x14ac:dyDescent="0.35">
      <c r="A719">
        <v>10718</v>
      </c>
      <c r="B719">
        <v>33</v>
      </c>
      <c r="C719" t="s">
        <v>9</v>
      </c>
      <c r="D719" t="s">
        <v>11</v>
      </c>
      <c r="E719" s="2">
        <v>45684</v>
      </c>
      <c r="F719" s="2">
        <v>46023</v>
      </c>
      <c r="G719">
        <v>1700</v>
      </c>
      <c r="H719" t="s">
        <v>15</v>
      </c>
      <c r="I719" t="s">
        <v>16</v>
      </c>
      <c r="J719">
        <f t="shared" si="45"/>
        <v>1700</v>
      </c>
      <c r="K719" t="str">
        <f t="shared" si="44"/>
        <v>25-34</v>
      </c>
      <c r="L719" t="str">
        <f t="shared" ca="1" si="46"/>
        <v>Safe</v>
      </c>
      <c r="M719" t="str">
        <f t="shared" si="47"/>
        <v>Jan-2025</v>
      </c>
    </row>
    <row r="720" spans="1:13" x14ac:dyDescent="0.35">
      <c r="A720">
        <v>10719</v>
      </c>
      <c r="B720">
        <v>42</v>
      </c>
      <c r="C720" t="s">
        <v>9</v>
      </c>
      <c r="D720" t="s">
        <v>12</v>
      </c>
      <c r="E720" s="2">
        <v>45934</v>
      </c>
      <c r="F720" s="2">
        <v>46015</v>
      </c>
      <c r="G720">
        <v>800</v>
      </c>
      <c r="H720" t="s">
        <v>14</v>
      </c>
      <c r="I720" t="s">
        <v>16</v>
      </c>
      <c r="J720">
        <f t="shared" si="45"/>
        <v>9600</v>
      </c>
      <c r="K720" t="str">
        <f t="shared" si="44"/>
        <v>35+</v>
      </c>
      <c r="L720" t="str">
        <f t="shared" ca="1" si="46"/>
        <v>Safe</v>
      </c>
      <c r="M720" t="str">
        <f t="shared" si="47"/>
        <v>Oct-2025</v>
      </c>
    </row>
    <row r="721" spans="1:13" x14ac:dyDescent="0.35">
      <c r="A721">
        <v>10720</v>
      </c>
      <c r="B721">
        <v>24</v>
      </c>
      <c r="C721" t="s">
        <v>10</v>
      </c>
      <c r="D721" t="s">
        <v>13</v>
      </c>
      <c r="E721" s="2">
        <v>45801</v>
      </c>
      <c r="F721" s="2">
        <v>45942</v>
      </c>
      <c r="G721">
        <v>1500</v>
      </c>
      <c r="H721" t="s">
        <v>15</v>
      </c>
      <c r="I721" t="s">
        <v>17</v>
      </c>
      <c r="J721">
        <f t="shared" si="45"/>
        <v>4500</v>
      </c>
      <c r="K721" t="str">
        <f t="shared" si="44"/>
        <v>18-24</v>
      </c>
      <c r="L721" t="str">
        <f t="shared" ca="1" si="46"/>
        <v>High Risk</v>
      </c>
      <c r="M721" t="str">
        <f t="shared" si="47"/>
        <v>May-2025</v>
      </c>
    </row>
    <row r="722" spans="1:13" x14ac:dyDescent="0.35">
      <c r="A722">
        <v>10721</v>
      </c>
      <c r="B722">
        <v>30</v>
      </c>
      <c r="C722" t="s">
        <v>9</v>
      </c>
      <c r="D722" t="s">
        <v>13</v>
      </c>
      <c r="E722" s="2">
        <v>45877</v>
      </c>
      <c r="F722" s="2">
        <v>46029</v>
      </c>
      <c r="G722">
        <v>1000</v>
      </c>
      <c r="H722" t="s">
        <v>14</v>
      </c>
      <c r="I722" t="s">
        <v>16</v>
      </c>
      <c r="J722">
        <f t="shared" si="45"/>
        <v>3000</v>
      </c>
      <c r="K722" t="str">
        <f t="shared" si="44"/>
        <v>25-34</v>
      </c>
      <c r="L722" t="str">
        <f t="shared" ca="1" si="46"/>
        <v>Safe</v>
      </c>
      <c r="M722" t="str">
        <f t="shared" si="47"/>
        <v>Aug-2025</v>
      </c>
    </row>
    <row r="723" spans="1:13" x14ac:dyDescent="0.35">
      <c r="A723">
        <v>10722</v>
      </c>
      <c r="B723">
        <v>38</v>
      </c>
      <c r="C723" t="s">
        <v>9</v>
      </c>
      <c r="D723" t="s">
        <v>11</v>
      </c>
      <c r="E723" s="2">
        <v>45855</v>
      </c>
      <c r="F723" s="2">
        <v>46022</v>
      </c>
      <c r="G723">
        <v>1200</v>
      </c>
      <c r="H723" t="s">
        <v>14</v>
      </c>
      <c r="I723" t="s">
        <v>16</v>
      </c>
      <c r="J723">
        <f t="shared" si="45"/>
        <v>1200</v>
      </c>
      <c r="K723" t="str">
        <f t="shared" si="44"/>
        <v>35+</v>
      </c>
      <c r="L723" t="str">
        <f t="shared" ca="1" si="46"/>
        <v>Safe</v>
      </c>
      <c r="M723" t="str">
        <f t="shared" si="47"/>
        <v>Jul-2025</v>
      </c>
    </row>
    <row r="724" spans="1:13" x14ac:dyDescent="0.35">
      <c r="A724">
        <v>10723</v>
      </c>
      <c r="B724">
        <v>27</v>
      </c>
      <c r="C724" t="s">
        <v>9</v>
      </c>
      <c r="D724" t="s">
        <v>11</v>
      </c>
      <c r="E724" s="2">
        <v>45584</v>
      </c>
      <c r="F724" s="2">
        <v>46031</v>
      </c>
      <c r="G724">
        <v>1700</v>
      </c>
      <c r="H724" t="s">
        <v>15</v>
      </c>
      <c r="I724" t="s">
        <v>16</v>
      </c>
      <c r="J724">
        <f t="shared" si="45"/>
        <v>1700</v>
      </c>
      <c r="K724" t="str">
        <f t="shared" si="44"/>
        <v>25-34</v>
      </c>
      <c r="L724" t="str">
        <f t="shared" ca="1" si="46"/>
        <v>Safe</v>
      </c>
      <c r="M724" t="str">
        <f t="shared" si="47"/>
        <v>Oct-2024</v>
      </c>
    </row>
    <row r="725" spans="1:13" x14ac:dyDescent="0.35">
      <c r="A725">
        <v>10724</v>
      </c>
      <c r="B725">
        <v>43</v>
      </c>
      <c r="C725" t="s">
        <v>10</v>
      </c>
      <c r="D725" t="s">
        <v>11</v>
      </c>
      <c r="E725" s="2">
        <v>45969</v>
      </c>
      <c r="F725" s="2">
        <v>46021</v>
      </c>
      <c r="G725">
        <v>1200</v>
      </c>
      <c r="H725" t="s">
        <v>14</v>
      </c>
      <c r="I725" t="s">
        <v>16</v>
      </c>
      <c r="J725">
        <f t="shared" si="45"/>
        <v>1200</v>
      </c>
      <c r="K725" t="str">
        <f t="shared" si="44"/>
        <v>35+</v>
      </c>
      <c r="L725" t="str">
        <f t="shared" ca="1" si="46"/>
        <v>Safe</v>
      </c>
      <c r="M725" t="str">
        <f t="shared" si="47"/>
        <v>Nov-2025</v>
      </c>
    </row>
    <row r="726" spans="1:13" x14ac:dyDescent="0.35">
      <c r="A726">
        <v>10725</v>
      </c>
      <c r="B726">
        <v>24</v>
      </c>
      <c r="C726" t="s">
        <v>9</v>
      </c>
      <c r="D726" t="s">
        <v>13</v>
      </c>
      <c r="E726" s="2">
        <v>45229</v>
      </c>
      <c r="F726" s="2">
        <v>46026</v>
      </c>
      <c r="G726">
        <v>1000</v>
      </c>
      <c r="H726" t="s">
        <v>14</v>
      </c>
      <c r="I726" t="s">
        <v>16</v>
      </c>
      <c r="J726">
        <f t="shared" si="45"/>
        <v>3000</v>
      </c>
      <c r="K726" t="str">
        <f t="shared" si="44"/>
        <v>18-24</v>
      </c>
      <c r="L726" t="str">
        <f t="shared" ca="1" si="46"/>
        <v>Safe</v>
      </c>
      <c r="M726" t="str">
        <f t="shared" si="47"/>
        <v>Oct-2023</v>
      </c>
    </row>
    <row r="727" spans="1:13" x14ac:dyDescent="0.35">
      <c r="A727">
        <v>10726</v>
      </c>
      <c r="B727">
        <v>31</v>
      </c>
      <c r="C727" t="s">
        <v>9</v>
      </c>
      <c r="D727" t="s">
        <v>11</v>
      </c>
      <c r="E727" s="2">
        <v>45239</v>
      </c>
      <c r="F727" s="2">
        <v>46024</v>
      </c>
      <c r="G727">
        <v>1700</v>
      </c>
      <c r="H727" t="s">
        <v>15</v>
      </c>
      <c r="I727" t="s">
        <v>16</v>
      </c>
      <c r="J727">
        <f t="shared" si="45"/>
        <v>1700</v>
      </c>
      <c r="K727" t="str">
        <f t="shared" si="44"/>
        <v>25-34</v>
      </c>
      <c r="L727" t="str">
        <f t="shared" ca="1" si="46"/>
        <v>Safe</v>
      </c>
      <c r="M727" t="str">
        <f t="shared" si="47"/>
        <v>Nov-2023</v>
      </c>
    </row>
    <row r="728" spans="1:13" x14ac:dyDescent="0.35">
      <c r="A728">
        <v>10727</v>
      </c>
      <c r="B728">
        <v>43</v>
      </c>
      <c r="C728" t="s">
        <v>9</v>
      </c>
      <c r="D728" t="s">
        <v>12</v>
      </c>
      <c r="E728" s="2">
        <v>45145</v>
      </c>
      <c r="F728" s="2">
        <v>45953</v>
      </c>
      <c r="G728">
        <v>800</v>
      </c>
      <c r="H728" t="s">
        <v>14</v>
      </c>
      <c r="I728" t="s">
        <v>17</v>
      </c>
      <c r="J728">
        <f t="shared" si="45"/>
        <v>9600</v>
      </c>
      <c r="K728" t="str">
        <f t="shared" si="44"/>
        <v>35+</v>
      </c>
      <c r="L728" t="str">
        <f t="shared" ca="1" si="46"/>
        <v>High Risk</v>
      </c>
      <c r="M728" t="str">
        <f t="shared" si="47"/>
        <v>Aug-2023</v>
      </c>
    </row>
    <row r="729" spans="1:13" x14ac:dyDescent="0.35">
      <c r="A729">
        <v>10728</v>
      </c>
      <c r="B729">
        <v>22</v>
      </c>
      <c r="C729" t="s">
        <v>9</v>
      </c>
      <c r="D729" t="s">
        <v>11</v>
      </c>
      <c r="E729" s="2">
        <v>45803</v>
      </c>
      <c r="F729" s="2">
        <v>46012</v>
      </c>
      <c r="G729">
        <v>1200</v>
      </c>
      <c r="H729" t="s">
        <v>14</v>
      </c>
      <c r="I729" t="s">
        <v>16</v>
      </c>
      <c r="J729">
        <f t="shared" si="45"/>
        <v>1200</v>
      </c>
      <c r="K729" t="str">
        <f t="shared" si="44"/>
        <v>18-24</v>
      </c>
      <c r="L729" t="str">
        <f t="shared" ca="1" si="46"/>
        <v>Safe</v>
      </c>
      <c r="M729" t="str">
        <f t="shared" si="47"/>
        <v>May-2025</v>
      </c>
    </row>
    <row r="730" spans="1:13" x14ac:dyDescent="0.35">
      <c r="A730">
        <v>10729</v>
      </c>
      <c r="B730">
        <v>20</v>
      </c>
      <c r="C730" t="s">
        <v>10</v>
      </c>
      <c r="D730" t="s">
        <v>11</v>
      </c>
      <c r="E730" s="2">
        <v>45284</v>
      </c>
      <c r="F730" s="2">
        <v>46015</v>
      </c>
      <c r="G730">
        <v>1200</v>
      </c>
      <c r="H730" t="s">
        <v>14</v>
      </c>
      <c r="I730" t="s">
        <v>16</v>
      </c>
      <c r="J730">
        <f t="shared" si="45"/>
        <v>1200</v>
      </c>
      <c r="K730" t="str">
        <f t="shared" si="44"/>
        <v>18-24</v>
      </c>
      <c r="L730" t="str">
        <f t="shared" ca="1" si="46"/>
        <v>Safe</v>
      </c>
      <c r="M730" t="str">
        <f t="shared" si="47"/>
        <v>Dec-2023</v>
      </c>
    </row>
    <row r="731" spans="1:13" x14ac:dyDescent="0.35">
      <c r="A731">
        <v>10730</v>
      </c>
      <c r="B731">
        <v>40</v>
      </c>
      <c r="C731" t="s">
        <v>10</v>
      </c>
      <c r="D731" t="s">
        <v>13</v>
      </c>
      <c r="E731" s="2">
        <v>45270</v>
      </c>
      <c r="F731" s="2">
        <v>45947</v>
      </c>
      <c r="G731">
        <v>1500</v>
      </c>
      <c r="H731" t="s">
        <v>15</v>
      </c>
      <c r="I731" t="s">
        <v>17</v>
      </c>
      <c r="J731">
        <f t="shared" si="45"/>
        <v>4500</v>
      </c>
      <c r="K731" t="str">
        <f t="shared" si="44"/>
        <v>35+</v>
      </c>
      <c r="L731" t="str">
        <f t="shared" ca="1" si="46"/>
        <v>High Risk</v>
      </c>
      <c r="M731" t="str">
        <f t="shared" si="47"/>
        <v>Dec-2023</v>
      </c>
    </row>
    <row r="732" spans="1:13" x14ac:dyDescent="0.35">
      <c r="A732">
        <v>10731</v>
      </c>
      <c r="B732">
        <v>28</v>
      </c>
      <c r="C732" t="s">
        <v>9</v>
      </c>
      <c r="D732" t="s">
        <v>13</v>
      </c>
      <c r="E732" s="2">
        <v>45329</v>
      </c>
      <c r="F732" s="2">
        <v>45930</v>
      </c>
      <c r="G732">
        <v>1000</v>
      </c>
      <c r="H732" t="s">
        <v>14</v>
      </c>
      <c r="I732" t="s">
        <v>17</v>
      </c>
      <c r="J732">
        <f t="shared" si="45"/>
        <v>3000</v>
      </c>
      <c r="K732" t="str">
        <f t="shared" si="44"/>
        <v>25-34</v>
      </c>
      <c r="L732" t="str">
        <f t="shared" ca="1" si="46"/>
        <v>High Risk</v>
      </c>
      <c r="M732" t="str">
        <f t="shared" si="47"/>
        <v>Feb-2024</v>
      </c>
    </row>
    <row r="733" spans="1:13" x14ac:dyDescent="0.35">
      <c r="A733">
        <v>10732</v>
      </c>
      <c r="B733">
        <v>28</v>
      </c>
      <c r="C733" t="s">
        <v>9</v>
      </c>
      <c r="D733" t="s">
        <v>11</v>
      </c>
      <c r="E733" s="2">
        <v>45186</v>
      </c>
      <c r="F733" s="2">
        <v>46023</v>
      </c>
      <c r="G733">
        <v>1700</v>
      </c>
      <c r="H733" t="s">
        <v>15</v>
      </c>
      <c r="I733" t="s">
        <v>16</v>
      </c>
      <c r="J733">
        <f t="shared" si="45"/>
        <v>1700</v>
      </c>
      <c r="K733" t="str">
        <f t="shared" si="44"/>
        <v>25-34</v>
      </c>
      <c r="L733" t="str">
        <f t="shared" ca="1" si="46"/>
        <v>Safe</v>
      </c>
      <c r="M733" t="str">
        <f t="shared" si="47"/>
        <v>Sep-2023</v>
      </c>
    </row>
    <row r="734" spans="1:13" x14ac:dyDescent="0.35">
      <c r="A734">
        <v>10733</v>
      </c>
      <c r="B734">
        <v>35</v>
      </c>
      <c r="C734" t="s">
        <v>9</v>
      </c>
      <c r="D734" t="s">
        <v>11</v>
      </c>
      <c r="E734" s="2">
        <v>45551</v>
      </c>
      <c r="F734" s="2">
        <v>46010</v>
      </c>
      <c r="G734">
        <v>1200</v>
      </c>
      <c r="H734" t="s">
        <v>14</v>
      </c>
      <c r="I734" t="s">
        <v>16</v>
      </c>
      <c r="J734">
        <f t="shared" si="45"/>
        <v>1200</v>
      </c>
      <c r="K734" t="str">
        <f t="shared" si="44"/>
        <v>35+</v>
      </c>
      <c r="L734" t="str">
        <f t="shared" ca="1" si="46"/>
        <v>Safe</v>
      </c>
      <c r="M734" t="str">
        <f t="shared" si="47"/>
        <v>Sep-2024</v>
      </c>
    </row>
    <row r="735" spans="1:13" x14ac:dyDescent="0.35">
      <c r="A735">
        <v>10734</v>
      </c>
      <c r="B735">
        <v>32</v>
      </c>
      <c r="C735" t="s">
        <v>9</v>
      </c>
      <c r="D735" t="s">
        <v>12</v>
      </c>
      <c r="E735" s="2">
        <v>45648</v>
      </c>
      <c r="F735" s="2">
        <v>46017</v>
      </c>
      <c r="G735">
        <v>1300</v>
      </c>
      <c r="H735" t="s">
        <v>15</v>
      </c>
      <c r="I735" t="s">
        <v>16</v>
      </c>
      <c r="J735">
        <f t="shared" si="45"/>
        <v>15600</v>
      </c>
      <c r="K735" t="str">
        <f t="shared" si="44"/>
        <v>25-34</v>
      </c>
      <c r="L735" t="str">
        <f t="shared" ca="1" si="46"/>
        <v>Safe</v>
      </c>
      <c r="M735" t="str">
        <f t="shared" si="47"/>
        <v>Dec-2024</v>
      </c>
    </row>
    <row r="736" spans="1:13" x14ac:dyDescent="0.35">
      <c r="A736">
        <v>10735</v>
      </c>
      <c r="B736">
        <v>29</v>
      </c>
      <c r="C736" t="s">
        <v>9</v>
      </c>
      <c r="D736" t="s">
        <v>11</v>
      </c>
      <c r="E736" s="2">
        <v>45797</v>
      </c>
      <c r="F736" s="2">
        <v>46025</v>
      </c>
      <c r="G736">
        <v>1200</v>
      </c>
      <c r="H736" t="s">
        <v>14</v>
      </c>
      <c r="I736" t="s">
        <v>16</v>
      </c>
      <c r="J736">
        <f t="shared" si="45"/>
        <v>1200</v>
      </c>
      <c r="K736" t="str">
        <f t="shared" si="44"/>
        <v>25-34</v>
      </c>
      <c r="L736" t="str">
        <f t="shared" ca="1" si="46"/>
        <v>Safe</v>
      </c>
      <c r="M736" t="str">
        <f t="shared" si="47"/>
        <v>May-2025</v>
      </c>
    </row>
    <row r="737" spans="1:13" x14ac:dyDescent="0.35">
      <c r="A737">
        <v>10736</v>
      </c>
      <c r="B737">
        <v>26</v>
      </c>
      <c r="C737" t="s">
        <v>10</v>
      </c>
      <c r="D737" t="s">
        <v>11</v>
      </c>
      <c r="E737" s="2">
        <v>45543</v>
      </c>
      <c r="F737" s="2">
        <v>45927</v>
      </c>
      <c r="G737">
        <v>1200</v>
      </c>
      <c r="H737" t="s">
        <v>14</v>
      </c>
      <c r="I737" t="s">
        <v>17</v>
      </c>
      <c r="J737">
        <f t="shared" si="45"/>
        <v>1200</v>
      </c>
      <c r="K737" t="str">
        <f t="shared" si="44"/>
        <v>25-34</v>
      </c>
      <c r="L737" t="str">
        <f t="shared" ca="1" si="46"/>
        <v>High Risk</v>
      </c>
      <c r="M737" t="str">
        <f t="shared" si="47"/>
        <v>Sep-2024</v>
      </c>
    </row>
    <row r="738" spans="1:13" x14ac:dyDescent="0.35">
      <c r="A738">
        <v>10737</v>
      </c>
      <c r="B738">
        <v>27</v>
      </c>
      <c r="C738" t="s">
        <v>9</v>
      </c>
      <c r="D738" t="s">
        <v>12</v>
      </c>
      <c r="E738" s="2">
        <v>45935</v>
      </c>
      <c r="F738" s="2">
        <v>45923</v>
      </c>
      <c r="G738">
        <v>800</v>
      </c>
      <c r="H738" t="s">
        <v>14</v>
      </c>
      <c r="I738" t="s">
        <v>17</v>
      </c>
      <c r="J738">
        <f t="shared" si="45"/>
        <v>9600</v>
      </c>
      <c r="K738" t="str">
        <f t="shared" si="44"/>
        <v>25-34</v>
      </c>
      <c r="L738" t="str">
        <f t="shared" ca="1" si="46"/>
        <v>High Risk</v>
      </c>
      <c r="M738" t="str">
        <f t="shared" si="47"/>
        <v>Oct-2025</v>
      </c>
    </row>
    <row r="739" spans="1:13" x14ac:dyDescent="0.35">
      <c r="A739">
        <v>10738</v>
      </c>
      <c r="B739">
        <v>43</v>
      </c>
      <c r="C739" t="s">
        <v>9</v>
      </c>
      <c r="D739" t="s">
        <v>11</v>
      </c>
      <c r="E739" s="2">
        <v>45703</v>
      </c>
      <c r="F739" s="2">
        <v>46013</v>
      </c>
      <c r="G739">
        <v>1200</v>
      </c>
      <c r="H739" t="s">
        <v>14</v>
      </c>
      <c r="I739" t="s">
        <v>16</v>
      </c>
      <c r="J739">
        <f t="shared" si="45"/>
        <v>1200</v>
      </c>
      <c r="K739" t="str">
        <f t="shared" si="44"/>
        <v>35+</v>
      </c>
      <c r="L739" t="str">
        <f t="shared" ca="1" si="46"/>
        <v>Safe</v>
      </c>
      <c r="M739" t="str">
        <f t="shared" si="47"/>
        <v>Feb-2025</v>
      </c>
    </row>
    <row r="740" spans="1:13" x14ac:dyDescent="0.35">
      <c r="A740">
        <v>10739</v>
      </c>
      <c r="B740">
        <v>29</v>
      </c>
      <c r="C740" t="s">
        <v>9</v>
      </c>
      <c r="D740" t="s">
        <v>13</v>
      </c>
      <c r="E740" s="2">
        <v>45217</v>
      </c>
      <c r="F740" s="2">
        <v>45964</v>
      </c>
      <c r="G740">
        <v>1500</v>
      </c>
      <c r="H740" t="s">
        <v>15</v>
      </c>
      <c r="I740" t="s">
        <v>17</v>
      </c>
      <c r="J740">
        <f t="shared" si="45"/>
        <v>4500</v>
      </c>
      <c r="K740" t="str">
        <f t="shared" si="44"/>
        <v>25-34</v>
      </c>
      <c r="L740" t="str">
        <f t="shared" ca="1" si="46"/>
        <v>High Risk</v>
      </c>
      <c r="M740" t="str">
        <f t="shared" si="47"/>
        <v>Oct-2023</v>
      </c>
    </row>
    <row r="741" spans="1:13" x14ac:dyDescent="0.35">
      <c r="A741">
        <v>10740</v>
      </c>
      <c r="B741">
        <v>34</v>
      </c>
      <c r="C741" t="s">
        <v>10</v>
      </c>
      <c r="D741" t="s">
        <v>11</v>
      </c>
      <c r="E741" s="2">
        <v>45833</v>
      </c>
      <c r="F741" s="2">
        <v>45946</v>
      </c>
      <c r="G741">
        <v>1700</v>
      </c>
      <c r="H741" t="s">
        <v>15</v>
      </c>
      <c r="I741" t="s">
        <v>17</v>
      </c>
      <c r="J741">
        <f t="shared" si="45"/>
        <v>1700</v>
      </c>
      <c r="K741" t="str">
        <f t="shared" si="44"/>
        <v>25-34</v>
      </c>
      <c r="L741" t="str">
        <f t="shared" ca="1" si="46"/>
        <v>High Risk</v>
      </c>
      <c r="M741" t="str">
        <f t="shared" si="47"/>
        <v>Jun-2025</v>
      </c>
    </row>
    <row r="742" spans="1:13" x14ac:dyDescent="0.35">
      <c r="A742">
        <v>10741</v>
      </c>
      <c r="B742">
        <v>23</v>
      </c>
      <c r="C742" t="s">
        <v>10</v>
      </c>
      <c r="D742" t="s">
        <v>11</v>
      </c>
      <c r="E742" s="2">
        <v>45568</v>
      </c>
      <c r="F742" s="2">
        <v>45983</v>
      </c>
      <c r="G742">
        <v>1200</v>
      </c>
      <c r="H742" t="s">
        <v>14</v>
      </c>
      <c r="I742" t="s">
        <v>17</v>
      </c>
      <c r="J742">
        <f t="shared" si="45"/>
        <v>1200</v>
      </c>
      <c r="K742" t="str">
        <f t="shared" si="44"/>
        <v>18-24</v>
      </c>
      <c r="L742" t="str">
        <f t="shared" ca="1" si="46"/>
        <v>High Risk</v>
      </c>
      <c r="M742" t="str">
        <f t="shared" si="47"/>
        <v>Oct-2024</v>
      </c>
    </row>
    <row r="743" spans="1:13" x14ac:dyDescent="0.35">
      <c r="A743">
        <v>10742</v>
      </c>
      <c r="B743">
        <v>24</v>
      </c>
      <c r="C743" t="s">
        <v>10</v>
      </c>
      <c r="D743" t="s">
        <v>11</v>
      </c>
      <c r="E743" s="2">
        <v>45654</v>
      </c>
      <c r="F743" s="2">
        <v>46024</v>
      </c>
      <c r="G743">
        <v>1200</v>
      </c>
      <c r="H743" t="s">
        <v>14</v>
      </c>
      <c r="I743" t="s">
        <v>16</v>
      </c>
      <c r="J743">
        <f t="shared" si="45"/>
        <v>1200</v>
      </c>
      <c r="K743" t="str">
        <f t="shared" si="44"/>
        <v>18-24</v>
      </c>
      <c r="L743" t="str">
        <f t="shared" ca="1" si="46"/>
        <v>Safe</v>
      </c>
      <c r="M743" t="str">
        <f t="shared" si="47"/>
        <v>Dec-2024</v>
      </c>
    </row>
    <row r="744" spans="1:13" x14ac:dyDescent="0.35">
      <c r="A744">
        <v>10743</v>
      </c>
      <c r="B744">
        <v>31</v>
      </c>
      <c r="C744" t="s">
        <v>9</v>
      </c>
      <c r="D744" t="s">
        <v>11</v>
      </c>
      <c r="E744" s="2">
        <v>45209</v>
      </c>
      <c r="F744" s="2">
        <v>46029</v>
      </c>
      <c r="G744">
        <v>1700</v>
      </c>
      <c r="H744" t="s">
        <v>15</v>
      </c>
      <c r="I744" t="s">
        <v>16</v>
      </c>
      <c r="J744">
        <f t="shared" si="45"/>
        <v>1700</v>
      </c>
      <c r="K744" t="str">
        <f t="shared" si="44"/>
        <v>25-34</v>
      </c>
      <c r="L744" t="str">
        <f t="shared" ca="1" si="46"/>
        <v>Safe</v>
      </c>
      <c r="M744" t="str">
        <f t="shared" si="47"/>
        <v>Oct-2023</v>
      </c>
    </row>
    <row r="745" spans="1:13" x14ac:dyDescent="0.35">
      <c r="A745">
        <v>10744</v>
      </c>
      <c r="B745">
        <v>30</v>
      </c>
      <c r="C745" t="s">
        <v>9</v>
      </c>
      <c r="D745" t="s">
        <v>11</v>
      </c>
      <c r="E745" s="2">
        <v>45155</v>
      </c>
      <c r="F745" s="2">
        <v>46009</v>
      </c>
      <c r="G745">
        <v>1200</v>
      </c>
      <c r="H745" t="s">
        <v>14</v>
      </c>
      <c r="I745" t="s">
        <v>16</v>
      </c>
      <c r="J745">
        <f t="shared" si="45"/>
        <v>1200</v>
      </c>
      <c r="K745" t="str">
        <f t="shared" si="44"/>
        <v>25-34</v>
      </c>
      <c r="L745" t="str">
        <f t="shared" ca="1" si="46"/>
        <v>Safe</v>
      </c>
      <c r="M745" t="str">
        <f t="shared" si="47"/>
        <v>Aug-2023</v>
      </c>
    </row>
    <row r="746" spans="1:13" x14ac:dyDescent="0.35">
      <c r="A746">
        <v>10745</v>
      </c>
      <c r="B746">
        <v>25</v>
      </c>
      <c r="C746" t="s">
        <v>10</v>
      </c>
      <c r="D746" t="s">
        <v>11</v>
      </c>
      <c r="E746" s="2">
        <v>45795</v>
      </c>
      <c r="F746" s="2">
        <v>46024</v>
      </c>
      <c r="G746">
        <v>1200</v>
      </c>
      <c r="H746" t="s">
        <v>14</v>
      </c>
      <c r="I746" t="s">
        <v>16</v>
      </c>
      <c r="J746">
        <f t="shared" si="45"/>
        <v>1200</v>
      </c>
      <c r="K746" t="str">
        <f t="shared" si="44"/>
        <v>25-34</v>
      </c>
      <c r="L746" t="str">
        <f t="shared" ca="1" si="46"/>
        <v>Safe</v>
      </c>
      <c r="M746" t="str">
        <f t="shared" si="47"/>
        <v>May-2025</v>
      </c>
    </row>
    <row r="747" spans="1:13" x14ac:dyDescent="0.35">
      <c r="A747">
        <v>10746</v>
      </c>
      <c r="B747">
        <v>27</v>
      </c>
      <c r="C747" t="s">
        <v>9</v>
      </c>
      <c r="D747" t="s">
        <v>12</v>
      </c>
      <c r="E747" s="2">
        <v>45274</v>
      </c>
      <c r="F747" s="2">
        <v>46013</v>
      </c>
      <c r="G747">
        <v>800</v>
      </c>
      <c r="H747" t="s">
        <v>14</v>
      </c>
      <c r="I747" t="s">
        <v>16</v>
      </c>
      <c r="J747">
        <f t="shared" si="45"/>
        <v>9600</v>
      </c>
      <c r="K747" t="str">
        <f t="shared" si="44"/>
        <v>25-34</v>
      </c>
      <c r="L747" t="str">
        <f t="shared" ca="1" si="46"/>
        <v>Safe</v>
      </c>
      <c r="M747" t="str">
        <f t="shared" si="47"/>
        <v>Dec-2023</v>
      </c>
    </row>
    <row r="748" spans="1:13" x14ac:dyDescent="0.35">
      <c r="A748">
        <v>10747</v>
      </c>
      <c r="B748">
        <v>26</v>
      </c>
      <c r="C748" t="s">
        <v>9</v>
      </c>
      <c r="D748" t="s">
        <v>11</v>
      </c>
      <c r="E748" s="2">
        <v>45136</v>
      </c>
      <c r="F748" s="2">
        <v>45964</v>
      </c>
      <c r="G748">
        <v>1700</v>
      </c>
      <c r="H748" t="s">
        <v>15</v>
      </c>
      <c r="I748" t="s">
        <v>17</v>
      </c>
      <c r="J748">
        <f t="shared" si="45"/>
        <v>1700</v>
      </c>
      <c r="K748" t="str">
        <f t="shared" si="44"/>
        <v>25-34</v>
      </c>
      <c r="L748" t="str">
        <f t="shared" ca="1" si="46"/>
        <v>High Risk</v>
      </c>
      <c r="M748" t="str">
        <f t="shared" si="47"/>
        <v>Jul-2023</v>
      </c>
    </row>
    <row r="749" spans="1:13" x14ac:dyDescent="0.35">
      <c r="A749">
        <v>10748</v>
      </c>
      <c r="B749">
        <v>35</v>
      </c>
      <c r="C749" t="s">
        <v>10</v>
      </c>
      <c r="D749" t="s">
        <v>11</v>
      </c>
      <c r="E749" s="2">
        <v>45477</v>
      </c>
      <c r="F749" s="2">
        <v>45934</v>
      </c>
      <c r="G749">
        <v>1700</v>
      </c>
      <c r="H749" t="s">
        <v>15</v>
      </c>
      <c r="I749" t="s">
        <v>17</v>
      </c>
      <c r="J749">
        <f t="shared" si="45"/>
        <v>1700</v>
      </c>
      <c r="K749" t="str">
        <f t="shared" si="44"/>
        <v>35+</v>
      </c>
      <c r="L749" t="str">
        <f t="shared" ca="1" si="46"/>
        <v>High Risk</v>
      </c>
      <c r="M749" t="str">
        <f t="shared" si="47"/>
        <v>Jul-2024</v>
      </c>
    </row>
    <row r="750" spans="1:13" x14ac:dyDescent="0.35">
      <c r="A750">
        <v>10749</v>
      </c>
      <c r="B750">
        <v>44</v>
      </c>
      <c r="C750" t="s">
        <v>10</v>
      </c>
      <c r="D750" t="s">
        <v>12</v>
      </c>
      <c r="E750" s="2">
        <v>45934</v>
      </c>
      <c r="F750" s="2">
        <v>46026</v>
      </c>
      <c r="G750">
        <v>1300</v>
      </c>
      <c r="H750" t="s">
        <v>15</v>
      </c>
      <c r="I750" t="s">
        <v>16</v>
      </c>
      <c r="J750">
        <f t="shared" si="45"/>
        <v>15600</v>
      </c>
      <c r="K750" t="str">
        <f t="shared" si="44"/>
        <v>35+</v>
      </c>
      <c r="L750" t="str">
        <f t="shared" ca="1" si="46"/>
        <v>Safe</v>
      </c>
      <c r="M750" t="str">
        <f t="shared" si="47"/>
        <v>Oct-2025</v>
      </c>
    </row>
    <row r="751" spans="1:13" x14ac:dyDescent="0.35">
      <c r="A751">
        <v>10750</v>
      </c>
      <c r="B751">
        <v>43</v>
      </c>
      <c r="C751" t="s">
        <v>9</v>
      </c>
      <c r="D751" t="s">
        <v>13</v>
      </c>
      <c r="E751" s="2">
        <v>45779</v>
      </c>
      <c r="F751" s="2">
        <v>46010</v>
      </c>
      <c r="G751">
        <v>1000</v>
      </c>
      <c r="H751" t="s">
        <v>14</v>
      </c>
      <c r="I751" t="s">
        <v>16</v>
      </c>
      <c r="J751">
        <f t="shared" si="45"/>
        <v>3000</v>
      </c>
      <c r="K751" t="str">
        <f t="shared" si="44"/>
        <v>35+</v>
      </c>
      <c r="L751" t="str">
        <f t="shared" ca="1" si="46"/>
        <v>Safe</v>
      </c>
      <c r="M751" t="str">
        <f t="shared" si="47"/>
        <v>May-2025</v>
      </c>
    </row>
    <row r="752" spans="1:13" x14ac:dyDescent="0.35">
      <c r="A752">
        <v>10751</v>
      </c>
      <c r="B752">
        <v>19</v>
      </c>
      <c r="C752" t="s">
        <v>9</v>
      </c>
      <c r="D752" t="s">
        <v>11</v>
      </c>
      <c r="E752" s="2">
        <v>45566</v>
      </c>
      <c r="F752" s="2">
        <v>46029</v>
      </c>
      <c r="G752">
        <v>1200</v>
      </c>
      <c r="H752" t="s">
        <v>14</v>
      </c>
      <c r="I752" t="s">
        <v>16</v>
      </c>
      <c r="J752">
        <f t="shared" si="45"/>
        <v>1200</v>
      </c>
      <c r="K752" t="str">
        <f t="shared" si="44"/>
        <v>18-24</v>
      </c>
      <c r="L752" t="str">
        <f t="shared" ca="1" si="46"/>
        <v>Safe</v>
      </c>
      <c r="M752" t="str">
        <f t="shared" si="47"/>
        <v>Oct-2024</v>
      </c>
    </row>
    <row r="753" spans="1:13" x14ac:dyDescent="0.35">
      <c r="A753">
        <v>10752</v>
      </c>
      <c r="B753">
        <v>22</v>
      </c>
      <c r="C753" t="s">
        <v>9</v>
      </c>
      <c r="D753" t="s">
        <v>12</v>
      </c>
      <c r="E753" s="2">
        <v>45859</v>
      </c>
      <c r="F753" s="2">
        <v>46009</v>
      </c>
      <c r="G753">
        <v>800</v>
      </c>
      <c r="H753" t="s">
        <v>14</v>
      </c>
      <c r="I753" t="s">
        <v>16</v>
      </c>
      <c r="J753">
        <f t="shared" si="45"/>
        <v>9600</v>
      </c>
      <c r="K753" t="str">
        <f t="shared" si="44"/>
        <v>18-24</v>
      </c>
      <c r="L753" t="str">
        <f t="shared" ca="1" si="46"/>
        <v>Safe</v>
      </c>
      <c r="M753" t="str">
        <f t="shared" si="47"/>
        <v>Jul-2025</v>
      </c>
    </row>
    <row r="754" spans="1:13" x14ac:dyDescent="0.35">
      <c r="A754">
        <v>10753</v>
      </c>
      <c r="B754">
        <v>22</v>
      </c>
      <c r="C754" t="s">
        <v>9</v>
      </c>
      <c r="D754" t="s">
        <v>11</v>
      </c>
      <c r="E754" s="2">
        <v>45999</v>
      </c>
      <c r="F754" s="2">
        <v>46028</v>
      </c>
      <c r="G754">
        <v>1200</v>
      </c>
      <c r="H754" t="s">
        <v>14</v>
      </c>
      <c r="I754" t="s">
        <v>16</v>
      </c>
      <c r="J754">
        <f t="shared" si="45"/>
        <v>1200</v>
      </c>
      <c r="K754" t="str">
        <f t="shared" si="44"/>
        <v>18-24</v>
      </c>
      <c r="L754" t="str">
        <f t="shared" ca="1" si="46"/>
        <v>Safe</v>
      </c>
      <c r="M754" t="str">
        <f t="shared" si="47"/>
        <v>Dec-2025</v>
      </c>
    </row>
    <row r="755" spans="1:13" x14ac:dyDescent="0.35">
      <c r="A755">
        <v>10754</v>
      </c>
      <c r="B755">
        <v>23</v>
      </c>
      <c r="C755" t="s">
        <v>9</v>
      </c>
      <c r="D755" t="s">
        <v>11</v>
      </c>
      <c r="E755" s="2">
        <v>45616</v>
      </c>
      <c r="F755" s="2">
        <v>46023</v>
      </c>
      <c r="G755">
        <v>1200</v>
      </c>
      <c r="H755" t="s">
        <v>14</v>
      </c>
      <c r="I755" t="s">
        <v>16</v>
      </c>
      <c r="J755">
        <f t="shared" si="45"/>
        <v>1200</v>
      </c>
      <c r="K755" t="str">
        <f t="shared" si="44"/>
        <v>18-24</v>
      </c>
      <c r="L755" t="str">
        <f t="shared" ca="1" si="46"/>
        <v>Safe</v>
      </c>
      <c r="M755" t="str">
        <f t="shared" si="47"/>
        <v>Nov-2024</v>
      </c>
    </row>
    <row r="756" spans="1:13" x14ac:dyDescent="0.35">
      <c r="A756">
        <v>10755</v>
      </c>
      <c r="B756">
        <v>36</v>
      </c>
      <c r="C756" t="s">
        <v>10</v>
      </c>
      <c r="D756" t="s">
        <v>12</v>
      </c>
      <c r="E756" s="2">
        <v>45160</v>
      </c>
      <c r="F756" s="2">
        <v>46024</v>
      </c>
      <c r="G756">
        <v>800</v>
      </c>
      <c r="H756" t="s">
        <v>14</v>
      </c>
      <c r="I756" t="s">
        <v>16</v>
      </c>
      <c r="J756">
        <f t="shared" si="45"/>
        <v>9600</v>
      </c>
      <c r="K756" t="str">
        <f t="shared" si="44"/>
        <v>35+</v>
      </c>
      <c r="L756" t="str">
        <f t="shared" ca="1" si="46"/>
        <v>Safe</v>
      </c>
      <c r="M756" t="str">
        <f t="shared" si="47"/>
        <v>Aug-2023</v>
      </c>
    </row>
    <row r="757" spans="1:13" x14ac:dyDescent="0.35">
      <c r="A757">
        <v>10756</v>
      </c>
      <c r="B757">
        <v>25</v>
      </c>
      <c r="C757" t="s">
        <v>10</v>
      </c>
      <c r="D757" t="s">
        <v>13</v>
      </c>
      <c r="E757" s="2">
        <v>45988</v>
      </c>
      <c r="F757" s="2">
        <v>46014</v>
      </c>
      <c r="G757">
        <v>1000</v>
      </c>
      <c r="H757" t="s">
        <v>14</v>
      </c>
      <c r="I757" t="s">
        <v>16</v>
      </c>
      <c r="J757">
        <f t="shared" si="45"/>
        <v>3000</v>
      </c>
      <c r="K757" t="str">
        <f t="shared" si="44"/>
        <v>25-34</v>
      </c>
      <c r="L757" t="str">
        <f t="shared" ca="1" si="46"/>
        <v>Safe</v>
      </c>
      <c r="M757" t="str">
        <f t="shared" si="47"/>
        <v>Nov-2025</v>
      </c>
    </row>
    <row r="758" spans="1:13" x14ac:dyDescent="0.35">
      <c r="A758">
        <v>10757</v>
      </c>
      <c r="B758">
        <v>33</v>
      </c>
      <c r="C758" t="s">
        <v>10</v>
      </c>
      <c r="D758" t="s">
        <v>11</v>
      </c>
      <c r="E758" s="2">
        <v>45695</v>
      </c>
      <c r="F758" s="2">
        <v>46031</v>
      </c>
      <c r="G758">
        <v>1700</v>
      </c>
      <c r="H758" t="s">
        <v>15</v>
      </c>
      <c r="I758" t="s">
        <v>16</v>
      </c>
      <c r="J758">
        <f t="shared" si="45"/>
        <v>1700</v>
      </c>
      <c r="K758" t="str">
        <f t="shared" si="44"/>
        <v>25-34</v>
      </c>
      <c r="L758" t="str">
        <f t="shared" ca="1" si="46"/>
        <v>Safe</v>
      </c>
      <c r="M758" t="str">
        <f t="shared" si="47"/>
        <v>Feb-2025</v>
      </c>
    </row>
    <row r="759" spans="1:13" x14ac:dyDescent="0.35">
      <c r="A759">
        <v>10758</v>
      </c>
      <c r="B759">
        <v>30</v>
      </c>
      <c r="C759" t="s">
        <v>9</v>
      </c>
      <c r="D759" t="s">
        <v>11</v>
      </c>
      <c r="E759" s="2">
        <v>45489</v>
      </c>
      <c r="F759" s="2">
        <v>45952</v>
      </c>
      <c r="G759">
        <v>1200</v>
      </c>
      <c r="H759" t="s">
        <v>14</v>
      </c>
      <c r="I759" t="s">
        <v>17</v>
      </c>
      <c r="J759">
        <f t="shared" si="45"/>
        <v>1200</v>
      </c>
      <c r="K759" t="str">
        <f t="shared" si="44"/>
        <v>25-34</v>
      </c>
      <c r="L759" t="str">
        <f t="shared" ca="1" si="46"/>
        <v>High Risk</v>
      </c>
      <c r="M759" t="str">
        <f t="shared" si="47"/>
        <v>Jul-2024</v>
      </c>
    </row>
    <row r="760" spans="1:13" x14ac:dyDescent="0.35">
      <c r="A760">
        <v>10759</v>
      </c>
      <c r="B760">
        <v>18</v>
      </c>
      <c r="C760" t="s">
        <v>10</v>
      </c>
      <c r="D760" t="s">
        <v>13</v>
      </c>
      <c r="E760" s="2">
        <v>45173</v>
      </c>
      <c r="F760" s="2">
        <v>46019</v>
      </c>
      <c r="G760">
        <v>1000</v>
      </c>
      <c r="H760" t="s">
        <v>14</v>
      </c>
      <c r="I760" t="s">
        <v>16</v>
      </c>
      <c r="J760">
        <f t="shared" si="45"/>
        <v>3000</v>
      </c>
      <c r="K760" t="str">
        <f t="shared" si="44"/>
        <v>18-24</v>
      </c>
      <c r="L760" t="str">
        <f t="shared" ca="1" si="46"/>
        <v>Safe</v>
      </c>
      <c r="M760" t="str">
        <f t="shared" si="47"/>
        <v>Sep-2023</v>
      </c>
    </row>
    <row r="761" spans="1:13" x14ac:dyDescent="0.35">
      <c r="A761">
        <v>10760</v>
      </c>
      <c r="B761">
        <v>39</v>
      </c>
      <c r="C761" t="s">
        <v>10</v>
      </c>
      <c r="D761" t="s">
        <v>11</v>
      </c>
      <c r="E761" s="2">
        <v>45247</v>
      </c>
      <c r="F761" s="2">
        <v>46011</v>
      </c>
      <c r="G761">
        <v>1700</v>
      </c>
      <c r="H761" t="s">
        <v>15</v>
      </c>
      <c r="I761" t="s">
        <v>16</v>
      </c>
      <c r="J761">
        <f t="shared" si="45"/>
        <v>1700</v>
      </c>
      <c r="K761" t="str">
        <f t="shared" si="44"/>
        <v>35+</v>
      </c>
      <c r="L761" t="str">
        <f t="shared" ca="1" si="46"/>
        <v>Safe</v>
      </c>
      <c r="M761" t="str">
        <f t="shared" si="47"/>
        <v>Nov-2023</v>
      </c>
    </row>
    <row r="762" spans="1:13" x14ac:dyDescent="0.35">
      <c r="A762">
        <v>10761</v>
      </c>
      <c r="B762">
        <v>37</v>
      </c>
      <c r="C762" t="s">
        <v>9</v>
      </c>
      <c r="D762" t="s">
        <v>12</v>
      </c>
      <c r="E762" s="2">
        <v>45817</v>
      </c>
      <c r="F762" s="2">
        <v>46021</v>
      </c>
      <c r="G762">
        <v>1300</v>
      </c>
      <c r="H762" t="s">
        <v>15</v>
      </c>
      <c r="I762" t="s">
        <v>16</v>
      </c>
      <c r="J762">
        <f t="shared" si="45"/>
        <v>15600</v>
      </c>
      <c r="K762" t="str">
        <f t="shared" si="44"/>
        <v>35+</v>
      </c>
      <c r="L762" t="str">
        <f t="shared" ca="1" si="46"/>
        <v>Safe</v>
      </c>
      <c r="M762" t="str">
        <f t="shared" si="47"/>
        <v>Jun-2025</v>
      </c>
    </row>
    <row r="763" spans="1:13" x14ac:dyDescent="0.35">
      <c r="A763">
        <v>10762</v>
      </c>
      <c r="B763">
        <v>34</v>
      </c>
      <c r="C763" t="s">
        <v>10</v>
      </c>
      <c r="D763" t="s">
        <v>11</v>
      </c>
      <c r="E763" s="2">
        <v>45219</v>
      </c>
      <c r="F763" s="2">
        <v>46017</v>
      </c>
      <c r="G763">
        <v>1700</v>
      </c>
      <c r="H763" t="s">
        <v>15</v>
      </c>
      <c r="I763" t="s">
        <v>16</v>
      </c>
      <c r="J763">
        <f t="shared" si="45"/>
        <v>1700</v>
      </c>
      <c r="K763" t="str">
        <f t="shared" si="44"/>
        <v>25-34</v>
      </c>
      <c r="L763" t="str">
        <f t="shared" ca="1" si="46"/>
        <v>Safe</v>
      </c>
      <c r="M763" t="str">
        <f t="shared" si="47"/>
        <v>Oct-2023</v>
      </c>
    </row>
    <row r="764" spans="1:13" x14ac:dyDescent="0.35">
      <c r="A764">
        <v>10763</v>
      </c>
      <c r="B764">
        <v>24</v>
      </c>
      <c r="C764" t="s">
        <v>10</v>
      </c>
      <c r="D764" t="s">
        <v>12</v>
      </c>
      <c r="E764" s="2">
        <v>45179</v>
      </c>
      <c r="F764" s="2">
        <v>46025</v>
      </c>
      <c r="G764">
        <v>800</v>
      </c>
      <c r="H764" t="s">
        <v>14</v>
      </c>
      <c r="I764" t="s">
        <v>16</v>
      </c>
      <c r="J764">
        <f t="shared" si="45"/>
        <v>9600</v>
      </c>
      <c r="K764" t="str">
        <f t="shared" si="44"/>
        <v>18-24</v>
      </c>
      <c r="L764" t="str">
        <f t="shared" ca="1" si="46"/>
        <v>Safe</v>
      </c>
      <c r="M764" t="str">
        <f t="shared" si="47"/>
        <v>Sep-2023</v>
      </c>
    </row>
    <row r="765" spans="1:13" x14ac:dyDescent="0.35">
      <c r="A765">
        <v>10764</v>
      </c>
      <c r="B765">
        <v>42</v>
      </c>
      <c r="C765" t="s">
        <v>9</v>
      </c>
      <c r="D765" t="s">
        <v>13</v>
      </c>
      <c r="E765" s="2">
        <v>45683</v>
      </c>
      <c r="F765" s="2">
        <v>45985</v>
      </c>
      <c r="G765">
        <v>1000</v>
      </c>
      <c r="H765" t="s">
        <v>14</v>
      </c>
      <c r="I765" t="s">
        <v>17</v>
      </c>
      <c r="J765">
        <f t="shared" si="45"/>
        <v>3000</v>
      </c>
      <c r="K765" t="str">
        <f t="shared" si="44"/>
        <v>35+</v>
      </c>
      <c r="L765" t="str">
        <f t="shared" ca="1" si="46"/>
        <v>High Risk</v>
      </c>
      <c r="M765" t="str">
        <f t="shared" si="47"/>
        <v>Jan-2025</v>
      </c>
    </row>
    <row r="766" spans="1:13" x14ac:dyDescent="0.35">
      <c r="A766">
        <v>10765</v>
      </c>
      <c r="B766">
        <v>30</v>
      </c>
      <c r="C766" t="s">
        <v>9</v>
      </c>
      <c r="D766" t="s">
        <v>12</v>
      </c>
      <c r="E766" s="2">
        <v>45825</v>
      </c>
      <c r="F766" s="2">
        <v>45965</v>
      </c>
      <c r="G766">
        <v>800</v>
      </c>
      <c r="H766" t="s">
        <v>14</v>
      </c>
      <c r="I766" t="s">
        <v>17</v>
      </c>
      <c r="J766">
        <f t="shared" si="45"/>
        <v>9600</v>
      </c>
      <c r="K766" t="str">
        <f t="shared" si="44"/>
        <v>25-34</v>
      </c>
      <c r="L766" t="str">
        <f t="shared" ca="1" si="46"/>
        <v>High Risk</v>
      </c>
      <c r="M766" t="str">
        <f t="shared" si="47"/>
        <v>Jun-2025</v>
      </c>
    </row>
    <row r="767" spans="1:13" x14ac:dyDescent="0.35">
      <c r="A767">
        <v>10766</v>
      </c>
      <c r="B767">
        <v>21</v>
      </c>
      <c r="C767" t="s">
        <v>9</v>
      </c>
      <c r="D767" t="s">
        <v>13</v>
      </c>
      <c r="E767" s="2">
        <v>45277</v>
      </c>
      <c r="F767" s="2">
        <v>46008</v>
      </c>
      <c r="G767">
        <v>1000</v>
      </c>
      <c r="H767" t="s">
        <v>14</v>
      </c>
      <c r="I767" t="s">
        <v>16</v>
      </c>
      <c r="J767">
        <f t="shared" si="45"/>
        <v>3000</v>
      </c>
      <c r="K767" t="str">
        <f t="shared" si="44"/>
        <v>18-24</v>
      </c>
      <c r="L767" t="str">
        <f t="shared" ca="1" si="46"/>
        <v>Safe</v>
      </c>
      <c r="M767" t="str">
        <f t="shared" si="47"/>
        <v>Dec-2023</v>
      </c>
    </row>
    <row r="768" spans="1:13" x14ac:dyDescent="0.35">
      <c r="A768">
        <v>10767</v>
      </c>
      <c r="B768">
        <v>21</v>
      </c>
      <c r="C768" t="s">
        <v>9</v>
      </c>
      <c r="D768" t="s">
        <v>13</v>
      </c>
      <c r="E768" s="2">
        <v>45372</v>
      </c>
      <c r="F768" s="2">
        <v>46011</v>
      </c>
      <c r="G768">
        <v>1500</v>
      </c>
      <c r="H768" t="s">
        <v>15</v>
      </c>
      <c r="I768" t="s">
        <v>16</v>
      </c>
      <c r="J768">
        <f t="shared" si="45"/>
        <v>4500</v>
      </c>
      <c r="K768" t="str">
        <f t="shared" si="44"/>
        <v>18-24</v>
      </c>
      <c r="L768" t="str">
        <f t="shared" ca="1" si="46"/>
        <v>Safe</v>
      </c>
      <c r="M768" t="str">
        <f t="shared" si="47"/>
        <v>Mar-2024</v>
      </c>
    </row>
    <row r="769" spans="1:13" x14ac:dyDescent="0.35">
      <c r="A769">
        <v>10768</v>
      </c>
      <c r="B769">
        <v>23</v>
      </c>
      <c r="C769" t="s">
        <v>9</v>
      </c>
      <c r="D769" t="s">
        <v>11</v>
      </c>
      <c r="E769" s="2">
        <v>45979</v>
      </c>
      <c r="F769" s="2">
        <v>46012</v>
      </c>
      <c r="G769">
        <v>1200</v>
      </c>
      <c r="H769" t="s">
        <v>14</v>
      </c>
      <c r="I769" t="s">
        <v>16</v>
      </c>
      <c r="J769">
        <f t="shared" si="45"/>
        <v>1200</v>
      </c>
      <c r="K769" t="str">
        <f t="shared" si="44"/>
        <v>18-24</v>
      </c>
      <c r="L769" t="str">
        <f t="shared" ca="1" si="46"/>
        <v>Safe</v>
      </c>
      <c r="M769" t="str">
        <f t="shared" si="47"/>
        <v>Nov-2025</v>
      </c>
    </row>
    <row r="770" spans="1:13" x14ac:dyDescent="0.35">
      <c r="A770">
        <v>10769</v>
      </c>
      <c r="B770">
        <v>45</v>
      </c>
      <c r="C770" t="s">
        <v>10</v>
      </c>
      <c r="D770" t="s">
        <v>11</v>
      </c>
      <c r="E770" s="2">
        <v>45224</v>
      </c>
      <c r="F770" s="2">
        <v>46029</v>
      </c>
      <c r="G770">
        <v>1700</v>
      </c>
      <c r="H770" t="s">
        <v>15</v>
      </c>
      <c r="I770" t="s">
        <v>16</v>
      </c>
      <c r="J770">
        <f t="shared" si="45"/>
        <v>1700</v>
      </c>
      <c r="K770" t="str">
        <f t="shared" ref="K770:K833" si="48">IF(B770&lt;25,"18-24",IF(B770&lt;35,"25-34","35+"))</f>
        <v>35+</v>
      </c>
      <c r="L770" t="str">
        <f t="shared" ca="1" si="46"/>
        <v>Safe</v>
      </c>
      <c r="M770" t="str">
        <f t="shared" si="47"/>
        <v>Oct-2023</v>
      </c>
    </row>
    <row r="771" spans="1:13" x14ac:dyDescent="0.35">
      <c r="A771">
        <v>10770</v>
      </c>
      <c r="B771">
        <v>36</v>
      </c>
      <c r="C771" t="s">
        <v>9</v>
      </c>
      <c r="D771" t="s">
        <v>11</v>
      </c>
      <c r="E771" s="2">
        <v>45810</v>
      </c>
      <c r="F771" s="2">
        <v>45995</v>
      </c>
      <c r="G771">
        <v>1200</v>
      </c>
      <c r="H771" t="s">
        <v>14</v>
      </c>
      <c r="I771" t="s">
        <v>17</v>
      </c>
      <c r="J771">
        <f t="shared" ref="J771:J834" si="49">IF(D771="Monthly",G771,IF(D771="Quarterly",G771*3,G771*12))</f>
        <v>1200</v>
      </c>
      <c r="K771" t="str">
        <f t="shared" si="48"/>
        <v>35+</v>
      </c>
      <c r="L771" t="str">
        <f t="shared" ref="L771:L834" ca="1" si="50">IF(F771&lt;TODAY()-30,"High Risk","Safe")</f>
        <v>High Risk</v>
      </c>
      <c r="M771" t="str">
        <f t="shared" ref="M771:M834" si="51">TEXT(E771,"mmm-yyyy")</f>
        <v>Jun-2025</v>
      </c>
    </row>
    <row r="772" spans="1:13" x14ac:dyDescent="0.35">
      <c r="A772">
        <v>10771</v>
      </c>
      <c r="B772">
        <v>29</v>
      </c>
      <c r="C772" t="s">
        <v>9</v>
      </c>
      <c r="D772" t="s">
        <v>12</v>
      </c>
      <c r="E772" s="2">
        <v>45422</v>
      </c>
      <c r="F772" s="2">
        <v>46008</v>
      </c>
      <c r="G772">
        <v>800</v>
      </c>
      <c r="H772" t="s">
        <v>14</v>
      </c>
      <c r="I772" t="s">
        <v>16</v>
      </c>
      <c r="J772">
        <f t="shared" si="49"/>
        <v>9600</v>
      </c>
      <c r="K772" t="str">
        <f t="shared" si="48"/>
        <v>25-34</v>
      </c>
      <c r="L772" t="str">
        <f t="shared" ca="1" si="50"/>
        <v>Safe</v>
      </c>
      <c r="M772" t="str">
        <f t="shared" si="51"/>
        <v>May-2024</v>
      </c>
    </row>
    <row r="773" spans="1:13" x14ac:dyDescent="0.35">
      <c r="A773">
        <v>10772</v>
      </c>
      <c r="B773">
        <v>39</v>
      </c>
      <c r="C773" t="s">
        <v>9</v>
      </c>
      <c r="D773" t="s">
        <v>12</v>
      </c>
      <c r="E773" s="2">
        <v>45933</v>
      </c>
      <c r="F773" s="2">
        <v>46021</v>
      </c>
      <c r="G773">
        <v>800</v>
      </c>
      <c r="H773" t="s">
        <v>14</v>
      </c>
      <c r="I773" t="s">
        <v>16</v>
      </c>
      <c r="J773">
        <f t="shared" si="49"/>
        <v>9600</v>
      </c>
      <c r="K773" t="str">
        <f t="shared" si="48"/>
        <v>35+</v>
      </c>
      <c r="L773" t="str">
        <f t="shared" ca="1" si="50"/>
        <v>Safe</v>
      </c>
      <c r="M773" t="str">
        <f t="shared" si="51"/>
        <v>Oct-2025</v>
      </c>
    </row>
    <row r="774" spans="1:13" x14ac:dyDescent="0.35">
      <c r="A774">
        <v>10773</v>
      </c>
      <c r="B774">
        <v>24</v>
      </c>
      <c r="C774" t="s">
        <v>9</v>
      </c>
      <c r="D774" t="s">
        <v>11</v>
      </c>
      <c r="E774" s="2">
        <v>45784</v>
      </c>
      <c r="F774" s="2">
        <v>46008</v>
      </c>
      <c r="G774">
        <v>1200</v>
      </c>
      <c r="H774" t="s">
        <v>14</v>
      </c>
      <c r="I774" t="s">
        <v>16</v>
      </c>
      <c r="J774">
        <f t="shared" si="49"/>
        <v>1200</v>
      </c>
      <c r="K774" t="str">
        <f t="shared" si="48"/>
        <v>18-24</v>
      </c>
      <c r="L774" t="str">
        <f t="shared" ca="1" si="50"/>
        <v>Safe</v>
      </c>
      <c r="M774" t="str">
        <f t="shared" si="51"/>
        <v>May-2025</v>
      </c>
    </row>
    <row r="775" spans="1:13" x14ac:dyDescent="0.35">
      <c r="A775">
        <v>10774</v>
      </c>
      <c r="B775">
        <v>44</v>
      </c>
      <c r="C775" t="s">
        <v>9</v>
      </c>
      <c r="D775" t="s">
        <v>11</v>
      </c>
      <c r="E775" s="2">
        <v>45751</v>
      </c>
      <c r="F775" s="2">
        <v>46018</v>
      </c>
      <c r="G775">
        <v>1200</v>
      </c>
      <c r="H775" t="s">
        <v>14</v>
      </c>
      <c r="I775" t="s">
        <v>16</v>
      </c>
      <c r="J775">
        <f t="shared" si="49"/>
        <v>1200</v>
      </c>
      <c r="K775" t="str">
        <f t="shared" si="48"/>
        <v>35+</v>
      </c>
      <c r="L775" t="str">
        <f t="shared" ca="1" si="50"/>
        <v>Safe</v>
      </c>
      <c r="M775" t="str">
        <f t="shared" si="51"/>
        <v>Apr-2025</v>
      </c>
    </row>
    <row r="776" spans="1:13" x14ac:dyDescent="0.35">
      <c r="A776">
        <v>10775</v>
      </c>
      <c r="B776">
        <v>27</v>
      </c>
      <c r="C776" t="s">
        <v>9</v>
      </c>
      <c r="D776" t="s">
        <v>11</v>
      </c>
      <c r="E776" s="2">
        <v>45156</v>
      </c>
      <c r="F776" s="2">
        <v>46009</v>
      </c>
      <c r="G776">
        <v>1700</v>
      </c>
      <c r="H776" t="s">
        <v>15</v>
      </c>
      <c r="I776" t="s">
        <v>16</v>
      </c>
      <c r="J776">
        <f t="shared" si="49"/>
        <v>1700</v>
      </c>
      <c r="K776" t="str">
        <f t="shared" si="48"/>
        <v>25-34</v>
      </c>
      <c r="L776" t="str">
        <f t="shared" ca="1" si="50"/>
        <v>Safe</v>
      </c>
      <c r="M776" t="str">
        <f t="shared" si="51"/>
        <v>Aug-2023</v>
      </c>
    </row>
    <row r="777" spans="1:13" x14ac:dyDescent="0.35">
      <c r="A777">
        <v>10776</v>
      </c>
      <c r="B777">
        <v>43</v>
      </c>
      <c r="C777" t="s">
        <v>9</v>
      </c>
      <c r="D777" t="s">
        <v>13</v>
      </c>
      <c r="E777" s="2">
        <v>45663</v>
      </c>
      <c r="F777" s="2">
        <v>46021</v>
      </c>
      <c r="G777">
        <v>1000</v>
      </c>
      <c r="H777" t="s">
        <v>14</v>
      </c>
      <c r="I777" t="s">
        <v>16</v>
      </c>
      <c r="J777">
        <f t="shared" si="49"/>
        <v>3000</v>
      </c>
      <c r="K777" t="str">
        <f t="shared" si="48"/>
        <v>35+</v>
      </c>
      <c r="L777" t="str">
        <f t="shared" ca="1" si="50"/>
        <v>Safe</v>
      </c>
      <c r="M777" t="str">
        <f t="shared" si="51"/>
        <v>Jan-2025</v>
      </c>
    </row>
    <row r="778" spans="1:13" x14ac:dyDescent="0.35">
      <c r="A778">
        <v>10777</v>
      </c>
      <c r="B778">
        <v>36</v>
      </c>
      <c r="C778" t="s">
        <v>9</v>
      </c>
      <c r="D778" t="s">
        <v>13</v>
      </c>
      <c r="E778" s="2">
        <v>45226</v>
      </c>
      <c r="F778" s="2">
        <v>45960</v>
      </c>
      <c r="G778">
        <v>1000</v>
      </c>
      <c r="H778" t="s">
        <v>14</v>
      </c>
      <c r="I778" t="s">
        <v>17</v>
      </c>
      <c r="J778">
        <f t="shared" si="49"/>
        <v>3000</v>
      </c>
      <c r="K778" t="str">
        <f t="shared" si="48"/>
        <v>35+</v>
      </c>
      <c r="L778" t="str">
        <f t="shared" ca="1" si="50"/>
        <v>High Risk</v>
      </c>
      <c r="M778" t="str">
        <f t="shared" si="51"/>
        <v>Oct-2023</v>
      </c>
    </row>
    <row r="779" spans="1:13" x14ac:dyDescent="0.35">
      <c r="A779">
        <v>10778</v>
      </c>
      <c r="B779">
        <v>24</v>
      </c>
      <c r="C779" t="s">
        <v>9</v>
      </c>
      <c r="D779" t="s">
        <v>12</v>
      </c>
      <c r="E779" s="2">
        <v>45471</v>
      </c>
      <c r="F779" s="2">
        <v>45965</v>
      </c>
      <c r="G779">
        <v>1300</v>
      </c>
      <c r="H779" t="s">
        <v>15</v>
      </c>
      <c r="I779" t="s">
        <v>17</v>
      </c>
      <c r="J779">
        <f t="shared" si="49"/>
        <v>15600</v>
      </c>
      <c r="K779" t="str">
        <f t="shared" si="48"/>
        <v>18-24</v>
      </c>
      <c r="L779" t="str">
        <f t="shared" ca="1" si="50"/>
        <v>High Risk</v>
      </c>
      <c r="M779" t="str">
        <f t="shared" si="51"/>
        <v>Jun-2024</v>
      </c>
    </row>
    <row r="780" spans="1:13" x14ac:dyDescent="0.35">
      <c r="A780">
        <v>10779</v>
      </c>
      <c r="B780">
        <v>20</v>
      </c>
      <c r="C780" t="s">
        <v>9</v>
      </c>
      <c r="D780" t="s">
        <v>12</v>
      </c>
      <c r="E780" s="2">
        <v>45611</v>
      </c>
      <c r="F780" s="2">
        <v>46032</v>
      </c>
      <c r="G780">
        <v>800</v>
      </c>
      <c r="H780" t="s">
        <v>14</v>
      </c>
      <c r="I780" t="s">
        <v>16</v>
      </c>
      <c r="J780">
        <f t="shared" si="49"/>
        <v>9600</v>
      </c>
      <c r="K780" t="str">
        <f t="shared" si="48"/>
        <v>18-24</v>
      </c>
      <c r="L780" t="str">
        <f t="shared" ca="1" si="50"/>
        <v>Safe</v>
      </c>
      <c r="M780" t="str">
        <f t="shared" si="51"/>
        <v>Nov-2024</v>
      </c>
    </row>
    <row r="781" spans="1:13" x14ac:dyDescent="0.35">
      <c r="A781">
        <v>10780</v>
      </c>
      <c r="B781">
        <v>30</v>
      </c>
      <c r="C781" t="s">
        <v>10</v>
      </c>
      <c r="D781" t="s">
        <v>11</v>
      </c>
      <c r="E781" s="2">
        <v>45959</v>
      </c>
      <c r="F781" s="2">
        <v>46030</v>
      </c>
      <c r="G781">
        <v>1200</v>
      </c>
      <c r="H781" t="s">
        <v>14</v>
      </c>
      <c r="I781" t="s">
        <v>16</v>
      </c>
      <c r="J781">
        <f t="shared" si="49"/>
        <v>1200</v>
      </c>
      <c r="K781" t="str">
        <f t="shared" si="48"/>
        <v>25-34</v>
      </c>
      <c r="L781" t="str">
        <f t="shared" ca="1" si="50"/>
        <v>Safe</v>
      </c>
      <c r="M781" t="str">
        <f t="shared" si="51"/>
        <v>Oct-2025</v>
      </c>
    </row>
    <row r="782" spans="1:13" x14ac:dyDescent="0.35">
      <c r="A782">
        <v>10781</v>
      </c>
      <c r="B782">
        <v>30</v>
      </c>
      <c r="C782" t="s">
        <v>9</v>
      </c>
      <c r="D782" t="s">
        <v>13</v>
      </c>
      <c r="E782" s="2">
        <v>45715</v>
      </c>
      <c r="F782" s="2">
        <v>46025</v>
      </c>
      <c r="G782">
        <v>1500</v>
      </c>
      <c r="H782" t="s">
        <v>15</v>
      </c>
      <c r="I782" t="s">
        <v>16</v>
      </c>
      <c r="J782">
        <f t="shared" si="49"/>
        <v>4500</v>
      </c>
      <c r="K782" t="str">
        <f t="shared" si="48"/>
        <v>25-34</v>
      </c>
      <c r="L782" t="str">
        <f t="shared" ca="1" si="50"/>
        <v>Safe</v>
      </c>
      <c r="M782" t="str">
        <f t="shared" si="51"/>
        <v>Feb-2025</v>
      </c>
    </row>
    <row r="783" spans="1:13" x14ac:dyDescent="0.35">
      <c r="A783">
        <v>10782</v>
      </c>
      <c r="B783">
        <v>35</v>
      </c>
      <c r="C783" t="s">
        <v>10</v>
      </c>
      <c r="D783" t="s">
        <v>11</v>
      </c>
      <c r="E783" s="2">
        <v>45469</v>
      </c>
      <c r="F783" s="2">
        <v>45974</v>
      </c>
      <c r="G783">
        <v>1200</v>
      </c>
      <c r="H783" t="s">
        <v>14</v>
      </c>
      <c r="I783" t="s">
        <v>17</v>
      </c>
      <c r="J783">
        <f t="shared" si="49"/>
        <v>1200</v>
      </c>
      <c r="K783" t="str">
        <f t="shared" si="48"/>
        <v>35+</v>
      </c>
      <c r="L783" t="str">
        <f t="shared" ca="1" si="50"/>
        <v>High Risk</v>
      </c>
      <c r="M783" t="str">
        <f t="shared" si="51"/>
        <v>Jun-2024</v>
      </c>
    </row>
    <row r="784" spans="1:13" x14ac:dyDescent="0.35">
      <c r="A784">
        <v>10783</v>
      </c>
      <c r="B784">
        <v>45</v>
      </c>
      <c r="C784" t="s">
        <v>9</v>
      </c>
      <c r="D784" t="s">
        <v>11</v>
      </c>
      <c r="E784" s="2">
        <v>45730</v>
      </c>
      <c r="F784" s="2">
        <v>46026</v>
      </c>
      <c r="G784">
        <v>1700</v>
      </c>
      <c r="H784" t="s">
        <v>15</v>
      </c>
      <c r="I784" t="s">
        <v>16</v>
      </c>
      <c r="J784">
        <f t="shared" si="49"/>
        <v>1700</v>
      </c>
      <c r="K784" t="str">
        <f t="shared" si="48"/>
        <v>35+</v>
      </c>
      <c r="L784" t="str">
        <f t="shared" ca="1" si="50"/>
        <v>Safe</v>
      </c>
      <c r="M784" t="str">
        <f t="shared" si="51"/>
        <v>Mar-2025</v>
      </c>
    </row>
    <row r="785" spans="1:13" x14ac:dyDescent="0.35">
      <c r="A785">
        <v>10784</v>
      </c>
      <c r="B785">
        <v>43</v>
      </c>
      <c r="C785" t="s">
        <v>9</v>
      </c>
      <c r="D785" t="s">
        <v>11</v>
      </c>
      <c r="E785" s="2">
        <v>45479</v>
      </c>
      <c r="F785" s="2">
        <v>46026</v>
      </c>
      <c r="G785">
        <v>1200</v>
      </c>
      <c r="H785" t="s">
        <v>14</v>
      </c>
      <c r="I785" t="s">
        <v>16</v>
      </c>
      <c r="J785">
        <f t="shared" si="49"/>
        <v>1200</v>
      </c>
      <c r="K785" t="str">
        <f t="shared" si="48"/>
        <v>35+</v>
      </c>
      <c r="L785" t="str">
        <f t="shared" ca="1" si="50"/>
        <v>Safe</v>
      </c>
      <c r="M785" t="str">
        <f t="shared" si="51"/>
        <v>Jul-2024</v>
      </c>
    </row>
    <row r="786" spans="1:13" x14ac:dyDescent="0.35">
      <c r="A786">
        <v>10785</v>
      </c>
      <c r="B786">
        <v>37</v>
      </c>
      <c r="C786" t="s">
        <v>10</v>
      </c>
      <c r="D786" t="s">
        <v>11</v>
      </c>
      <c r="E786" s="2">
        <v>45957</v>
      </c>
      <c r="F786" s="2">
        <v>46010</v>
      </c>
      <c r="G786">
        <v>1700</v>
      </c>
      <c r="H786" t="s">
        <v>15</v>
      </c>
      <c r="I786" t="s">
        <v>16</v>
      </c>
      <c r="J786">
        <f t="shared" si="49"/>
        <v>1700</v>
      </c>
      <c r="K786" t="str">
        <f t="shared" si="48"/>
        <v>35+</v>
      </c>
      <c r="L786" t="str">
        <f t="shared" ca="1" si="50"/>
        <v>Safe</v>
      </c>
      <c r="M786" t="str">
        <f t="shared" si="51"/>
        <v>Oct-2025</v>
      </c>
    </row>
    <row r="787" spans="1:13" x14ac:dyDescent="0.35">
      <c r="A787">
        <v>10786</v>
      </c>
      <c r="B787">
        <v>45</v>
      </c>
      <c r="C787" t="s">
        <v>9</v>
      </c>
      <c r="D787" t="s">
        <v>12</v>
      </c>
      <c r="E787" s="2">
        <v>45627</v>
      </c>
      <c r="F787" s="2">
        <v>46028</v>
      </c>
      <c r="G787">
        <v>800</v>
      </c>
      <c r="H787" t="s">
        <v>14</v>
      </c>
      <c r="I787" t="s">
        <v>16</v>
      </c>
      <c r="J787">
        <f t="shared" si="49"/>
        <v>9600</v>
      </c>
      <c r="K787" t="str">
        <f t="shared" si="48"/>
        <v>35+</v>
      </c>
      <c r="L787" t="str">
        <f t="shared" ca="1" si="50"/>
        <v>Safe</v>
      </c>
      <c r="M787" t="str">
        <f t="shared" si="51"/>
        <v>Dec-2024</v>
      </c>
    </row>
    <row r="788" spans="1:13" x14ac:dyDescent="0.35">
      <c r="A788">
        <v>10787</v>
      </c>
      <c r="B788">
        <v>25</v>
      </c>
      <c r="C788" t="s">
        <v>9</v>
      </c>
      <c r="D788" t="s">
        <v>11</v>
      </c>
      <c r="E788" s="2">
        <v>45649</v>
      </c>
      <c r="F788" s="2">
        <v>46012</v>
      </c>
      <c r="G788">
        <v>1700</v>
      </c>
      <c r="H788" t="s">
        <v>15</v>
      </c>
      <c r="I788" t="s">
        <v>16</v>
      </c>
      <c r="J788">
        <f t="shared" si="49"/>
        <v>1700</v>
      </c>
      <c r="K788" t="str">
        <f t="shared" si="48"/>
        <v>25-34</v>
      </c>
      <c r="L788" t="str">
        <f t="shared" ca="1" si="50"/>
        <v>Safe</v>
      </c>
      <c r="M788" t="str">
        <f t="shared" si="51"/>
        <v>Dec-2024</v>
      </c>
    </row>
    <row r="789" spans="1:13" x14ac:dyDescent="0.35">
      <c r="A789">
        <v>10788</v>
      </c>
      <c r="B789">
        <v>26</v>
      </c>
      <c r="C789" t="s">
        <v>9</v>
      </c>
      <c r="D789" t="s">
        <v>13</v>
      </c>
      <c r="E789" s="2">
        <v>45959</v>
      </c>
      <c r="F789" s="2">
        <v>45923</v>
      </c>
      <c r="G789">
        <v>1000</v>
      </c>
      <c r="H789" t="s">
        <v>14</v>
      </c>
      <c r="I789" t="s">
        <v>17</v>
      </c>
      <c r="J789">
        <f t="shared" si="49"/>
        <v>3000</v>
      </c>
      <c r="K789" t="str">
        <f t="shared" si="48"/>
        <v>25-34</v>
      </c>
      <c r="L789" t="str">
        <f t="shared" ca="1" si="50"/>
        <v>High Risk</v>
      </c>
      <c r="M789" t="str">
        <f t="shared" si="51"/>
        <v>Oct-2025</v>
      </c>
    </row>
    <row r="790" spans="1:13" x14ac:dyDescent="0.35">
      <c r="A790">
        <v>10789</v>
      </c>
      <c r="B790">
        <v>24</v>
      </c>
      <c r="C790" t="s">
        <v>9</v>
      </c>
      <c r="D790" t="s">
        <v>12</v>
      </c>
      <c r="E790" s="2">
        <v>45718</v>
      </c>
      <c r="F790" s="2">
        <v>46029</v>
      </c>
      <c r="G790">
        <v>800</v>
      </c>
      <c r="H790" t="s">
        <v>14</v>
      </c>
      <c r="I790" t="s">
        <v>16</v>
      </c>
      <c r="J790">
        <f t="shared" si="49"/>
        <v>9600</v>
      </c>
      <c r="K790" t="str">
        <f t="shared" si="48"/>
        <v>18-24</v>
      </c>
      <c r="L790" t="str">
        <f t="shared" ca="1" si="50"/>
        <v>Safe</v>
      </c>
      <c r="M790" t="str">
        <f t="shared" si="51"/>
        <v>Mar-2025</v>
      </c>
    </row>
    <row r="791" spans="1:13" x14ac:dyDescent="0.35">
      <c r="A791">
        <v>10790</v>
      </c>
      <c r="B791">
        <v>18</v>
      </c>
      <c r="C791" t="s">
        <v>9</v>
      </c>
      <c r="D791" t="s">
        <v>12</v>
      </c>
      <c r="E791" s="2">
        <v>45283</v>
      </c>
      <c r="F791" s="2">
        <v>46029</v>
      </c>
      <c r="G791">
        <v>800</v>
      </c>
      <c r="H791" t="s">
        <v>14</v>
      </c>
      <c r="I791" t="s">
        <v>16</v>
      </c>
      <c r="J791">
        <f t="shared" si="49"/>
        <v>9600</v>
      </c>
      <c r="K791" t="str">
        <f t="shared" si="48"/>
        <v>18-24</v>
      </c>
      <c r="L791" t="str">
        <f t="shared" ca="1" si="50"/>
        <v>Safe</v>
      </c>
      <c r="M791" t="str">
        <f t="shared" si="51"/>
        <v>Dec-2023</v>
      </c>
    </row>
    <row r="792" spans="1:13" x14ac:dyDescent="0.35">
      <c r="A792">
        <v>10791</v>
      </c>
      <c r="B792">
        <v>20</v>
      </c>
      <c r="C792" t="s">
        <v>9</v>
      </c>
      <c r="D792" t="s">
        <v>11</v>
      </c>
      <c r="E792" s="2">
        <v>45990</v>
      </c>
      <c r="F792" s="2">
        <v>46028</v>
      </c>
      <c r="G792">
        <v>1200</v>
      </c>
      <c r="H792" t="s">
        <v>14</v>
      </c>
      <c r="I792" t="s">
        <v>16</v>
      </c>
      <c r="J792">
        <f t="shared" si="49"/>
        <v>1200</v>
      </c>
      <c r="K792" t="str">
        <f t="shared" si="48"/>
        <v>18-24</v>
      </c>
      <c r="L792" t="str">
        <f t="shared" ca="1" si="50"/>
        <v>Safe</v>
      </c>
      <c r="M792" t="str">
        <f t="shared" si="51"/>
        <v>Nov-2025</v>
      </c>
    </row>
    <row r="793" spans="1:13" x14ac:dyDescent="0.35">
      <c r="A793">
        <v>10792</v>
      </c>
      <c r="B793">
        <v>30</v>
      </c>
      <c r="C793" t="s">
        <v>9</v>
      </c>
      <c r="D793" t="s">
        <v>13</v>
      </c>
      <c r="E793" s="2">
        <v>45369</v>
      </c>
      <c r="F793" s="2">
        <v>46011</v>
      </c>
      <c r="G793">
        <v>1000</v>
      </c>
      <c r="H793" t="s">
        <v>14</v>
      </c>
      <c r="I793" t="s">
        <v>16</v>
      </c>
      <c r="J793">
        <f t="shared" si="49"/>
        <v>3000</v>
      </c>
      <c r="K793" t="str">
        <f t="shared" si="48"/>
        <v>25-34</v>
      </c>
      <c r="L793" t="str">
        <f t="shared" ca="1" si="50"/>
        <v>Safe</v>
      </c>
      <c r="M793" t="str">
        <f t="shared" si="51"/>
        <v>Mar-2024</v>
      </c>
    </row>
    <row r="794" spans="1:13" x14ac:dyDescent="0.35">
      <c r="A794">
        <v>10793</v>
      </c>
      <c r="B794">
        <v>45</v>
      </c>
      <c r="C794" t="s">
        <v>9</v>
      </c>
      <c r="D794" t="s">
        <v>11</v>
      </c>
      <c r="E794" s="2">
        <v>45699</v>
      </c>
      <c r="F794" s="2">
        <v>46014</v>
      </c>
      <c r="G794">
        <v>1700</v>
      </c>
      <c r="H794" t="s">
        <v>15</v>
      </c>
      <c r="I794" t="s">
        <v>16</v>
      </c>
      <c r="J794">
        <f t="shared" si="49"/>
        <v>1700</v>
      </c>
      <c r="K794" t="str">
        <f t="shared" si="48"/>
        <v>35+</v>
      </c>
      <c r="L794" t="str">
        <f t="shared" ca="1" si="50"/>
        <v>Safe</v>
      </c>
      <c r="M794" t="str">
        <f t="shared" si="51"/>
        <v>Feb-2025</v>
      </c>
    </row>
    <row r="795" spans="1:13" x14ac:dyDescent="0.35">
      <c r="A795">
        <v>10794</v>
      </c>
      <c r="B795">
        <v>42</v>
      </c>
      <c r="C795" t="s">
        <v>9</v>
      </c>
      <c r="D795" t="s">
        <v>12</v>
      </c>
      <c r="E795" s="2">
        <v>45717</v>
      </c>
      <c r="F795" s="2">
        <v>45917</v>
      </c>
      <c r="G795">
        <v>1300</v>
      </c>
      <c r="H795" t="s">
        <v>15</v>
      </c>
      <c r="I795" t="s">
        <v>17</v>
      </c>
      <c r="J795">
        <f t="shared" si="49"/>
        <v>15600</v>
      </c>
      <c r="K795" t="str">
        <f t="shared" si="48"/>
        <v>35+</v>
      </c>
      <c r="L795" t="str">
        <f t="shared" ca="1" si="50"/>
        <v>High Risk</v>
      </c>
      <c r="M795" t="str">
        <f t="shared" si="51"/>
        <v>Mar-2025</v>
      </c>
    </row>
    <row r="796" spans="1:13" x14ac:dyDescent="0.35">
      <c r="A796">
        <v>10795</v>
      </c>
      <c r="B796">
        <v>45</v>
      </c>
      <c r="C796" t="s">
        <v>10</v>
      </c>
      <c r="D796" t="s">
        <v>13</v>
      </c>
      <c r="E796" s="2">
        <v>45186</v>
      </c>
      <c r="F796" s="2">
        <v>46027</v>
      </c>
      <c r="G796">
        <v>1000</v>
      </c>
      <c r="H796" t="s">
        <v>14</v>
      </c>
      <c r="I796" t="s">
        <v>16</v>
      </c>
      <c r="J796">
        <f t="shared" si="49"/>
        <v>3000</v>
      </c>
      <c r="K796" t="str">
        <f t="shared" si="48"/>
        <v>35+</v>
      </c>
      <c r="L796" t="str">
        <f t="shared" ca="1" si="50"/>
        <v>Safe</v>
      </c>
      <c r="M796" t="str">
        <f t="shared" si="51"/>
        <v>Sep-2023</v>
      </c>
    </row>
    <row r="797" spans="1:13" x14ac:dyDescent="0.35">
      <c r="A797">
        <v>10796</v>
      </c>
      <c r="B797">
        <v>34</v>
      </c>
      <c r="C797" t="s">
        <v>10</v>
      </c>
      <c r="D797" t="s">
        <v>13</v>
      </c>
      <c r="E797" s="2">
        <v>45998</v>
      </c>
      <c r="F797" s="2">
        <v>46009</v>
      </c>
      <c r="G797">
        <v>1000</v>
      </c>
      <c r="H797" t="s">
        <v>14</v>
      </c>
      <c r="I797" t="s">
        <v>16</v>
      </c>
      <c r="J797">
        <f t="shared" si="49"/>
        <v>3000</v>
      </c>
      <c r="K797" t="str">
        <f t="shared" si="48"/>
        <v>25-34</v>
      </c>
      <c r="L797" t="str">
        <f t="shared" ca="1" si="50"/>
        <v>Safe</v>
      </c>
      <c r="M797" t="str">
        <f t="shared" si="51"/>
        <v>Dec-2025</v>
      </c>
    </row>
    <row r="798" spans="1:13" x14ac:dyDescent="0.35">
      <c r="A798">
        <v>10797</v>
      </c>
      <c r="B798">
        <v>42</v>
      </c>
      <c r="C798" t="s">
        <v>9</v>
      </c>
      <c r="D798" t="s">
        <v>11</v>
      </c>
      <c r="E798" s="2">
        <v>45377</v>
      </c>
      <c r="F798" s="2">
        <v>46010</v>
      </c>
      <c r="G798">
        <v>1700</v>
      </c>
      <c r="H798" t="s">
        <v>15</v>
      </c>
      <c r="I798" t="s">
        <v>16</v>
      </c>
      <c r="J798">
        <f t="shared" si="49"/>
        <v>1700</v>
      </c>
      <c r="K798" t="str">
        <f t="shared" si="48"/>
        <v>35+</v>
      </c>
      <c r="L798" t="str">
        <f t="shared" ca="1" si="50"/>
        <v>Safe</v>
      </c>
      <c r="M798" t="str">
        <f t="shared" si="51"/>
        <v>Mar-2024</v>
      </c>
    </row>
    <row r="799" spans="1:13" x14ac:dyDescent="0.35">
      <c r="A799">
        <v>10798</v>
      </c>
      <c r="B799">
        <v>41</v>
      </c>
      <c r="C799" t="s">
        <v>10</v>
      </c>
      <c r="D799" t="s">
        <v>12</v>
      </c>
      <c r="E799" s="2">
        <v>45353</v>
      </c>
      <c r="F799" s="2">
        <v>46028</v>
      </c>
      <c r="G799">
        <v>800</v>
      </c>
      <c r="H799" t="s">
        <v>14</v>
      </c>
      <c r="I799" t="s">
        <v>16</v>
      </c>
      <c r="J799">
        <f t="shared" si="49"/>
        <v>9600</v>
      </c>
      <c r="K799" t="str">
        <f t="shared" si="48"/>
        <v>35+</v>
      </c>
      <c r="L799" t="str">
        <f t="shared" ca="1" si="50"/>
        <v>Safe</v>
      </c>
      <c r="M799" t="str">
        <f t="shared" si="51"/>
        <v>Mar-2024</v>
      </c>
    </row>
    <row r="800" spans="1:13" x14ac:dyDescent="0.35">
      <c r="A800">
        <v>10799</v>
      </c>
      <c r="B800">
        <v>18</v>
      </c>
      <c r="C800" t="s">
        <v>9</v>
      </c>
      <c r="D800" t="s">
        <v>11</v>
      </c>
      <c r="E800" s="2">
        <v>45209</v>
      </c>
      <c r="F800" s="2">
        <v>45975</v>
      </c>
      <c r="G800">
        <v>1700</v>
      </c>
      <c r="H800" t="s">
        <v>15</v>
      </c>
      <c r="I800" t="s">
        <v>17</v>
      </c>
      <c r="J800">
        <f t="shared" si="49"/>
        <v>1700</v>
      </c>
      <c r="K800" t="str">
        <f t="shared" si="48"/>
        <v>18-24</v>
      </c>
      <c r="L800" t="str">
        <f t="shared" ca="1" si="50"/>
        <v>High Risk</v>
      </c>
      <c r="M800" t="str">
        <f t="shared" si="51"/>
        <v>Oct-2023</v>
      </c>
    </row>
    <row r="801" spans="1:13" x14ac:dyDescent="0.35">
      <c r="A801">
        <v>10800</v>
      </c>
      <c r="B801">
        <v>23</v>
      </c>
      <c r="C801" t="s">
        <v>9</v>
      </c>
      <c r="D801" t="s">
        <v>11</v>
      </c>
      <c r="E801" s="2">
        <v>45534</v>
      </c>
      <c r="F801" s="2">
        <v>45940</v>
      </c>
      <c r="G801">
        <v>1700</v>
      </c>
      <c r="H801" t="s">
        <v>15</v>
      </c>
      <c r="I801" t="s">
        <v>17</v>
      </c>
      <c r="J801">
        <f t="shared" si="49"/>
        <v>1700</v>
      </c>
      <c r="K801" t="str">
        <f t="shared" si="48"/>
        <v>18-24</v>
      </c>
      <c r="L801" t="str">
        <f t="shared" ca="1" si="50"/>
        <v>High Risk</v>
      </c>
      <c r="M801" t="str">
        <f t="shared" si="51"/>
        <v>Aug-2024</v>
      </c>
    </row>
    <row r="802" spans="1:13" x14ac:dyDescent="0.35">
      <c r="A802">
        <v>10801</v>
      </c>
      <c r="B802">
        <v>38</v>
      </c>
      <c r="C802" t="s">
        <v>9</v>
      </c>
      <c r="D802" t="s">
        <v>11</v>
      </c>
      <c r="E802" s="2">
        <v>45615</v>
      </c>
      <c r="F802" s="2">
        <v>46029</v>
      </c>
      <c r="G802">
        <v>1200</v>
      </c>
      <c r="H802" t="s">
        <v>14</v>
      </c>
      <c r="I802" t="s">
        <v>16</v>
      </c>
      <c r="J802">
        <f t="shared" si="49"/>
        <v>1200</v>
      </c>
      <c r="K802" t="str">
        <f t="shared" si="48"/>
        <v>35+</v>
      </c>
      <c r="L802" t="str">
        <f t="shared" ca="1" si="50"/>
        <v>Safe</v>
      </c>
      <c r="M802" t="str">
        <f t="shared" si="51"/>
        <v>Nov-2024</v>
      </c>
    </row>
    <row r="803" spans="1:13" x14ac:dyDescent="0.35">
      <c r="A803">
        <v>10802</v>
      </c>
      <c r="B803">
        <v>23</v>
      </c>
      <c r="C803" t="s">
        <v>10</v>
      </c>
      <c r="D803" t="s">
        <v>11</v>
      </c>
      <c r="E803" s="2">
        <v>45585</v>
      </c>
      <c r="F803" s="2">
        <v>45927</v>
      </c>
      <c r="G803">
        <v>1200</v>
      </c>
      <c r="H803" t="s">
        <v>14</v>
      </c>
      <c r="I803" t="s">
        <v>17</v>
      </c>
      <c r="J803">
        <f t="shared" si="49"/>
        <v>1200</v>
      </c>
      <c r="K803" t="str">
        <f t="shared" si="48"/>
        <v>18-24</v>
      </c>
      <c r="L803" t="str">
        <f t="shared" ca="1" si="50"/>
        <v>High Risk</v>
      </c>
      <c r="M803" t="str">
        <f t="shared" si="51"/>
        <v>Oct-2024</v>
      </c>
    </row>
    <row r="804" spans="1:13" x14ac:dyDescent="0.35">
      <c r="A804">
        <v>10803</v>
      </c>
      <c r="B804">
        <v>43</v>
      </c>
      <c r="C804" t="s">
        <v>9</v>
      </c>
      <c r="D804" t="s">
        <v>11</v>
      </c>
      <c r="E804" s="2">
        <v>45292</v>
      </c>
      <c r="F804" s="2">
        <v>46025</v>
      </c>
      <c r="G804">
        <v>1200</v>
      </c>
      <c r="H804" t="s">
        <v>14</v>
      </c>
      <c r="I804" t="s">
        <v>16</v>
      </c>
      <c r="J804">
        <f t="shared" si="49"/>
        <v>1200</v>
      </c>
      <c r="K804" t="str">
        <f t="shared" si="48"/>
        <v>35+</v>
      </c>
      <c r="L804" t="str">
        <f t="shared" ca="1" si="50"/>
        <v>Safe</v>
      </c>
      <c r="M804" t="str">
        <f t="shared" si="51"/>
        <v>Jan-2024</v>
      </c>
    </row>
    <row r="805" spans="1:13" x14ac:dyDescent="0.35">
      <c r="A805">
        <v>10804</v>
      </c>
      <c r="B805">
        <v>29</v>
      </c>
      <c r="C805" t="s">
        <v>9</v>
      </c>
      <c r="D805" t="s">
        <v>12</v>
      </c>
      <c r="E805" s="2">
        <v>45179</v>
      </c>
      <c r="F805" s="2">
        <v>46010</v>
      </c>
      <c r="G805">
        <v>800</v>
      </c>
      <c r="H805" t="s">
        <v>14</v>
      </c>
      <c r="I805" t="s">
        <v>16</v>
      </c>
      <c r="J805">
        <f t="shared" si="49"/>
        <v>9600</v>
      </c>
      <c r="K805" t="str">
        <f t="shared" si="48"/>
        <v>25-34</v>
      </c>
      <c r="L805" t="str">
        <f t="shared" ca="1" si="50"/>
        <v>Safe</v>
      </c>
      <c r="M805" t="str">
        <f t="shared" si="51"/>
        <v>Sep-2023</v>
      </c>
    </row>
    <row r="806" spans="1:13" x14ac:dyDescent="0.35">
      <c r="A806">
        <v>10805</v>
      </c>
      <c r="B806">
        <v>30</v>
      </c>
      <c r="C806" t="s">
        <v>9</v>
      </c>
      <c r="D806" t="s">
        <v>12</v>
      </c>
      <c r="E806" s="2">
        <v>45880</v>
      </c>
      <c r="F806" s="2">
        <v>46012</v>
      </c>
      <c r="G806">
        <v>800</v>
      </c>
      <c r="H806" t="s">
        <v>14</v>
      </c>
      <c r="I806" t="s">
        <v>16</v>
      </c>
      <c r="J806">
        <f t="shared" si="49"/>
        <v>9600</v>
      </c>
      <c r="K806" t="str">
        <f t="shared" si="48"/>
        <v>25-34</v>
      </c>
      <c r="L806" t="str">
        <f t="shared" ca="1" si="50"/>
        <v>Safe</v>
      </c>
      <c r="M806" t="str">
        <f t="shared" si="51"/>
        <v>Aug-2025</v>
      </c>
    </row>
    <row r="807" spans="1:13" x14ac:dyDescent="0.35">
      <c r="A807">
        <v>10806</v>
      </c>
      <c r="B807">
        <v>30</v>
      </c>
      <c r="C807" t="s">
        <v>10</v>
      </c>
      <c r="D807" t="s">
        <v>11</v>
      </c>
      <c r="E807" s="2">
        <v>45240</v>
      </c>
      <c r="F807" s="2">
        <v>45950</v>
      </c>
      <c r="G807">
        <v>1200</v>
      </c>
      <c r="H807" t="s">
        <v>14</v>
      </c>
      <c r="I807" t="s">
        <v>17</v>
      </c>
      <c r="J807">
        <f t="shared" si="49"/>
        <v>1200</v>
      </c>
      <c r="K807" t="str">
        <f t="shared" si="48"/>
        <v>25-34</v>
      </c>
      <c r="L807" t="str">
        <f t="shared" ca="1" si="50"/>
        <v>High Risk</v>
      </c>
      <c r="M807" t="str">
        <f t="shared" si="51"/>
        <v>Nov-2023</v>
      </c>
    </row>
    <row r="808" spans="1:13" x14ac:dyDescent="0.35">
      <c r="A808">
        <v>10807</v>
      </c>
      <c r="B808">
        <v>32</v>
      </c>
      <c r="C808" t="s">
        <v>10</v>
      </c>
      <c r="D808" t="s">
        <v>11</v>
      </c>
      <c r="E808" s="2">
        <v>45733</v>
      </c>
      <c r="F808" s="2">
        <v>46009</v>
      </c>
      <c r="G808">
        <v>1700</v>
      </c>
      <c r="H808" t="s">
        <v>15</v>
      </c>
      <c r="I808" t="s">
        <v>16</v>
      </c>
      <c r="J808">
        <f t="shared" si="49"/>
        <v>1700</v>
      </c>
      <c r="K808" t="str">
        <f t="shared" si="48"/>
        <v>25-34</v>
      </c>
      <c r="L808" t="str">
        <f t="shared" ca="1" si="50"/>
        <v>Safe</v>
      </c>
      <c r="M808" t="str">
        <f t="shared" si="51"/>
        <v>Mar-2025</v>
      </c>
    </row>
    <row r="809" spans="1:13" x14ac:dyDescent="0.35">
      <c r="A809">
        <v>10808</v>
      </c>
      <c r="B809">
        <v>38</v>
      </c>
      <c r="C809" t="s">
        <v>10</v>
      </c>
      <c r="D809" t="s">
        <v>11</v>
      </c>
      <c r="E809" s="2">
        <v>45447</v>
      </c>
      <c r="F809" s="2">
        <v>46017</v>
      </c>
      <c r="G809">
        <v>1700</v>
      </c>
      <c r="H809" t="s">
        <v>15</v>
      </c>
      <c r="I809" t="s">
        <v>16</v>
      </c>
      <c r="J809">
        <f t="shared" si="49"/>
        <v>1700</v>
      </c>
      <c r="K809" t="str">
        <f t="shared" si="48"/>
        <v>35+</v>
      </c>
      <c r="L809" t="str">
        <f t="shared" ca="1" si="50"/>
        <v>Safe</v>
      </c>
      <c r="M809" t="str">
        <f t="shared" si="51"/>
        <v>Jun-2024</v>
      </c>
    </row>
    <row r="810" spans="1:13" x14ac:dyDescent="0.35">
      <c r="A810">
        <v>10809</v>
      </c>
      <c r="B810">
        <v>33</v>
      </c>
      <c r="C810" t="s">
        <v>9</v>
      </c>
      <c r="D810" t="s">
        <v>11</v>
      </c>
      <c r="E810" s="2">
        <v>45228</v>
      </c>
      <c r="F810" s="2">
        <v>46019</v>
      </c>
      <c r="G810">
        <v>1200</v>
      </c>
      <c r="H810" t="s">
        <v>14</v>
      </c>
      <c r="I810" t="s">
        <v>16</v>
      </c>
      <c r="J810">
        <f t="shared" si="49"/>
        <v>1200</v>
      </c>
      <c r="K810" t="str">
        <f t="shared" si="48"/>
        <v>25-34</v>
      </c>
      <c r="L810" t="str">
        <f t="shared" ca="1" si="50"/>
        <v>Safe</v>
      </c>
      <c r="M810" t="str">
        <f t="shared" si="51"/>
        <v>Oct-2023</v>
      </c>
    </row>
    <row r="811" spans="1:13" x14ac:dyDescent="0.35">
      <c r="A811">
        <v>10810</v>
      </c>
      <c r="B811">
        <v>39</v>
      </c>
      <c r="C811" t="s">
        <v>9</v>
      </c>
      <c r="D811" t="s">
        <v>11</v>
      </c>
      <c r="E811" s="2">
        <v>45865</v>
      </c>
      <c r="F811" s="2">
        <v>46024</v>
      </c>
      <c r="G811">
        <v>1200</v>
      </c>
      <c r="H811" t="s">
        <v>14</v>
      </c>
      <c r="I811" t="s">
        <v>16</v>
      </c>
      <c r="J811">
        <f t="shared" si="49"/>
        <v>1200</v>
      </c>
      <c r="K811" t="str">
        <f t="shared" si="48"/>
        <v>35+</v>
      </c>
      <c r="L811" t="str">
        <f t="shared" ca="1" si="50"/>
        <v>Safe</v>
      </c>
      <c r="M811" t="str">
        <f t="shared" si="51"/>
        <v>Jul-2025</v>
      </c>
    </row>
    <row r="812" spans="1:13" x14ac:dyDescent="0.35">
      <c r="A812">
        <v>10811</v>
      </c>
      <c r="B812">
        <v>38</v>
      </c>
      <c r="C812" t="s">
        <v>9</v>
      </c>
      <c r="D812" t="s">
        <v>12</v>
      </c>
      <c r="E812" s="2">
        <v>45573</v>
      </c>
      <c r="F812" s="2">
        <v>45962</v>
      </c>
      <c r="G812">
        <v>800</v>
      </c>
      <c r="H812" t="s">
        <v>14</v>
      </c>
      <c r="I812" t="s">
        <v>17</v>
      </c>
      <c r="J812">
        <f t="shared" si="49"/>
        <v>9600</v>
      </c>
      <c r="K812" t="str">
        <f t="shared" si="48"/>
        <v>35+</v>
      </c>
      <c r="L812" t="str">
        <f t="shared" ca="1" si="50"/>
        <v>High Risk</v>
      </c>
      <c r="M812" t="str">
        <f t="shared" si="51"/>
        <v>Oct-2024</v>
      </c>
    </row>
    <row r="813" spans="1:13" x14ac:dyDescent="0.35">
      <c r="A813">
        <v>10812</v>
      </c>
      <c r="B813">
        <v>28</v>
      </c>
      <c r="C813" t="s">
        <v>9</v>
      </c>
      <c r="D813" t="s">
        <v>11</v>
      </c>
      <c r="E813" s="2">
        <v>45272</v>
      </c>
      <c r="F813" s="2">
        <v>46022</v>
      </c>
      <c r="G813">
        <v>1700</v>
      </c>
      <c r="H813" t="s">
        <v>15</v>
      </c>
      <c r="I813" t="s">
        <v>16</v>
      </c>
      <c r="J813">
        <f t="shared" si="49"/>
        <v>1700</v>
      </c>
      <c r="K813" t="str">
        <f t="shared" si="48"/>
        <v>25-34</v>
      </c>
      <c r="L813" t="str">
        <f t="shared" ca="1" si="50"/>
        <v>Safe</v>
      </c>
      <c r="M813" t="str">
        <f t="shared" si="51"/>
        <v>Dec-2023</v>
      </c>
    </row>
    <row r="814" spans="1:13" x14ac:dyDescent="0.35">
      <c r="A814">
        <v>10813</v>
      </c>
      <c r="B814">
        <v>45</v>
      </c>
      <c r="C814" t="s">
        <v>9</v>
      </c>
      <c r="D814" t="s">
        <v>11</v>
      </c>
      <c r="E814" s="2">
        <v>45361</v>
      </c>
      <c r="F814" s="2">
        <v>46030</v>
      </c>
      <c r="G814">
        <v>1700</v>
      </c>
      <c r="H814" t="s">
        <v>15</v>
      </c>
      <c r="I814" t="s">
        <v>16</v>
      </c>
      <c r="J814">
        <f t="shared" si="49"/>
        <v>1700</v>
      </c>
      <c r="K814" t="str">
        <f t="shared" si="48"/>
        <v>35+</v>
      </c>
      <c r="L814" t="str">
        <f t="shared" ca="1" si="50"/>
        <v>Safe</v>
      </c>
      <c r="M814" t="str">
        <f t="shared" si="51"/>
        <v>Mar-2024</v>
      </c>
    </row>
    <row r="815" spans="1:13" x14ac:dyDescent="0.35">
      <c r="A815">
        <v>10814</v>
      </c>
      <c r="B815">
        <v>22</v>
      </c>
      <c r="C815" t="s">
        <v>9</v>
      </c>
      <c r="D815" t="s">
        <v>11</v>
      </c>
      <c r="E815" s="2">
        <v>45341</v>
      </c>
      <c r="F815" s="2">
        <v>46023</v>
      </c>
      <c r="G815">
        <v>1200</v>
      </c>
      <c r="H815" t="s">
        <v>14</v>
      </c>
      <c r="I815" t="s">
        <v>16</v>
      </c>
      <c r="J815">
        <f t="shared" si="49"/>
        <v>1200</v>
      </c>
      <c r="K815" t="str">
        <f t="shared" si="48"/>
        <v>18-24</v>
      </c>
      <c r="L815" t="str">
        <f t="shared" ca="1" si="50"/>
        <v>Safe</v>
      </c>
      <c r="M815" t="str">
        <f t="shared" si="51"/>
        <v>Feb-2024</v>
      </c>
    </row>
    <row r="816" spans="1:13" x14ac:dyDescent="0.35">
      <c r="A816">
        <v>10815</v>
      </c>
      <c r="B816">
        <v>21</v>
      </c>
      <c r="C816" t="s">
        <v>10</v>
      </c>
      <c r="D816" t="s">
        <v>12</v>
      </c>
      <c r="E816" s="2">
        <v>45480</v>
      </c>
      <c r="F816" s="2">
        <v>46031</v>
      </c>
      <c r="G816">
        <v>1300</v>
      </c>
      <c r="H816" t="s">
        <v>15</v>
      </c>
      <c r="I816" t="s">
        <v>16</v>
      </c>
      <c r="J816">
        <f t="shared" si="49"/>
        <v>15600</v>
      </c>
      <c r="K816" t="str">
        <f t="shared" si="48"/>
        <v>18-24</v>
      </c>
      <c r="L816" t="str">
        <f t="shared" ca="1" si="50"/>
        <v>Safe</v>
      </c>
      <c r="M816" t="str">
        <f t="shared" si="51"/>
        <v>Jul-2024</v>
      </c>
    </row>
    <row r="817" spans="1:13" x14ac:dyDescent="0.35">
      <c r="A817">
        <v>10816</v>
      </c>
      <c r="B817">
        <v>20</v>
      </c>
      <c r="C817" t="s">
        <v>10</v>
      </c>
      <c r="D817" t="s">
        <v>13</v>
      </c>
      <c r="E817" s="2">
        <v>45201</v>
      </c>
      <c r="F817" s="2">
        <v>46032</v>
      </c>
      <c r="G817">
        <v>1000</v>
      </c>
      <c r="H817" t="s">
        <v>14</v>
      </c>
      <c r="I817" t="s">
        <v>16</v>
      </c>
      <c r="J817">
        <f t="shared" si="49"/>
        <v>3000</v>
      </c>
      <c r="K817" t="str">
        <f t="shared" si="48"/>
        <v>18-24</v>
      </c>
      <c r="L817" t="str">
        <f t="shared" ca="1" si="50"/>
        <v>Safe</v>
      </c>
      <c r="M817" t="str">
        <f t="shared" si="51"/>
        <v>Oct-2023</v>
      </c>
    </row>
    <row r="818" spans="1:13" x14ac:dyDescent="0.35">
      <c r="A818">
        <v>10817</v>
      </c>
      <c r="B818">
        <v>36</v>
      </c>
      <c r="C818" t="s">
        <v>10</v>
      </c>
      <c r="D818" t="s">
        <v>12</v>
      </c>
      <c r="E818" s="2">
        <v>45953</v>
      </c>
      <c r="F818" s="2">
        <v>46021</v>
      </c>
      <c r="G818">
        <v>1300</v>
      </c>
      <c r="H818" t="s">
        <v>15</v>
      </c>
      <c r="I818" t="s">
        <v>16</v>
      </c>
      <c r="J818">
        <f t="shared" si="49"/>
        <v>15600</v>
      </c>
      <c r="K818" t="str">
        <f t="shared" si="48"/>
        <v>35+</v>
      </c>
      <c r="L818" t="str">
        <f t="shared" ca="1" si="50"/>
        <v>Safe</v>
      </c>
      <c r="M818" t="str">
        <f t="shared" si="51"/>
        <v>Oct-2025</v>
      </c>
    </row>
    <row r="819" spans="1:13" x14ac:dyDescent="0.35">
      <c r="A819">
        <v>10818</v>
      </c>
      <c r="B819">
        <v>37</v>
      </c>
      <c r="C819" t="s">
        <v>10</v>
      </c>
      <c r="D819" t="s">
        <v>12</v>
      </c>
      <c r="E819" s="2">
        <v>45134</v>
      </c>
      <c r="F819" s="2">
        <v>46017</v>
      </c>
      <c r="G819">
        <v>1300</v>
      </c>
      <c r="H819" t="s">
        <v>15</v>
      </c>
      <c r="I819" t="s">
        <v>16</v>
      </c>
      <c r="J819">
        <f t="shared" si="49"/>
        <v>15600</v>
      </c>
      <c r="K819" t="str">
        <f t="shared" si="48"/>
        <v>35+</v>
      </c>
      <c r="L819" t="str">
        <f t="shared" ca="1" si="50"/>
        <v>Safe</v>
      </c>
      <c r="M819" t="str">
        <f t="shared" si="51"/>
        <v>Jul-2023</v>
      </c>
    </row>
    <row r="820" spans="1:13" x14ac:dyDescent="0.35">
      <c r="A820">
        <v>10819</v>
      </c>
      <c r="B820">
        <v>42</v>
      </c>
      <c r="C820" t="s">
        <v>9</v>
      </c>
      <c r="D820" t="s">
        <v>11</v>
      </c>
      <c r="E820" s="2">
        <v>45708</v>
      </c>
      <c r="F820" s="2">
        <v>46009</v>
      </c>
      <c r="G820">
        <v>1200</v>
      </c>
      <c r="H820" t="s">
        <v>14</v>
      </c>
      <c r="I820" t="s">
        <v>16</v>
      </c>
      <c r="J820">
        <f t="shared" si="49"/>
        <v>1200</v>
      </c>
      <c r="K820" t="str">
        <f t="shared" si="48"/>
        <v>35+</v>
      </c>
      <c r="L820" t="str">
        <f t="shared" ca="1" si="50"/>
        <v>Safe</v>
      </c>
      <c r="M820" t="str">
        <f t="shared" si="51"/>
        <v>Feb-2025</v>
      </c>
    </row>
    <row r="821" spans="1:13" x14ac:dyDescent="0.35">
      <c r="A821">
        <v>10820</v>
      </c>
      <c r="B821">
        <v>35</v>
      </c>
      <c r="C821" t="s">
        <v>9</v>
      </c>
      <c r="D821" t="s">
        <v>11</v>
      </c>
      <c r="E821" s="2">
        <v>45523</v>
      </c>
      <c r="F821" s="2">
        <v>45924</v>
      </c>
      <c r="G821">
        <v>1200</v>
      </c>
      <c r="H821" t="s">
        <v>14</v>
      </c>
      <c r="I821" t="s">
        <v>17</v>
      </c>
      <c r="J821">
        <f t="shared" si="49"/>
        <v>1200</v>
      </c>
      <c r="K821" t="str">
        <f t="shared" si="48"/>
        <v>35+</v>
      </c>
      <c r="L821" t="str">
        <f t="shared" ca="1" si="50"/>
        <v>High Risk</v>
      </c>
      <c r="M821" t="str">
        <f t="shared" si="51"/>
        <v>Aug-2024</v>
      </c>
    </row>
    <row r="822" spans="1:13" x14ac:dyDescent="0.35">
      <c r="A822">
        <v>10821</v>
      </c>
      <c r="B822">
        <v>32</v>
      </c>
      <c r="C822" t="s">
        <v>10</v>
      </c>
      <c r="D822" t="s">
        <v>13</v>
      </c>
      <c r="E822" s="2">
        <v>45139</v>
      </c>
      <c r="F822" s="2">
        <v>46012</v>
      </c>
      <c r="G822">
        <v>1500</v>
      </c>
      <c r="H822" t="s">
        <v>15</v>
      </c>
      <c r="I822" t="s">
        <v>16</v>
      </c>
      <c r="J822">
        <f t="shared" si="49"/>
        <v>4500</v>
      </c>
      <c r="K822" t="str">
        <f t="shared" si="48"/>
        <v>25-34</v>
      </c>
      <c r="L822" t="str">
        <f t="shared" ca="1" si="50"/>
        <v>Safe</v>
      </c>
      <c r="M822" t="str">
        <f t="shared" si="51"/>
        <v>Aug-2023</v>
      </c>
    </row>
    <row r="823" spans="1:13" x14ac:dyDescent="0.35">
      <c r="A823">
        <v>10822</v>
      </c>
      <c r="B823">
        <v>26</v>
      </c>
      <c r="C823" t="s">
        <v>9</v>
      </c>
      <c r="D823" t="s">
        <v>11</v>
      </c>
      <c r="E823" s="2">
        <v>45380</v>
      </c>
      <c r="F823" s="2">
        <v>46012</v>
      </c>
      <c r="G823">
        <v>1700</v>
      </c>
      <c r="H823" t="s">
        <v>15</v>
      </c>
      <c r="I823" t="s">
        <v>16</v>
      </c>
      <c r="J823">
        <f t="shared" si="49"/>
        <v>1700</v>
      </c>
      <c r="K823" t="str">
        <f t="shared" si="48"/>
        <v>25-34</v>
      </c>
      <c r="L823" t="str">
        <f t="shared" ca="1" si="50"/>
        <v>Safe</v>
      </c>
      <c r="M823" t="str">
        <f t="shared" si="51"/>
        <v>Mar-2024</v>
      </c>
    </row>
    <row r="824" spans="1:13" x14ac:dyDescent="0.35">
      <c r="A824">
        <v>10823</v>
      </c>
      <c r="B824">
        <v>34</v>
      </c>
      <c r="C824" t="s">
        <v>10</v>
      </c>
      <c r="D824" t="s">
        <v>13</v>
      </c>
      <c r="E824" s="2">
        <v>45346</v>
      </c>
      <c r="F824" s="2">
        <v>46010</v>
      </c>
      <c r="G824">
        <v>1000</v>
      </c>
      <c r="H824" t="s">
        <v>14</v>
      </c>
      <c r="I824" t="s">
        <v>16</v>
      </c>
      <c r="J824">
        <f t="shared" si="49"/>
        <v>3000</v>
      </c>
      <c r="K824" t="str">
        <f t="shared" si="48"/>
        <v>25-34</v>
      </c>
      <c r="L824" t="str">
        <f t="shared" ca="1" si="50"/>
        <v>Safe</v>
      </c>
      <c r="M824" t="str">
        <f t="shared" si="51"/>
        <v>Feb-2024</v>
      </c>
    </row>
    <row r="825" spans="1:13" x14ac:dyDescent="0.35">
      <c r="A825">
        <v>10824</v>
      </c>
      <c r="B825">
        <v>31</v>
      </c>
      <c r="C825" t="s">
        <v>9</v>
      </c>
      <c r="D825" t="s">
        <v>11</v>
      </c>
      <c r="E825" s="2">
        <v>45176</v>
      </c>
      <c r="F825" s="2">
        <v>45948</v>
      </c>
      <c r="G825">
        <v>1700</v>
      </c>
      <c r="H825" t="s">
        <v>15</v>
      </c>
      <c r="I825" t="s">
        <v>17</v>
      </c>
      <c r="J825">
        <f t="shared" si="49"/>
        <v>1700</v>
      </c>
      <c r="K825" t="str">
        <f t="shared" si="48"/>
        <v>25-34</v>
      </c>
      <c r="L825" t="str">
        <f t="shared" ca="1" si="50"/>
        <v>High Risk</v>
      </c>
      <c r="M825" t="str">
        <f t="shared" si="51"/>
        <v>Sep-2023</v>
      </c>
    </row>
    <row r="826" spans="1:13" x14ac:dyDescent="0.35">
      <c r="A826">
        <v>10825</v>
      </c>
      <c r="B826">
        <v>32</v>
      </c>
      <c r="C826" t="s">
        <v>9</v>
      </c>
      <c r="D826" t="s">
        <v>11</v>
      </c>
      <c r="E826" s="2">
        <v>45946</v>
      </c>
      <c r="F826" s="2">
        <v>46025</v>
      </c>
      <c r="G826">
        <v>1200</v>
      </c>
      <c r="H826" t="s">
        <v>14</v>
      </c>
      <c r="I826" t="s">
        <v>16</v>
      </c>
      <c r="J826">
        <f t="shared" si="49"/>
        <v>1200</v>
      </c>
      <c r="K826" t="str">
        <f t="shared" si="48"/>
        <v>25-34</v>
      </c>
      <c r="L826" t="str">
        <f t="shared" ca="1" si="50"/>
        <v>Safe</v>
      </c>
      <c r="M826" t="str">
        <f t="shared" si="51"/>
        <v>Oct-2025</v>
      </c>
    </row>
    <row r="827" spans="1:13" x14ac:dyDescent="0.35">
      <c r="A827">
        <v>10826</v>
      </c>
      <c r="B827">
        <v>18</v>
      </c>
      <c r="C827" t="s">
        <v>9</v>
      </c>
      <c r="D827" t="s">
        <v>13</v>
      </c>
      <c r="E827" s="2">
        <v>45457</v>
      </c>
      <c r="F827" s="2">
        <v>46028</v>
      </c>
      <c r="G827">
        <v>1000</v>
      </c>
      <c r="H827" t="s">
        <v>14</v>
      </c>
      <c r="I827" t="s">
        <v>16</v>
      </c>
      <c r="J827">
        <f t="shared" si="49"/>
        <v>3000</v>
      </c>
      <c r="K827" t="str">
        <f t="shared" si="48"/>
        <v>18-24</v>
      </c>
      <c r="L827" t="str">
        <f t="shared" ca="1" si="50"/>
        <v>Safe</v>
      </c>
      <c r="M827" t="str">
        <f t="shared" si="51"/>
        <v>Jun-2024</v>
      </c>
    </row>
    <row r="828" spans="1:13" x14ac:dyDescent="0.35">
      <c r="A828">
        <v>10827</v>
      </c>
      <c r="B828">
        <v>38</v>
      </c>
      <c r="C828" t="s">
        <v>10</v>
      </c>
      <c r="D828" t="s">
        <v>13</v>
      </c>
      <c r="E828" s="2">
        <v>45907</v>
      </c>
      <c r="F828" s="2">
        <v>46027</v>
      </c>
      <c r="G828">
        <v>1500</v>
      </c>
      <c r="H828" t="s">
        <v>15</v>
      </c>
      <c r="I828" t="s">
        <v>16</v>
      </c>
      <c r="J828">
        <f t="shared" si="49"/>
        <v>4500</v>
      </c>
      <c r="K828" t="str">
        <f t="shared" si="48"/>
        <v>35+</v>
      </c>
      <c r="L828" t="str">
        <f t="shared" ca="1" si="50"/>
        <v>Safe</v>
      </c>
      <c r="M828" t="str">
        <f t="shared" si="51"/>
        <v>Sep-2025</v>
      </c>
    </row>
    <row r="829" spans="1:13" x14ac:dyDescent="0.35">
      <c r="A829">
        <v>10828</v>
      </c>
      <c r="B829">
        <v>39</v>
      </c>
      <c r="C829" t="s">
        <v>10</v>
      </c>
      <c r="D829" t="s">
        <v>12</v>
      </c>
      <c r="E829" s="2">
        <v>45853</v>
      </c>
      <c r="F829" s="2">
        <v>45945</v>
      </c>
      <c r="G829">
        <v>800</v>
      </c>
      <c r="H829" t="s">
        <v>14</v>
      </c>
      <c r="I829" t="s">
        <v>17</v>
      </c>
      <c r="J829">
        <f t="shared" si="49"/>
        <v>9600</v>
      </c>
      <c r="K829" t="str">
        <f t="shared" si="48"/>
        <v>35+</v>
      </c>
      <c r="L829" t="str">
        <f t="shared" ca="1" si="50"/>
        <v>High Risk</v>
      </c>
      <c r="M829" t="str">
        <f t="shared" si="51"/>
        <v>Jul-2025</v>
      </c>
    </row>
    <row r="830" spans="1:13" x14ac:dyDescent="0.35">
      <c r="A830">
        <v>10829</v>
      </c>
      <c r="B830">
        <v>39</v>
      </c>
      <c r="C830" t="s">
        <v>9</v>
      </c>
      <c r="D830" t="s">
        <v>11</v>
      </c>
      <c r="E830" s="2">
        <v>45667</v>
      </c>
      <c r="F830" s="2">
        <v>45961</v>
      </c>
      <c r="G830">
        <v>1700</v>
      </c>
      <c r="H830" t="s">
        <v>15</v>
      </c>
      <c r="I830" t="s">
        <v>17</v>
      </c>
      <c r="J830">
        <f t="shared" si="49"/>
        <v>1700</v>
      </c>
      <c r="K830" t="str">
        <f t="shared" si="48"/>
        <v>35+</v>
      </c>
      <c r="L830" t="str">
        <f t="shared" ca="1" si="50"/>
        <v>High Risk</v>
      </c>
      <c r="M830" t="str">
        <f t="shared" si="51"/>
        <v>Jan-2025</v>
      </c>
    </row>
    <row r="831" spans="1:13" x14ac:dyDescent="0.35">
      <c r="A831">
        <v>10830</v>
      </c>
      <c r="B831">
        <v>20</v>
      </c>
      <c r="C831" t="s">
        <v>10</v>
      </c>
      <c r="D831" t="s">
        <v>13</v>
      </c>
      <c r="E831" s="2">
        <v>45553</v>
      </c>
      <c r="F831" s="2">
        <v>46029</v>
      </c>
      <c r="G831">
        <v>1000</v>
      </c>
      <c r="H831" t="s">
        <v>14</v>
      </c>
      <c r="I831" t="s">
        <v>16</v>
      </c>
      <c r="J831">
        <f t="shared" si="49"/>
        <v>3000</v>
      </c>
      <c r="K831" t="str">
        <f t="shared" si="48"/>
        <v>18-24</v>
      </c>
      <c r="L831" t="str">
        <f t="shared" ca="1" si="50"/>
        <v>Safe</v>
      </c>
      <c r="M831" t="str">
        <f t="shared" si="51"/>
        <v>Sep-2024</v>
      </c>
    </row>
    <row r="832" spans="1:13" x14ac:dyDescent="0.35">
      <c r="A832">
        <v>10831</v>
      </c>
      <c r="B832">
        <v>33</v>
      </c>
      <c r="C832" t="s">
        <v>9</v>
      </c>
      <c r="D832" t="s">
        <v>11</v>
      </c>
      <c r="E832" s="2">
        <v>45737</v>
      </c>
      <c r="F832" s="2">
        <v>46017</v>
      </c>
      <c r="G832">
        <v>1200</v>
      </c>
      <c r="H832" t="s">
        <v>14</v>
      </c>
      <c r="I832" t="s">
        <v>16</v>
      </c>
      <c r="J832">
        <f t="shared" si="49"/>
        <v>1200</v>
      </c>
      <c r="K832" t="str">
        <f t="shared" si="48"/>
        <v>25-34</v>
      </c>
      <c r="L832" t="str">
        <f t="shared" ca="1" si="50"/>
        <v>Safe</v>
      </c>
      <c r="M832" t="str">
        <f t="shared" si="51"/>
        <v>Mar-2025</v>
      </c>
    </row>
    <row r="833" spans="1:13" x14ac:dyDescent="0.35">
      <c r="A833">
        <v>10832</v>
      </c>
      <c r="B833">
        <v>40</v>
      </c>
      <c r="C833" t="s">
        <v>9</v>
      </c>
      <c r="D833" t="s">
        <v>11</v>
      </c>
      <c r="E833" s="2">
        <v>45973</v>
      </c>
      <c r="F833" s="2">
        <v>45995</v>
      </c>
      <c r="G833">
        <v>1200</v>
      </c>
      <c r="H833" t="s">
        <v>14</v>
      </c>
      <c r="I833" t="s">
        <v>17</v>
      </c>
      <c r="J833">
        <f t="shared" si="49"/>
        <v>1200</v>
      </c>
      <c r="K833" t="str">
        <f t="shared" si="48"/>
        <v>35+</v>
      </c>
      <c r="L833" t="str">
        <f t="shared" ca="1" si="50"/>
        <v>High Risk</v>
      </c>
      <c r="M833" t="str">
        <f t="shared" si="51"/>
        <v>Nov-2025</v>
      </c>
    </row>
    <row r="834" spans="1:13" x14ac:dyDescent="0.35">
      <c r="A834">
        <v>10833</v>
      </c>
      <c r="B834">
        <v>42</v>
      </c>
      <c r="C834" t="s">
        <v>9</v>
      </c>
      <c r="D834" t="s">
        <v>11</v>
      </c>
      <c r="E834" s="2">
        <v>45300</v>
      </c>
      <c r="F834" s="2">
        <v>46016</v>
      </c>
      <c r="G834">
        <v>1700</v>
      </c>
      <c r="H834" t="s">
        <v>15</v>
      </c>
      <c r="I834" t="s">
        <v>16</v>
      </c>
      <c r="J834">
        <f t="shared" si="49"/>
        <v>1700</v>
      </c>
      <c r="K834" t="str">
        <f t="shared" ref="K834:K897" si="52">IF(B834&lt;25,"18-24",IF(B834&lt;35,"25-34","35+"))</f>
        <v>35+</v>
      </c>
      <c r="L834" t="str">
        <f t="shared" ca="1" si="50"/>
        <v>Safe</v>
      </c>
      <c r="M834" t="str">
        <f t="shared" si="51"/>
        <v>Jan-2024</v>
      </c>
    </row>
    <row r="835" spans="1:13" x14ac:dyDescent="0.35">
      <c r="A835">
        <v>10834</v>
      </c>
      <c r="B835">
        <v>28</v>
      </c>
      <c r="C835" t="s">
        <v>9</v>
      </c>
      <c r="D835" t="s">
        <v>11</v>
      </c>
      <c r="E835" s="2">
        <v>45342</v>
      </c>
      <c r="F835" s="2">
        <v>46016</v>
      </c>
      <c r="G835">
        <v>1200</v>
      </c>
      <c r="H835" t="s">
        <v>14</v>
      </c>
      <c r="I835" t="s">
        <v>16</v>
      </c>
      <c r="J835">
        <f t="shared" ref="J835:J898" si="53">IF(D835="Monthly",G835,IF(D835="Quarterly",G835*3,G835*12))</f>
        <v>1200</v>
      </c>
      <c r="K835" t="str">
        <f t="shared" si="52"/>
        <v>25-34</v>
      </c>
      <c r="L835" t="str">
        <f t="shared" ref="L835:L898" ca="1" si="54">IF(F835&lt;TODAY()-30,"High Risk","Safe")</f>
        <v>Safe</v>
      </c>
      <c r="M835" t="str">
        <f t="shared" ref="M835:M898" si="55">TEXT(E835,"mmm-yyyy")</f>
        <v>Feb-2024</v>
      </c>
    </row>
    <row r="836" spans="1:13" x14ac:dyDescent="0.35">
      <c r="A836">
        <v>10835</v>
      </c>
      <c r="B836">
        <v>29</v>
      </c>
      <c r="C836" t="s">
        <v>9</v>
      </c>
      <c r="D836" t="s">
        <v>11</v>
      </c>
      <c r="E836" s="2">
        <v>45542</v>
      </c>
      <c r="F836" s="2">
        <v>46024</v>
      </c>
      <c r="G836">
        <v>1200</v>
      </c>
      <c r="H836" t="s">
        <v>14</v>
      </c>
      <c r="I836" t="s">
        <v>16</v>
      </c>
      <c r="J836">
        <f t="shared" si="53"/>
        <v>1200</v>
      </c>
      <c r="K836" t="str">
        <f t="shared" si="52"/>
        <v>25-34</v>
      </c>
      <c r="L836" t="str">
        <f t="shared" ca="1" si="54"/>
        <v>Safe</v>
      </c>
      <c r="M836" t="str">
        <f t="shared" si="55"/>
        <v>Sep-2024</v>
      </c>
    </row>
    <row r="837" spans="1:13" x14ac:dyDescent="0.35">
      <c r="A837">
        <v>10836</v>
      </c>
      <c r="B837">
        <v>27</v>
      </c>
      <c r="C837" t="s">
        <v>10</v>
      </c>
      <c r="D837" t="s">
        <v>11</v>
      </c>
      <c r="E837" s="2">
        <v>45484</v>
      </c>
      <c r="F837" s="2">
        <v>46031</v>
      </c>
      <c r="G837">
        <v>1200</v>
      </c>
      <c r="H837" t="s">
        <v>14</v>
      </c>
      <c r="I837" t="s">
        <v>16</v>
      </c>
      <c r="J837">
        <f t="shared" si="53"/>
        <v>1200</v>
      </c>
      <c r="K837" t="str">
        <f t="shared" si="52"/>
        <v>25-34</v>
      </c>
      <c r="L837" t="str">
        <f t="shared" ca="1" si="54"/>
        <v>Safe</v>
      </c>
      <c r="M837" t="str">
        <f t="shared" si="55"/>
        <v>Jul-2024</v>
      </c>
    </row>
    <row r="838" spans="1:13" x14ac:dyDescent="0.35">
      <c r="A838">
        <v>10837</v>
      </c>
      <c r="B838">
        <v>33</v>
      </c>
      <c r="C838" t="s">
        <v>10</v>
      </c>
      <c r="D838" t="s">
        <v>11</v>
      </c>
      <c r="E838" s="2">
        <v>45390</v>
      </c>
      <c r="F838" s="2">
        <v>46008</v>
      </c>
      <c r="G838">
        <v>1200</v>
      </c>
      <c r="H838" t="s">
        <v>14</v>
      </c>
      <c r="I838" t="s">
        <v>16</v>
      </c>
      <c r="J838">
        <f t="shared" si="53"/>
        <v>1200</v>
      </c>
      <c r="K838" t="str">
        <f t="shared" si="52"/>
        <v>25-34</v>
      </c>
      <c r="L838" t="str">
        <f t="shared" ca="1" si="54"/>
        <v>Safe</v>
      </c>
      <c r="M838" t="str">
        <f t="shared" si="55"/>
        <v>Apr-2024</v>
      </c>
    </row>
    <row r="839" spans="1:13" x14ac:dyDescent="0.35">
      <c r="A839">
        <v>10838</v>
      </c>
      <c r="B839">
        <v>25</v>
      </c>
      <c r="C839" t="s">
        <v>9</v>
      </c>
      <c r="D839" t="s">
        <v>11</v>
      </c>
      <c r="E839" s="2">
        <v>45585</v>
      </c>
      <c r="F839" s="2">
        <v>46010</v>
      </c>
      <c r="G839">
        <v>1700</v>
      </c>
      <c r="H839" t="s">
        <v>15</v>
      </c>
      <c r="I839" t="s">
        <v>16</v>
      </c>
      <c r="J839">
        <f t="shared" si="53"/>
        <v>1700</v>
      </c>
      <c r="K839" t="str">
        <f t="shared" si="52"/>
        <v>25-34</v>
      </c>
      <c r="L839" t="str">
        <f t="shared" ca="1" si="54"/>
        <v>Safe</v>
      </c>
      <c r="M839" t="str">
        <f t="shared" si="55"/>
        <v>Oct-2024</v>
      </c>
    </row>
    <row r="840" spans="1:13" x14ac:dyDescent="0.35">
      <c r="A840">
        <v>10839</v>
      </c>
      <c r="B840">
        <v>23</v>
      </c>
      <c r="C840" t="s">
        <v>9</v>
      </c>
      <c r="D840" t="s">
        <v>11</v>
      </c>
      <c r="E840" s="2">
        <v>45628</v>
      </c>
      <c r="F840" s="2">
        <v>45953</v>
      </c>
      <c r="G840">
        <v>1200</v>
      </c>
      <c r="H840" t="s">
        <v>14</v>
      </c>
      <c r="I840" t="s">
        <v>17</v>
      </c>
      <c r="J840">
        <f t="shared" si="53"/>
        <v>1200</v>
      </c>
      <c r="K840" t="str">
        <f t="shared" si="52"/>
        <v>18-24</v>
      </c>
      <c r="L840" t="str">
        <f t="shared" ca="1" si="54"/>
        <v>High Risk</v>
      </c>
      <c r="M840" t="str">
        <f t="shared" si="55"/>
        <v>Dec-2024</v>
      </c>
    </row>
    <row r="841" spans="1:13" x14ac:dyDescent="0.35">
      <c r="A841">
        <v>10840</v>
      </c>
      <c r="B841">
        <v>29</v>
      </c>
      <c r="C841" t="s">
        <v>10</v>
      </c>
      <c r="D841" t="s">
        <v>11</v>
      </c>
      <c r="E841" s="2">
        <v>45870</v>
      </c>
      <c r="F841" s="2">
        <v>46011</v>
      </c>
      <c r="G841">
        <v>1700</v>
      </c>
      <c r="H841" t="s">
        <v>15</v>
      </c>
      <c r="I841" t="s">
        <v>16</v>
      </c>
      <c r="J841">
        <f t="shared" si="53"/>
        <v>1700</v>
      </c>
      <c r="K841" t="str">
        <f t="shared" si="52"/>
        <v>25-34</v>
      </c>
      <c r="L841" t="str">
        <f t="shared" ca="1" si="54"/>
        <v>Safe</v>
      </c>
      <c r="M841" t="str">
        <f t="shared" si="55"/>
        <v>Aug-2025</v>
      </c>
    </row>
    <row r="842" spans="1:13" x14ac:dyDescent="0.35">
      <c r="A842">
        <v>10841</v>
      </c>
      <c r="B842">
        <v>41</v>
      </c>
      <c r="C842" t="s">
        <v>10</v>
      </c>
      <c r="D842" t="s">
        <v>11</v>
      </c>
      <c r="E842" s="2">
        <v>45743</v>
      </c>
      <c r="F842" s="2">
        <v>46011</v>
      </c>
      <c r="G842">
        <v>1700</v>
      </c>
      <c r="H842" t="s">
        <v>15</v>
      </c>
      <c r="I842" t="s">
        <v>16</v>
      </c>
      <c r="J842">
        <f t="shared" si="53"/>
        <v>1700</v>
      </c>
      <c r="K842" t="str">
        <f t="shared" si="52"/>
        <v>35+</v>
      </c>
      <c r="L842" t="str">
        <f t="shared" ca="1" si="54"/>
        <v>Safe</v>
      </c>
      <c r="M842" t="str">
        <f t="shared" si="55"/>
        <v>Mar-2025</v>
      </c>
    </row>
    <row r="843" spans="1:13" x14ac:dyDescent="0.35">
      <c r="A843">
        <v>10842</v>
      </c>
      <c r="B843">
        <v>45</v>
      </c>
      <c r="C843" t="s">
        <v>10</v>
      </c>
      <c r="D843" t="s">
        <v>13</v>
      </c>
      <c r="E843" s="2">
        <v>45697</v>
      </c>
      <c r="F843" s="2">
        <v>46010</v>
      </c>
      <c r="G843">
        <v>1000</v>
      </c>
      <c r="H843" t="s">
        <v>14</v>
      </c>
      <c r="I843" t="s">
        <v>16</v>
      </c>
      <c r="J843">
        <f t="shared" si="53"/>
        <v>3000</v>
      </c>
      <c r="K843" t="str">
        <f t="shared" si="52"/>
        <v>35+</v>
      </c>
      <c r="L843" t="str">
        <f t="shared" ca="1" si="54"/>
        <v>Safe</v>
      </c>
      <c r="M843" t="str">
        <f t="shared" si="55"/>
        <v>Feb-2025</v>
      </c>
    </row>
    <row r="844" spans="1:13" x14ac:dyDescent="0.35">
      <c r="A844">
        <v>10843</v>
      </c>
      <c r="B844">
        <v>38</v>
      </c>
      <c r="C844" t="s">
        <v>9</v>
      </c>
      <c r="D844" t="s">
        <v>11</v>
      </c>
      <c r="E844" s="2">
        <v>45341</v>
      </c>
      <c r="F844" s="2">
        <v>45945</v>
      </c>
      <c r="G844">
        <v>1700</v>
      </c>
      <c r="H844" t="s">
        <v>15</v>
      </c>
      <c r="I844" t="s">
        <v>17</v>
      </c>
      <c r="J844">
        <f t="shared" si="53"/>
        <v>1700</v>
      </c>
      <c r="K844" t="str">
        <f t="shared" si="52"/>
        <v>35+</v>
      </c>
      <c r="L844" t="str">
        <f t="shared" ca="1" si="54"/>
        <v>High Risk</v>
      </c>
      <c r="M844" t="str">
        <f t="shared" si="55"/>
        <v>Feb-2024</v>
      </c>
    </row>
    <row r="845" spans="1:13" x14ac:dyDescent="0.35">
      <c r="A845">
        <v>10844</v>
      </c>
      <c r="B845">
        <v>25</v>
      </c>
      <c r="C845" t="s">
        <v>9</v>
      </c>
      <c r="D845" t="s">
        <v>11</v>
      </c>
      <c r="E845" s="2">
        <v>45854</v>
      </c>
      <c r="F845" s="2">
        <v>46015</v>
      </c>
      <c r="G845">
        <v>1200</v>
      </c>
      <c r="H845" t="s">
        <v>14</v>
      </c>
      <c r="I845" t="s">
        <v>16</v>
      </c>
      <c r="J845">
        <f t="shared" si="53"/>
        <v>1200</v>
      </c>
      <c r="K845" t="str">
        <f t="shared" si="52"/>
        <v>25-34</v>
      </c>
      <c r="L845" t="str">
        <f t="shared" ca="1" si="54"/>
        <v>Safe</v>
      </c>
      <c r="M845" t="str">
        <f t="shared" si="55"/>
        <v>Jul-2025</v>
      </c>
    </row>
    <row r="846" spans="1:13" x14ac:dyDescent="0.35">
      <c r="A846">
        <v>10845</v>
      </c>
      <c r="B846">
        <v>43</v>
      </c>
      <c r="C846" t="s">
        <v>9</v>
      </c>
      <c r="D846" t="s">
        <v>11</v>
      </c>
      <c r="E846" s="2">
        <v>45303</v>
      </c>
      <c r="F846" s="2">
        <v>46014</v>
      </c>
      <c r="G846">
        <v>1200</v>
      </c>
      <c r="H846" t="s">
        <v>14</v>
      </c>
      <c r="I846" t="s">
        <v>16</v>
      </c>
      <c r="J846">
        <f t="shared" si="53"/>
        <v>1200</v>
      </c>
      <c r="K846" t="str">
        <f t="shared" si="52"/>
        <v>35+</v>
      </c>
      <c r="L846" t="str">
        <f t="shared" ca="1" si="54"/>
        <v>Safe</v>
      </c>
      <c r="M846" t="str">
        <f t="shared" si="55"/>
        <v>Jan-2024</v>
      </c>
    </row>
    <row r="847" spans="1:13" x14ac:dyDescent="0.35">
      <c r="A847">
        <v>10846</v>
      </c>
      <c r="B847">
        <v>45</v>
      </c>
      <c r="C847" t="s">
        <v>9</v>
      </c>
      <c r="D847" t="s">
        <v>13</v>
      </c>
      <c r="E847" s="2">
        <v>45429</v>
      </c>
      <c r="F847" s="2">
        <v>45942</v>
      </c>
      <c r="G847">
        <v>1000</v>
      </c>
      <c r="H847" t="s">
        <v>14</v>
      </c>
      <c r="I847" t="s">
        <v>17</v>
      </c>
      <c r="J847">
        <f t="shared" si="53"/>
        <v>3000</v>
      </c>
      <c r="K847" t="str">
        <f t="shared" si="52"/>
        <v>35+</v>
      </c>
      <c r="L847" t="str">
        <f t="shared" ca="1" si="54"/>
        <v>High Risk</v>
      </c>
      <c r="M847" t="str">
        <f t="shared" si="55"/>
        <v>May-2024</v>
      </c>
    </row>
    <row r="848" spans="1:13" x14ac:dyDescent="0.35">
      <c r="A848">
        <v>10847</v>
      </c>
      <c r="B848">
        <v>21</v>
      </c>
      <c r="C848" t="s">
        <v>9</v>
      </c>
      <c r="D848" t="s">
        <v>12</v>
      </c>
      <c r="E848" s="2">
        <v>45694</v>
      </c>
      <c r="F848" s="2">
        <v>46025</v>
      </c>
      <c r="G848">
        <v>800</v>
      </c>
      <c r="H848" t="s">
        <v>14</v>
      </c>
      <c r="I848" t="s">
        <v>16</v>
      </c>
      <c r="J848">
        <f t="shared" si="53"/>
        <v>9600</v>
      </c>
      <c r="K848" t="str">
        <f t="shared" si="52"/>
        <v>18-24</v>
      </c>
      <c r="L848" t="str">
        <f t="shared" ca="1" si="54"/>
        <v>Safe</v>
      </c>
      <c r="M848" t="str">
        <f t="shared" si="55"/>
        <v>Feb-2025</v>
      </c>
    </row>
    <row r="849" spans="1:13" x14ac:dyDescent="0.35">
      <c r="A849">
        <v>10848</v>
      </c>
      <c r="B849">
        <v>43</v>
      </c>
      <c r="C849" t="s">
        <v>10</v>
      </c>
      <c r="D849" t="s">
        <v>12</v>
      </c>
      <c r="E849" s="2">
        <v>45596</v>
      </c>
      <c r="F849" s="2">
        <v>46015</v>
      </c>
      <c r="G849">
        <v>800</v>
      </c>
      <c r="H849" t="s">
        <v>14</v>
      </c>
      <c r="I849" t="s">
        <v>16</v>
      </c>
      <c r="J849">
        <f t="shared" si="53"/>
        <v>9600</v>
      </c>
      <c r="K849" t="str">
        <f t="shared" si="52"/>
        <v>35+</v>
      </c>
      <c r="L849" t="str">
        <f t="shared" ca="1" si="54"/>
        <v>Safe</v>
      </c>
      <c r="M849" t="str">
        <f t="shared" si="55"/>
        <v>Oct-2024</v>
      </c>
    </row>
    <row r="850" spans="1:13" x14ac:dyDescent="0.35">
      <c r="A850">
        <v>10849</v>
      </c>
      <c r="B850">
        <v>25</v>
      </c>
      <c r="C850" t="s">
        <v>9</v>
      </c>
      <c r="D850" t="s">
        <v>13</v>
      </c>
      <c r="E850" s="2">
        <v>45377</v>
      </c>
      <c r="F850" s="2">
        <v>45999</v>
      </c>
      <c r="G850">
        <v>1500</v>
      </c>
      <c r="H850" t="s">
        <v>15</v>
      </c>
      <c r="I850" t="s">
        <v>17</v>
      </c>
      <c r="J850">
        <f t="shared" si="53"/>
        <v>4500</v>
      </c>
      <c r="K850" t="str">
        <f t="shared" si="52"/>
        <v>25-34</v>
      </c>
      <c r="L850" t="str">
        <f t="shared" ca="1" si="54"/>
        <v>High Risk</v>
      </c>
      <c r="M850" t="str">
        <f t="shared" si="55"/>
        <v>Mar-2024</v>
      </c>
    </row>
    <row r="851" spans="1:13" x14ac:dyDescent="0.35">
      <c r="A851">
        <v>10850</v>
      </c>
      <c r="B851">
        <v>43</v>
      </c>
      <c r="C851" t="s">
        <v>9</v>
      </c>
      <c r="D851" t="s">
        <v>13</v>
      </c>
      <c r="E851" s="2">
        <v>45321</v>
      </c>
      <c r="F851" s="2">
        <v>45955</v>
      </c>
      <c r="G851">
        <v>1000</v>
      </c>
      <c r="H851" t="s">
        <v>14</v>
      </c>
      <c r="I851" t="s">
        <v>17</v>
      </c>
      <c r="J851">
        <f t="shared" si="53"/>
        <v>3000</v>
      </c>
      <c r="K851" t="str">
        <f t="shared" si="52"/>
        <v>35+</v>
      </c>
      <c r="L851" t="str">
        <f t="shared" ca="1" si="54"/>
        <v>High Risk</v>
      </c>
      <c r="M851" t="str">
        <f t="shared" si="55"/>
        <v>Jan-2024</v>
      </c>
    </row>
    <row r="852" spans="1:13" x14ac:dyDescent="0.35">
      <c r="A852">
        <v>10851</v>
      </c>
      <c r="B852">
        <v>45</v>
      </c>
      <c r="C852" t="s">
        <v>9</v>
      </c>
      <c r="D852" t="s">
        <v>13</v>
      </c>
      <c r="E852" s="2">
        <v>45581</v>
      </c>
      <c r="F852" s="2">
        <v>46020</v>
      </c>
      <c r="G852">
        <v>1500</v>
      </c>
      <c r="H852" t="s">
        <v>15</v>
      </c>
      <c r="I852" t="s">
        <v>16</v>
      </c>
      <c r="J852">
        <f t="shared" si="53"/>
        <v>4500</v>
      </c>
      <c r="K852" t="str">
        <f t="shared" si="52"/>
        <v>35+</v>
      </c>
      <c r="L852" t="str">
        <f t="shared" ca="1" si="54"/>
        <v>Safe</v>
      </c>
      <c r="M852" t="str">
        <f t="shared" si="55"/>
        <v>Oct-2024</v>
      </c>
    </row>
    <row r="853" spans="1:13" x14ac:dyDescent="0.35">
      <c r="A853">
        <v>10852</v>
      </c>
      <c r="B853">
        <v>35</v>
      </c>
      <c r="C853" t="s">
        <v>9</v>
      </c>
      <c r="D853" t="s">
        <v>13</v>
      </c>
      <c r="E853" s="2">
        <v>46001</v>
      </c>
      <c r="F853" s="2">
        <v>46025</v>
      </c>
      <c r="G853">
        <v>1500</v>
      </c>
      <c r="H853" t="s">
        <v>15</v>
      </c>
      <c r="I853" t="s">
        <v>16</v>
      </c>
      <c r="J853">
        <f t="shared" si="53"/>
        <v>4500</v>
      </c>
      <c r="K853" t="str">
        <f t="shared" si="52"/>
        <v>35+</v>
      </c>
      <c r="L853" t="str">
        <f t="shared" ca="1" si="54"/>
        <v>Safe</v>
      </c>
      <c r="M853" t="str">
        <f t="shared" si="55"/>
        <v>Dec-2025</v>
      </c>
    </row>
    <row r="854" spans="1:13" x14ac:dyDescent="0.35">
      <c r="A854">
        <v>10853</v>
      </c>
      <c r="B854">
        <v>45</v>
      </c>
      <c r="C854" t="s">
        <v>9</v>
      </c>
      <c r="D854" t="s">
        <v>11</v>
      </c>
      <c r="E854" s="2">
        <v>45384</v>
      </c>
      <c r="F854" s="2">
        <v>46019</v>
      </c>
      <c r="G854">
        <v>1200</v>
      </c>
      <c r="H854" t="s">
        <v>14</v>
      </c>
      <c r="I854" t="s">
        <v>16</v>
      </c>
      <c r="J854">
        <f t="shared" si="53"/>
        <v>1200</v>
      </c>
      <c r="K854" t="str">
        <f t="shared" si="52"/>
        <v>35+</v>
      </c>
      <c r="L854" t="str">
        <f t="shared" ca="1" si="54"/>
        <v>Safe</v>
      </c>
      <c r="M854" t="str">
        <f t="shared" si="55"/>
        <v>Apr-2024</v>
      </c>
    </row>
    <row r="855" spans="1:13" x14ac:dyDescent="0.35">
      <c r="A855">
        <v>10854</v>
      </c>
      <c r="B855">
        <v>45</v>
      </c>
      <c r="C855" t="s">
        <v>9</v>
      </c>
      <c r="D855" t="s">
        <v>11</v>
      </c>
      <c r="E855" s="2">
        <v>45273</v>
      </c>
      <c r="F855" s="2">
        <v>46015</v>
      </c>
      <c r="G855">
        <v>1200</v>
      </c>
      <c r="H855" t="s">
        <v>14</v>
      </c>
      <c r="I855" t="s">
        <v>16</v>
      </c>
      <c r="J855">
        <f t="shared" si="53"/>
        <v>1200</v>
      </c>
      <c r="K855" t="str">
        <f t="shared" si="52"/>
        <v>35+</v>
      </c>
      <c r="L855" t="str">
        <f t="shared" ca="1" si="54"/>
        <v>Safe</v>
      </c>
      <c r="M855" t="str">
        <f t="shared" si="55"/>
        <v>Dec-2023</v>
      </c>
    </row>
    <row r="856" spans="1:13" x14ac:dyDescent="0.35">
      <c r="A856">
        <v>10855</v>
      </c>
      <c r="B856">
        <v>22</v>
      </c>
      <c r="C856" t="s">
        <v>9</v>
      </c>
      <c r="D856" t="s">
        <v>11</v>
      </c>
      <c r="E856" s="2">
        <v>45958</v>
      </c>
      <c r="F856" s="2">
        <v>46032</v>
      </c>
      <c r="G856">
        <v>1200</v>
      </c>
      <c r="H856" t="s">
        <v>14</v>
      </c>
      <c r="I856" t="s">
        <v>16</v>
      </c>
      <c r="J856">
        <f t="shared" si="53"/>
        <v>1200</v>
      </c>
      <c r="K856" t="str">
        <f t="shared" si="52"/>
        <v>18-24</v>
      </c>
      <c r="L856" t="str">
        <f t="shared" ca="1" si="54"/>
        <v>Safe</v>
      </c>
      <c r="M856" t="str">
        <f t="shared" si="55"/>
        <v>Oct-2025</v>
      </c>
    </row>
    <row r="857" spans="1:13" x14ac:dyDescent="0.35">
      <c r="A857">
        <v>10856</v>
      </c>
      <c r="B857">
        <v>26</v>
      </c>
      <c r="C857" t="s">
        <v>10</v>
      </c>
      <c r="D857" t="s">
        <v>12</v>
      </c>
      <c r="E857" s="2">
        <v>45326</v>
      </c>
      <c r="F857" s="2">
        <v>46011</v>
      </c>
      <c r="G857">
        <v>1300</v>
      </c>
      <c r="H857" t="s">
        <v>15</v>
      </c>
      <c r="I857" t="s">
        <v>16</v>
      </c>
      <c r="J857">
        <f t="shared" si="53"/>
        <v>15600</v>
      </c>
      <c r="K857" t="str">
        <f t="shared" si="52"/>
        <v>25-34</v>
      </c>
      <c r="L857" t="str">
        <f t="shared" ca="1" si="54"/>
        <v>Safe</v>
      </c>
      <c r="M857" t="str">
        <f t="shared" si="55"/>
        <v>Feb-2024</v>
      </c>
    </row>
    <row r="858" spans="1:13" x14ac:dyDescent="0.35">
      <c r="A858">
        <v>10857</v>
      </c>
      <c r="B858">
        <v>21</v>
      </c>
      <c r="C858" t="s">
        <v>10</v>
      </c>
      <c r="D858" t="s">
        <v>13</v>
      </c>
      <c r="E858" s="2">
        <v>45883</v>
      </c>
      <c r="F858" s="2">
        <v>45953</v>
      </c>
      <c r="G858">
        <v>1000</v>
      </c>
      <c r="H858" t="s">
        <v>14</v>
      </c>
      <c r="I858" t="s">
        <v>17</v>
      </c>
      <c r="J858">
        <f t="shared" si="53"/>
        <v>3000</v>
      </c>
      <c r="K858" t="str">
        <f t="shared" si="52"/>
        <v>18-24</v>
      </c>
      <c r="L858" t="str">
        <f t="shared" ca="1" si="54"/>
        <v>High Risk</v>
      </c>
      <c r="M858" t="str">
        <f t="shared" si="55"/>
        <v>Aug-2025</v>
      </c>
    </row>
    <row r="859" spans="1:13" x14ac:dyDescent="0.35">
      <c r="A859">
        <v>10858</v>
      </c>
      <c r="B859">
        <v>44</v>
      </c>
      <c r="C859" t="s">
        <v>9</v>
      </c>
      <c r="D859" t="s">
        <v>13</v>
      </c>
      <c r="E859" s="2">
        <v>45159</v>
      </c>
      <c r="F859" s="2">
        <v>46009</v>
      </c>
      <c r="G859">
        <v>1500</v>
      </c>
      <c r="H859" t="s">
        <v>15</v>
      </c>
      <c r="I859" t="s">
        <v>16</v>
      </c>
      <c r="J859">
        <f t="shared" si="53"/>
        <v>4500</v>
      </c>
      <c r="K859" t="str">
        <f t="shared" si="52"/>
        <v>35+</v>
      </c>
      <c r="L859" t="str">
        <f t="shared" ca="1" si="54"/>
        <v>Safe</v>
      </c>
      <c r="M859" t="str">
        <f t="shared" si="55"/>
        <v>Aug-2023</v>
      </c>
    </row>
    <row r="860" spans="1:13" x14ac:dyDescent="0.35">
      <c r="A860">
        <v>10859</v>
      </c>
      <c r="B860">
        <v>39</v>
      </c>
      <c r="C860" t="s">
        <v>9</v>
      </c>
      <c r="D860" t="s">
        <v>11</v>
      </c>
      <c r="E860" s="2">
        <v>45370</v>
      </c>
      <c r="F860" s="2">
        <v>46023</v>
      </c>
      <c r="G860">
        <v>1200</v>
      </c>
      <c r="H860" t="s">
        <v>14</v>
      </c>
      <c r="I860" t="s">
        <v>16</v>
      </c>
      <c r="J860">
        <f t="shared" si="53"/>
        <v>1200</v>
      </c>
      <c r="K860" t="str">
        <f t="shared" si="52"/>
        <v>35+</v>
      </c>
      <c r="L860" t="str">
        <f t="shared" ca="1" si="54"/>
        <v>Safe</v>
      </c>
      <c r="M860" t="str">
        <f t="shared" si="55"/>
        <v>Mar-2024</v>
      </c>
    </row>
    <row r="861" spans="1:13" x14ac:dyDescent="0.35">
      <c r="A861">
        <v>10860</v>
      </c>
      <c r="B861">
        <v>34</v>
      </c>
      <c r="C861" t="s">
        <v>10</v>
      </c>
      <c r="D861" t="s">
        <v>11</v>
      </c>
      <c r="E861" s="2">
        <v>45323</v>
      </c>
      <c r="F861" s="2">
        <v>46021</v>
      </c>
      <c r="G861">
        <v>1200</v>
      </c>
      <c r="H861" t="s">
        <v>14</v>
      </c>
      <c r="I861" t="s">
        <v>16</v>
      </c>
      <c r="J861">
        <f t="shared" si="53"/>
        <v>1200</v>
      </c>
      <c r="K861" t="str">
        <f t="shared" si="52"/>
        <v>25-34</v>
      </c>
      <c r="L861" t="str">
        <f t="shared" ca="1" si="54"/>
        <v>Safe</v>
      </c>
      <c r="M861" t="str">
        <f t="shared" si="55"/>
        <v>Feb-2024</v>
      </c>
    </row>
    <row r="862" spans="1:13" x14ac:dyDescent="0.35">
      <c r="A862">
        <v>10861</v>
      </c>
      <c r="B862">
        <v>26</v>
      </c>
      <c r="C862" t="s">
        <v>9</v>
      </c>
      <c r="D862" t="s">
        <v>11</v>
      </c>
      <c r="E862" s="2">
        <v>45894</v>
      </c>
      <c r="F862" s="2">
        <v>46008</v>
      </c>
      <c r="G862">
        <v>1200</v>
      </c>
      <c r="H862" t="s">
        <v>14</v>
      </c>
      <c r="I862" t="s">
        <v>16</v>
      </c>
      <c r="J862">
        <f t="shared" si="53"/>
        <v>1200</v>
      </c>
      <c r="K862" t="str">
        <f t="shared" si="52"/>
        <v>25-34</v>
      </c>
      <c r="L862" t="str">
        <f t="shared" ca="1" si="54"/>
        <v>Safe</v>
      </c>
      <c r="M862" t="str">
        <f t="shared" si="55"/>
        <v>Aug-2025</v>
      </c>
    </row>
    <row r="863" spans="1:13" x14ac:dyDescent="0.35">
      <c r="A863">
        <v>10862</v>
      </c>
      <c r="B863">
        <v>18</v>
      </c>
      <c r="C863" t="s">
        <v>9</v>
      </c>
      <c r="D863" t="s">
        <v>11</v>
      </c>
      <c r="E863" s="2">
        <v>45299</v>
      </c>
      <c r="F863" s="2">
        <v>46023</v>
      </c>
      <c r="G863">
        <v>1700</v>
      </c>
      <c r="H863" t="s">
        <v>15</v>
      </c>
      <c r="I863" t="s">
        <v>16</v>
      </c>
      <c r="J863">
        <f t="shared" si="53"/>
        <v>1700</v>
      </c>
      <c r="K863" t="str">
        <f t="shared" si="52"/>
        <v>18-24</v>
      </c>
      <c r="L863" t="str">
        <f t="shared" ca="1" si="54"/>
        <v>Safe</v>
      </c>
      <c r="M863" t="str">
        <f t="shared" si="55"/>
        <v>Jan-2024</v>
      </c>
    </row>
    <row r="864" spans="1:13" x14ac:dyDescent="0.35">
      <c r="A864">
        <v>10863</v>
      </c>
      <c r="B864">
        <v>38</v>
      </c>
      <c r="C864" t="s">
        <v>10</v>
      </c>
      <c r="D864" t="s">
        <v>12</v>
      </c>
      <c r="E864" s="2">
        <v>45465</v>
      </c>
      <c r="F864" s="2">
        <v>45978</v>
      </c>
      <c r="G864">
        <v>1300</v>
      </c>
      <c r="H864" t="s">
        <v>15</v>
      </c>
      <c r="I864" t="s">
        <v>17</v>
      </c>
      <c r="J864">
        <f t="shared" si="53"/>
        <v>15600</v>
      </c>
      <c r="K864" t="str">
        <f t="shared" si="52"/>
        <v>35+</v>
      </c>
      <c r="L864" t="str">
        <f t="shared" ca="1" si="54"/>
        <v>High Risk</v>
      </c>
      <c r="M864" t="str">
        <f t="shared" si="55"/>
        <v>Jun-2024</v>
      </c>
    </row>
    <row r="865" spans="1:13" x14ac:dyDescent="0.35">
      <c r="A865">
        <v>10864</v>
      </c>
      <c r="B865">
        <v>37</v>
      </c>
      <c r="C865" t="s">
        <v>9</v>
      </c>
      <c r="D865" t="s">
        <v>13</v>
      </c>
      <c r="E865" s="2">
        <v>45969</v>
      </c>
      <c r="F865" s="2">
        <v>46025</v>
      </c>
      <c r="G865">
        <v>1500</v>
      </c>
      <c r="H865" t="s">
        <v>15</v>
      </c>
      <c r="I865" t="s">
        <v>16</v>
      </c>
      <c r="J865">
        <f t="shared" si="53"/>
        <v>4500</v>
      </c>
      <c r="K865" t="str">
        <f t="shared" si="52"/>
        <v>35+</v>
      </c>
      <c r="L865" t="str">
        <f t="shared" ca="1" si="54"/>
        <v>Safe</v>
      </c>
      <c r="M865" t="str">
        <f t="shared" si="55"/>
        <v>Nov-2025</v>
      </c>
    </row>
    <row r="866" spans="1:13" x14ac:dyDescent="0.35">
      <c r="A866">
        <v>10865</v>
      </c>
      <c r="B866">
        <v>30</v>
      </c>
      <c r="C866" t="s">
        <v>9</v>
      </c>
      <c r="D866" t="s">
        <v>11</v>
      </c>
      <c r="E866" s="2">
        <v>45556</v>
      </c>
      <c r="F866" s="2">
        <v>46028</v>
      </c>
      <c r="G866">
        <v>1200</v>
      </c>
      <c r="H866" t="s">
        <v>14</v>
      </c>
      <c r="I866" t="s">
        <v>16</v>
      </c>
      <c r="J866">
        <f t="shared" si="53"/>
        <v>1200</v>
      </c>
      <c r="K866" t="str">
        <f t="shared" si="52"/>
        <v>25-34</v>
      </c>
      <c r="L866" t="str">
        <f t="shared" ca="1" si="54"/>
        <v>Safe</v>
      </c>
      <c r="M866" t="str">
        <f t="shared" si="55"/>
        <v>Sep-2024</v>
      </c>
    </row>
    <row r="867" spans="1:13" x14ac:dyDescent="0.35">
      <c r="A867">
        <v>10866</v>
      </c>
      <c r="B867">
        <v>45</v>
      </c>
      <c r="C867" t="s">
        <v>9</v>
      </c>
      <c r="D867" t="s">
        <v>12</v>
      </c>
      <c r="E867" s="2">
        <v>45917</v>
      </c>
      <c r="F867" s="2">
        <v>46025</v>
      </c>
      <c r="G867">
        <v>800</v>
      </c>
      <c r="H867" t="s">
        <v>14</v>
      </c>
      <c r="I867" t="s">
        <v>16</v>
      </c>
      <c r="J867">
        <f t="shared" si="53"/>
        <v>9600</v>
      </c>
      <c r="K867" t="str">
        <f t="shared" si="52"/>
        <v>35+</v>
      </c>
      <c r="L867" t="str">
        <f t="shared" ca="1" si="54"/>
        <v>Safe</v>
      </c>
      <c r="M867" t="str">
        <f t="shared" si="55"/>
        <v>Sep-2025</v>
      </c>
    </row>
    <row r="868" spans="1:13" x14ac:dyDescent="0.35">
      <c r="A868">
        <v>10867</v>
      </c>
      <c r="B868">
        <v>33</v>
      </c>
      <c r="C868" t="s">
        <v>9</v>
      </c>
      <c r="D868" t="s">
        <v>11</v>
      </c>
      <c r="E868" s="2">
        <v>45855</v>
      </c>
      <c r="F868" s="2">
        <v>46015</v>
      </c>
      <c r="G868">
        <v>1700</v>
      </c>
      <c r="H868" t="s">
        <v>15</v>
      </c>
      <c r="I868" t="s">
        <v>16</v>
      </c>
      <c r="J868">
        <f t="shared" si="53"/>
        <v>1700</v>
      </c>
      <c r="K868" t="str">
        <f t="shared" si="52"/>
        <v>25-34</v>
      </c>
      <c r="L868" t="str">
        <f t="shared" ca="1" si="54"/>
        <v>Safe</v>
      </c>
      <c r="M868" t="str">
        <f t="shared" si="55"/>
        <v>Jul-2025</v>
      </c>
    </row>
    <row r="869" spans="1:13" x14ac:dyDescent="0.35">
      <c r="A869">
        <v>10868</v>
      </c>
      <c r="B869">
        <v>30</v>
      </c>
      <c r="C869" t="s">
        <v>9</v>
      </c>
      <c r="D869" t="s">
        <v>12</v>
      </c>
      <c r="E869" s="2">
        <v>45830</v>
      </c>
      <c r="F869" s="2">
        <v>46016</v>
      </c>
      <c r="G869">
        <v>800</v>
      </c>
      <c r="H869" t="s">
        <v>14</v>
      </c>
      <c r="I869" t="s">
        <v>16</v>
      </c>
      <c r="J869">
        <f t="shared" si="53"/>
        <v>9600</v>
      </c>
      <c r="K869" t="str">
        <f t="shared" si="52"/>
        <v>25-34</v>
      </c>
      <c r="L869" t="str">
        <f t="shared" ca="1" si="54"/>
        <v>Safe</v>
      </c>
      <c r="M869" t="str">
        <f t="shared" si="55"/>
        <v>Jun-2025</v>
      </c>
    </row>
    <row r="870" spans="1:13" x14ac:dyDescent="0.35">
      <c r="A870">
        <v>10869</v>
      </c>
      <c r="B870">
        <v>31</v>
      </c>
      <c r="C870" t="s">
        <v>10</v>
      </c>
      <c r="D870" t="s">
        <v>11</v>
      </c>
      <c r="E870" s="2">
        <v>45577</v>
      </c>
      <c r="F870" s="2">
        <v>46020</v>
      </c>
      <c r="G870">
        <v>1200</v>
      </c>
      <c r="H870" t="s">
        <v>14</v>
      </c>
      <c r="I870" t="s">
        <v>16</v>
      </c>
      <c r="J870">
        <f t="shared" si="53"/>
        <v>1200</v>
      </c>
      <c r="K870" t="str">
        <f t="shared" si="52"/>
        <v>25-34</v>
      </c>
      <c r="L870" t="str">
        <f t="shared" ca="1" si="54"/>
        <v>Safe</v>
      </c>
      <c r="M870" t="str">
        <f t="shared" si="55"/>
        <v>Oct-2024</v>
      </c>
    </row>
    <row r="871" spans="1:13" x14ac:dyDescent="0.35">
      <c r="A871">
        <v>10870</v>
      </c>
      <c r="B871">
        <v>20</v>
      </c>
      <c r="C871" t="s">
        <v>9</v>
      </c>
      <c r="D871" t="s">
        <v>11</v>
      </c>
      <c r="E871" s="2">
        <v>45893</v>
      </c>
      <c r="F871" s="2">
        <v>45971</v>
      </c>
      <c r="G871">
        <v>1200</v>
      </c>
      <c r="H871" t="s">
        <v>14</v>
      </c>
      <c r="I871" t="s">
        <v>17</v>
      </c>
      <c r="J871">
        <f t="shared" si="53"/>
        <v>1200</v>
      </c>
      <c r="K871" t="str">
        <f t="shared" si="52"/>
        <v>18-24</v>
      </c>
      <c r="L871" t="str">
        <f t="shared" ca="1" si="54"/>
        <v>High Risk</v>
      </c>
      <c r="M871" t="str">
        <f t="shared" si="55"/>
        <v>Aug-2025</v>
      </c>
    </row>
    <row r="872" spans="1:13" x14ac:dyDescent="0.35">
      <c r="A872">
        <v>10871</v>
      </c>
      <c r="B872">
        <v>23</v>
      </c>
      <c r="C872" t="s">
        <v>9</v>
      </c>
      <c r="D872" t="s">
        <v>11</v>
      </c>
      <c r="E872" s="2">
        <v>45887</v>
      </c>
      <c r="F872" s="2">
        <v>46022</v>
      </c>
      <c r="G872">
        <v>1200</v>
      </c>
      <c r="H872" t="s">
        <v>14</v>
      </c>
      <c r="I872" t="s">
        <v>16</v>
      </c>
      <c r="J872">
        <f t="shared" si="53"/>
        <v>1200</v>
      </c>
      <c r="K872" t="str">
        <f t="shared" si="52"/>
        <v>18-24</v>
      </c>
      <c r="L872" t="str">
        <f t="shared" ca="1" si="54"/>
        <v>Safe</v>
      </c>
      <c r="M872" t="str">
        <f t="shared" si="55"/>
        <v>Aug-2025</v>
      </c>
    </row>
    <row r="873" spans="1:13" x14ac:dyDescent="0.35">
      <c r="A873">
        <v>10872</v>
      </c>
      <c r="B873">
        <v>35</v>
      </c>
      <c r="C873" t="s">
        <v>10</v>
      </c>
      <c r="D873" t="s">
        <v>11</v>
      </c>
      <c r="E873" s="2">
        <v>45300</v>
      </c>
      <c r="F873" s="2">
        <v>46008</v>
      </c>
      <c r="G873">
        <v>1200</v>
      </c>
      <c r="H873" t="s">
        <v>14</v>
      </c>
      <c r="I873" t="s">
        <v>16</v>
      </c>
      <c r="J873">
        <f t="shared" si="53"/>
        <v>1200</v>
      </c>
      <c r="K873" t="str">
        <f t="shared" si="52"/>
        <v>35+</v>
      </c>
      <c r="L873" t="str">
        <f t="shared" ca="1" si="54"/>
        <v>Safe</v>
      </c>
      <c r="M873" t="str">
        <f t="shared" si="55"/>
        <v>Jan-2024</v>
      </c>
    </row>
    <row r="874" spans="1:13" x14ac:dyDescent="0.35">
      <c r="A874">
        <v>10873</v>
      </c>
      <c r="B874">
        <v>36</v>
      </c>
      <c r="C874" t="s">
        <v>9</v>
      </c>
      <c r="D874" t="s">
        <v>11</v>
      </c>
      <c r="E874" s="2">
        <v>45391</v>
      </c>
      <c r="F874" s="2">
        <v>46032</v>
      </c>
      <c r="G874">
        <v>1700</v>
      </c>
      <c r="H874" t="s">
        <v>15</v>
      </c>
      <c r="I874" t="s">
        <v>16</v>
      </c>
      <c r="J874">
        <f t="shared" si="53"/>
        <v>1700</v>
      </c>
      <c r="K874" t="str">
        <f t="shared" si="52"/>
        <v>35+</v>
      </c>
      <c r="L874" t="str">
        <f t="shared" ca="1" si="54"/>
        <v>Safe</v>
      </c>
      <c r="M874" t="str">
        <f t="shared" si="55"/>
        <v>Apr-2024</v>
      </c>
    </row>
    <row r="875" spans="1:13" x14ac:dyDescent="0.35">
      <c r="A875">
        <v>10874</v>
      </c>
      <c r="B875">
        <v>22</v>
      </c>
      <c r="C875" t="s">
        <v>9</v>
      </c>
      <c r="D875" t="s">
        <v>13</v>
      </c>
      <c r="E875" s="2">
        <v>45881</v>
      </c>
      <c r="F875" s="2">
        <v>46013</v>
      </c>
      <c r="G875">
        <v>1500</v>
      </c>
      <c r="H875" t="s">
        <v>15</v>
      </c>
      <c r="I875" t="s">
        <v>16</v>
      </c>
      <c r="J875">
        <f t="shared" si="53"/>
        <v>4500</v>
      </c>
      <c r="K875" t="str">
        <f t="shared" si="52"/>
        <v>18-24</v>
      </c>
      <c r="L875" t="str">
        <f t="shared" ca="1" si="54"/>
        <v>Safe</v>
      </c>
      <c r="M875" t="str">
        <f t="shared" si="55"/>
        <v>Aug-2025</v>
      </c>
    </row>
    <row r="876" spans="1:13" x14ac:dyDescent="0.35">
      <c r="A876">
        <v>10875</v>
      </c>
      <c r="B876">
        <v>32</v>
      </c>
      <c r="C876" t="s">
        <v>10</v>
      </c>
      <c r="D876" t="s">
        <v>12</v>
      </c>
      <c r="E876" s="2">
        <v>45757</v>
      </c>
      <c r="F876" s="2">
        <v>46024</v>
      </c>
      <c r="G876">
        <v>1300</v>
      </c>
      <c r="H876" t="s">
        <v>15</v>
      </c>
      <c r="I876" t="s">
        <v>16</v>
      </c>
      <c r="J876">
        <f t="shared" si="53"/>
        <v>15600</v>
      </c>
      <c r="K876" t="str">
        <f t="shared" si="52"/>
        <v>25-34</v>
      </c>
      <c r="L876" t="str">
        <f t="shared" ca="1" si="54"/>
        <v>Safe</v>
      </c>
      <c r="M876" t="str">
        <f t="shared" si="55"/>
        <v>Apr-2025</v>
      </c>
    </row>
    <row r="877" spans="1:13" x14ac:dyDescent="0.35">
      <c r="A877">
        <v>10876</v>
      </c>
      <c r="B877">
        <v>42</v>
      </c>
      <c r="C877" t="s">
        <v>9</v>
      </c>
      <c r="D877" t="s">
        <v>12</v>
      </c>
      <c r="E877" s="2">
        <v>45401</v>
      </c>
      <c r="F877" s="2">
        <v>45920</v>
      </c>
      <c r="G877">
        <v>800</v>
      </c>
      <c r="H877" t="s">
        <v>14</v>
      </c>
      <c r="I877" t="s">
        <v>17</v>
      </c>
      <c r="J877">
        <f t="shared" si="53"/>
        <v>9600</v>
      </c>
      <c r="K877" t="str">
        <f t="shared" si="52"/>
        <v>35+</v>
      </c>
      <c r="L877" t="str">
        <f t="shared" ca="1" si="54"/>
        <v>High Risk</v>
      </c>
      <c r="M877" t="str">
        <f t="shared" si="55"/>
        <v>Apr-2024</v>
      </c>
    </row>
    <row r="878" spans="1:13" x14ac:dyDescent="0.35">
      <c r="A878">
        <v>10877</v>
      </c>
      <c r="B878">
        <v>19</v>
      </c>
      <c r="C878" t="s">
        <v>10</v>
      </c>
      <c r="D878" t="s">
        <v>11</v>
      </c>
      <c r="E878" s="2">
        <v>45328</v>
      </c>
      <c r="F878" s="2">
        <v>46024</v>
      </c>
      <c r="G878">
        <v>1200</v>
      </c>
      <c r="H878" t="s">
        <v>14</v>
      </c>
      <c r="I878" t="s">
        <v>16</v>
      </c>
      <c r="J878">
        <f t="shared" si="53"/>
        <v>1200</v>
      </c>
      <c r="K878" t="str">
        <f t="shared" si="52"/>
        <v>18-24</v>
      </c>
      <c r="L878" t="str">
        <f t="shared" ca="1" si="54"/>
        <v>Safe</v>
      </c>
      <c r="M878" t="str">
        <f t="shared" si="55"/>
        <v>Feb-2024</v>
      </c>
    </row>
    <row r="879" spans="1:13" x14ac:dyDescent="0.35">
      <c r="A879">
        <v>10878</v>
      </c>
      <c r="B879">
        <v>27</v>
      </c>
      <c r="C879" t="s">
        <v>10</v>
      </c>
      <c r="D879" t="s">
        <v>13</v>
      </c>
      <c r="E879" s="2">
        <v>45410</v>
      </c>
      <c r="F879" s="2">
        <v>46017</v>
      </c>
      <c r="G879">
        <v>1000</v>
      </c>
      <c r="H879" t="s">
        <v>14</v>
      </c>
      <c r="I879" t="s">
        <v>16</v>
      </c>
      <c r="J879">
        <f t="shared" si="53"/>
        <v>3000</v>
      </c>
      <c r="K879" t="str">
        <f t="shared" si="52"/>
        <v>25-34</v>
      </c>
      <c r="L879" t="str">
        <f t="shared" ca="1" si="54"/>
        <v>Safe</v>
      </c>
      <c r="M879" t="str">
        <f t="shared" si="55"/>
        <v>Apr-2024</v>
      </c>
    </row>
    <row r="880" spans="1:13" x14ac:dyDescent="0.35">
      <c r="A880">
        <v>10879</v>
      </c>
      <c r="B880">
        <v>41</v>
      </c>
      <c r="C880" t="s">
        <v>9</v>
      </c>
      <c r="D880" t="s">
        <v>11</v>
      </c>
      <c r="E880" s="2">
        <v>45566</v>
      </c>
      <c r="F880" s="2">
        <v>46015</v>
      </c>
      <c r="G880">
        <v>1700</v>
      </c>
      <c r="H880" t="s">
        <v>15</v>
      </c>
      <c r="I880" t="s">
        <v>16</v>
      </c>
      <c r="J880">
        <f t="shared" si="53"/>
        <v>1700</v>
      </c>
      <c r="K880" t="str">
        <f t="shared" si="52"/>
        <v>35+</v>
      </c>
      <c r="L880" t="str">
        <f t="shared" ca="1" si="54"/>
        <v>Safe</v>
      </c>
      <c r="M880" t="str">
        <f t="shared" si="55"/>
        <v>Oct-2024</v>
      </c>
    </row>
    <row r="881" spans="1:13" x14ac:dyDescent="0.35">
      <c r="A881">
        <v>10880</v>
      </c>
      <c r="B881">
        <v>35</v>
      </c>
      <c r="C881" t="s">
        <v>9</v>
      </c>
      <c r="D881" t="s">
        <v>11</v>
      </c>
      <c r="E881" s="2">
        <v>45293</v>
      </c>
      <c r="F881" s="2">
        <v>45918</v>
      </c>
      <c r="G881">
        <v>1200</v>
      </c>
      <c r="H881" t="s">
        <v>14</v>
      </c>
      <c r="I881" t="s">
        <v>17</v>
      </c>
      <c r="J881">
        <f t="shared" si="53"/>
        <v>1200</v>
      </c>
      <c r="K881" t="str">
        <f t="shared" si="52"/>
        <v>35+</v>
      </c>
      <c r="L881" t="str">
        <f t="shared" ca="1" si="54"/>
        <v>High Risk</v>
      </c>
      <c r="M881" t="str">
        <f t="shared" si="55"/>
        <v>Jan-2024</v>
      </c>
    </row>
    <row r="882" spans="1:13" x14ac:dyDescent="0.35">
      <c r="A882">
        <v>10881</v>
      </c>
      <c r="B882">
        <v>44</v>
      </c>
      <c r="C882" t="s">
        <v>10</v>
      </c>
      <c r="D882" t="s">
        <v>13</v>
      </c>
      <c r="E882" s="2">
        <v>45537</v>
      </c>
      <c r="F882" s="2">
        <v>46012</v>
      </c>
      <c r="G882">
        <v>1500</v>
      </c>
      <c r="H882" t="s">
        <v>15</v>
      </c>
      <c r="I882" t="s">
        <v>16</v>
      </c>
      <c r="J882">
        <f t="shared" si="53"/>
        <v>4500</v>
      </c>
      <c r="K882" t="str">
        <f t="shared" si="52"/>
        <v>35+</v>
      </c>
      <c r="L882" t="str">
        <f t="shared" ca="1" si="54"/>
        <v>Safe</v>
      </c>
      <c r="M882" t="str">
        <f t="shared" si="55"/>
        <v>Sep-2024</v>
      </c>
    </row>
    <row r="883" spans="1:13" x14ac:dyDescent="0.35">
      <c r="A883">
        <v>10882</v>
      </c>
      <c r="B883">
        <v>30</v>
      </c>
      <c r="C883" t="s">
        <v>9</v>
      </c>
      <c r="D883" t="s">
        <v>13</v>
      </c>
      <c r="E883" s="2">
        <v>45638</v>
      </c>
      <c r="F883" s="2">
        <v>46009</v>
      </c>
      <c r="G883">
        <v>1500</v>
      </c>
      <c r="H883" t="s">
        <v>15</v>
      </c>
      <c r="I883" t="s">
        <v>16</v>
      </c>
      <c r="J883">
        <f t="shared" si="53"/>
        <v>4500</v>
      </c>
      <c r="K883" t="str">
        <f t="shared" si="52"/>
        <v>25-34</v>
      </c>
      <c r="L883" t="str">
        <f t="shared" ca="1" si="54"/>
        <v>Safe</v>
      </c>
      <c r="M883" t="str">
        <f t="shared" si="55"/>
        <v>Dec-2024</v>
      </c>
    </row>
    <row r="884" spans="1:13" x14ac:dyDescent="0.35">
      <c r="A884">
        <v>10883</v>
      </c>
      <c r="B884">
        <v>22</v>
      </c>
      <c r="C884" t="s">
        <v>10</v>
      </c>
      <c r="D884" t="s">
        <v>11</v>
      </c>
      <c r="E884" s="2">
        <v>45894</v>
      </c>
      <c r="F884" s="2">
        <v>46027</v>
      </c>
      <c r="G884">
        <v>1200</v>
      </c>
      <c r="H884" t="s">
        <v>14</v>
      </c>
      <c r="I884" t="s">
        <v>16</v>
      </c>
      <c r="J884">
        <f t="shared" si="53"/>
        <v>1200</v>
      </c>
      <c r="K884" t="str">
        <f t="shared" si="52"/>
        <v>18-24</v>
      </c>
      <c r="L884" t="str">
        <f t="shared" ca="1" si="54"/>
        <v>Safe</v>
      </c>
      <c r="M884" t="str">
        <f t="shared" si="55"/>
        <v>Aug-2025</v>
      </c>
    </row>
    <row r="885" spans="1:13" x14ac:dyDescent="0.35">
      <c r="A885">
        <v>10884</v>
      </c>
      <c r="B885">
        <v>40</v>
      </c>
      <c r="C885" t="s">
        <v>9</v>
      </c>
      <c r="D885" t="s">
        <v>11</v>
      </c>
      <c r="E885" s="2">
        <v>45206</v>
      </c>
      <c r="F885" s="2">
        <v>46015</v>
      </c>
      <c r="G885">
        <v>1200</v>
      </c>
      <c r="H885" t="s">
        <v>14</v>
      </c>
      <c r="I885" t="s">
        <v>16</v>
      </c>
      <c r="J885">
        <f t="shared" si="53"/>
        <v>1200</v>
      </c>
      <c r="K885" t="str">
        <f t="shared" si="52"/>
        <v>35+</v>
      </c>
      <c r="L885" t="str">
        <f t="shared" ca="1" si="54"/>
        <v>Safe</v>
      </c>
      <c r="M885" t="str">
        <f t="shared" si="55"/>
        <v>Oct-2023</v>
      </c>
    </row>
    <row r="886" spans="1:13" x14ac:dyDescent="0.35">
      <c r="A886">
        <v>10885</v>
      </c>
      <c r="B886">
        <v>41</v>
      </c>
      <c r="C886" t="s">
        <v>9</v>
      </c>
      <c r="D886" t="s">
        <v>12</v>
      </c>
      <c r="E886" s="2">
        <v>45980</v>
      </c>
      <c r="F886" s="2">
        <v>46032</v>
      </c>
      <c r="G886">
        <v>800</v>
      </c>
      <c r="H886" t="s">
        <v>14</v>
      </c>
      <c r="I886" t="s">
        <v>16</v>
      </c>
      <c r="J886">
        <f t="shared" si="53"/>
        <v>9600</v>
      </c>
      <c r="K886" t="str">
        <f t="shared" si="52"/>
        <v>35+</v>
      </c>
      <c r="L886" t="str">
        <f t="shared" ca="1" si="54"/>
        <v>Safe</v>
      </c>
      <c r="M886" t="str">
        <f t="shared" si="55"/>
        <v>Nov-2025</v>
      </c>
    </row>
    <row r="887" spans="1:13" x14ac:dyDescent="0.35">
      <c r="A887">
        <v>10886</v>
      </c>
      <c r="B887">
        <v>18</v>
      </c>
      <c r="C887" t="s">
        <v>9</v>
      </c>
      <c r="D887" t="s">
        <v>11</v>
      </c>
      <c r="E887" s="2">
        <v>45655</v>
      </c>
      <c r="F887" s="2">
        <v>46028</v>
      </c>
      <c r="G887">
        <v>1200</v>
      </c>
      <c r="H887" t="s">
        <v>14</v>
      </c>
      <c r="I887" t="s">
        <v>16</v>
      </c>
      <c r="J887">
        <f t="shared" si="53"/>
        <v>1200</v>
      </c>
      <c r="K887" t="str">
        <f t="shared" si="52"/>
        <v>18-24</v>
      </c>
      <c r="L887" t="str">
        <f t="shared" ca="1" si="54"/>
        <v>Safe</v>
      </c>
      <c r="M887" t="str">
        <f t="shared" si="55"/>
        <v>Dec-2024</v>
      </c>
    </row>
    <row r="888" spans="1:13" x14ac:dyDescent="0.35">
      <c r="A888">
        <v>10887</v>
      </c>
      <c r="B888">
        <v>39</v>
      </c>
      <c r="C888" t="s">
        <v>10</v>
      </c>
      <c r="D888" t="s">
        <v>11</v>
      </c>
      <c r="E888" s="2">
        <v>45564</v>
      </c>
      <c r="F888" s="2">
        <v>46020</v>
      </c>
      <c r="G888">
        <v>1700</v>
      </c>
      <c r="H888" t="s">
        <v>15</v>
      </c>
      <c r="I888" t="s">
        <v>16</v>
      </c>
      <c r="J888">
        <f t="shared" si="53"/>
        <v>1700</v>
      </c>
      <c r="K888" t="str">
        <f t="shared" si="52"/>
        <v>35+</v>
      </c>
      <c r="L888" t="str">
        <f t="shared" ca="1" si="54"/>
        <v>Safe</v>
      </c>
      <c r="M888" t="str">
        <f t="shared" si="55"/>
        <v>Sep-2024</v>
      </c>
    </row>
    <row r="889" spans="1:13" x14ac:dyDescent="0.35">
      <c r="A889">
        <v>10888</v>
      </c>
      <c r="B889">
        <v>18</v>
      </c>
      <c r="C889" t="s">
        <v>10</v>
      </c>
      <c r="D889" t="s">
        <v>13</v>
      </c>
      <c r="E889" s="2">
        <v>45699</v>
      </c>
      <c r="F889" s="2">
        <v>46008</v>
      </c>
      <c r="G889">
        <v>1500</v>
      </c>
      <c r="H889" t="s">
        <v>15</v>
      </c>
      <c r="I889" t="s">
        <v>16</v>
      </c>
      <c r="J889">
        <f t="shared" si="53"/>
        <v>4500</v>
      </c>
      <c r="K889" t="str">
        <f t="shared" si="52"/>
        <v>18-24</v>
      </c>
      <c r="L889" t="str">
        <f t="shared" ca="1" si="54"/>
        <v>Safe</v>
      </c>
      <c r="M889" t="str">
        <f t="shared" si="55"/>
        <v>Feb-2025</v>
      </c>
    </row>
    <row r="890" spans="1:13" x14ac:dyDescent="0.35">
      <c r="A890">
        <v>10889</v>
      </c>
      <c r="B890">
        <v>35</v>
      </c>
      <c r="C890" t="s">
        <v>9</v>
      </c>
      <c r="D890" t="s">
        <v>11</v>
      </c>
      <c r="E890" s="2">
        <v>45573</v>
      </c>
      <c r="F890" s="2">
        <v>46020</v>
      </c>
      <c r="G890">
        <v>1700</v>
      </c>
      <c r="H890" t="s">
        <v>15</v>
      </c>
      <c r="I890" t="s">
        <v>16</v>
      </c>
      <c r="J890">
        <f t="shared" si="53"/>
        <v>1700</v>
      </c>
      <c r="K890" t="str">
        <f t="shared" si="52"/>
        <v>35+</v>
      </c>
      <c r="L890" t="str">
        <f t="shared" ca="1" si="54"/>
        <v>Safe</v>
      </c>
      <c r="M890" t="str">
        <f t="shared" si="55"/>
        <v>Oct-2024</v>
      </c>
    </row>
    <row r="891" spans="1:13" x14ac:dyDescent="0.35">
      <c r="A891">
        <v>10890</v>
      </c>
      <c r="B891">
        <v>32</v>
      </c>
      <c r="C891" t="s">
        <v>9</v>
      </c>
      <c r="D891" t="s">
        <v>11</v>
      </c>
      <c r="E891" s="2">
        <v>45699</v>
      </c>
      <c r="F891" s="2">
        <v>46025</v>
      </c>
      <c r="G891">
        <v>1200</v>
      </c>
      <c r="H891" t="s">
        <v>14</v>
      </c>
      <c r="I891" t="s">
        <v>16</v>
      </c>
      <c r="J891">
        <f t="shared" si="53"/>
        <v>1200</v>
      </c>
      <c r="K891" t="str">
        <f t="shared" si="52"/>
        <v>25-34</v>
      </c>
      <c r="L891" t="str">
        <f t="shared" ca="1" si="54"/>
        <v>Safe</v>
      </c>
      <c r="M891" t="str">
        <f t="shared" si="55"/>
        <v>Feb-2025</v>
      </c>
    </row>
    <row r="892" spans="1:13" x14ac:dyDescent="0.35">
      <c r="A892">
        <v>10891</v>
      </c>
      <c r="B892">
        <v>34</v>
      </c>
      <c r="C892" t="s">
        <v>10</v>
      </c>
      <c r="D892" t="s">
        <v>11</v>
      </c>
      <c r="E892" s="2">
        <v>45261</v>
      </c>
      <c r="F892" s="2">
        <v>46030</v>
      </c>
      <c r="G892">
        <v>1200</v>
      </c>
      <c r="H892" t="s">
        <v>14</v>
      </c>
      <c r="I892" t="s">
        <v>16</v>
      </c>
      <c r="J892">
        <f t="shared" si="53"/>
        <v>1200</v>
      </c>
      <c r="K892" t="str">
        <f t="shared" si="52"/>
        <v>25-34</v>
      </c>
      <c r="L892" t="str">
        <f t="shared" ca="1" si="54"/>
        <v>Safe</v>
      </c>
      <c r="M892" t="str">
        <f t="shared" si="55"/>
        <v>Dec-2023</v>
      </c>
    </row>
    <row r="893" spans="1:13" x14ac:dyDescent="0.35">
      <c r="A893">
        <v>10892</v>
      </c>
      <c r="B893">
        <v>28</v>
      </c>
      <c r="C893" t="s">
        <v>9</v>
      </c>
      <c r="D893" t="s">
        <v>12</v>
      </c>
      <c r="E893" s="2">
        <v>45234</v>
      </c>
      <c r="F893" s="2">
        <v>45942</v>
      </c>
      <c r="G893">
        <v>800</v>
      </c>
      <c r="H893" t="s">
        <v>14</v>
      </c>
      <c r="I893" t="s">
        <v>17</v>
      </c>
      <c r="J893">
        <f t="shared" si="53"/>
        <v>9600</v>
      </c>
      <c r="K893" t="str">
        <f t="shared" si="52"/>
        <v>25-34</v>
      </c>
      <c r="L893" t="str">
        <f t="shared" ca="1" si="54"/>
        <v>High Risk</v>
      </c>
      <c r="M893" t="str">
        <f t="shared" si="55"/>
        <v>Nov-2023</v>
      </c>
    </row>
    <row r="894" spans="1:13" x14ac:dyDescent="0.35">
      <c r="A894">
        <v>10893</v>
      </c>
      <c r="B894">
        <v>38</v>
      </c>
      <c r="C894" t="s">
        <v>9</v>
      </c>
      <c r="D894" t="s">
        <v>13</v>
      </c>
      <c r="E894" s="2">
        <v>45688</v>
      </c>
      <c r="F894" s="2">
        <v>46021</v>
      </c>
      <c r="G894">
        <v>1000</v>
      </c>
      <c r="H894" t="s">
        <v>14</v>
      </c>
      <c r="I894" t="s">
        <v>16</v>
      </c>
      <c r="J894">
        <f t="shared" si="53"/>
        <v>3000</v>
      </c>
      <c r="K894" t="str">
        <f t="shared" si="52"/>
        <v>35+</v>
      </c>
      <c r="L894" t="str">
        <f t="shared" ca="1" si="54"/>
        <v>Safe</v>
      </c>
      <c r="M894" t="str">
        <f t="shared" si="55"/>
        <v>Jan-2025</v>
      </c>
    </row>
    <row r="895" spans="1:13" x14ac:dyDescent="0.35">
      <c r="A895">
        <v>10894</v>
      </c>
      <c r="B895">
        <v>43</v>
      </c>
      <c r="C895" t="s">
        <v>9</v>
      </c>
      <c r="D895" t="s">
        <v>13</v>
      </c>
      <c r="E895" s="2">
        <v>45902</v>
      </c>
      <c r="F895" s="2">
        <v>46032</v>
      </c>
      <c r="G895">
        <v>1500</v>
      </c>
      <c r="H895" t="s">
        <v>15</v>
      </c>
      <c r="I895" t="s">
        <v>16</v>
      </c>
      <c r="J895">
        <f t="shared" si="53"/>
        <v>4500</v>
      </c>
      <c r="K895" t="str">
        <f t="shared" si="52"/>
        <v>35+</v>
      </c>
      <c r="L895" t="str">
        <f t="shared" ca="1" si="54"/>
        <v>Safe</v>
      </c>
      <c r="M895" t="str">
        <f t="shared" si="55"/>
        <v>Sep-2025</v>
      </c>
    </row>
    <row r="896" spans="1:13" x14ac:dyDescent="0.35">
      <c r="A896">
        <v>10895</v>
      </c>
      <c r="B896">
        <v>42</v>
      </c>
      <c r="C896" t="s">
        <v>9</v>
      </c>
      <c r="D896" t="s">
        <v>12</v>
      </c>
      <c r="E896" s="2">
        <v>45219</v>
      </c>
      <c r="F896" s="2">
        <v>46026</v>
      </c>
      <c r="G896">
        <v>1300</v>
      </c>
      <c r="H896" t="s">
        <v>15</v>
      </c>
      <c r="I896" t="s">
        <v>16</v>
      </c>
      <c r="J896">
        <f t="shared" si="53"/>
        <v>15600</v>
      </c>
      <c r="K896" t="str">
        <f t="shared" si="52"/>
        <v>35+</v>
      </c>
      <c r="L896" t="str">
        <f t="shared" ca="1" si="54"/>
        <v>Safe</v>
      </c>
      <c r="M896" t="str">
        <f t="shared" si="55"/>
        <v>Oct-2023</v>
      </c>
    </row>
    <row r="897" spans="1:13" x14ac:dyDescent="0.35">
      <c r="A897">
        <v>10896</v>
      </c>
      <c r="B897">
        <v>39</v>
      </c>
      <c r="C897" t="s">
        <v>10</v>
      </c>
      <c r="D897" t="s">
        <v>12</v>
      </c>
      <c r="E897" s="2">
        <v>45880</v>
      </c>
      <c r="F897" s="2">
        <v>46009</v>
      </c>
      <c r="G897">
        <v>800</v>
      </c>
      <c r="H897" t="s">
        <v>14</v>
      </c>
      <c r="I897" t="s">
        <v>16</v>
      </c>
      <c r="J897">
        <f t="shared" si="53"/>
        <v>9600</v>
      </c>
      <c r="K897" t="str">
        <f t="shared" si="52"/>
        <v>35+</v>
      </c>
      <c r="L897" t="str">
        <f t="shared" ca="1" si="54"/>
        <v>Safe</v>
      </c>
      <c r="M897" t="str">
        <f t="shared" si="55"/>
        <v>Aug-2025</v>
      </c>
    </row>
    <row r="898" spans="1:13" x14ac:dyDescent="0.35">
      <c r="A898">
        <v>10897</v>
      </c>
      <c r="B898">
        <v>44</v>
      </c>
      <c r="C898" t="s">
        <v>9</v>
      </c>
      <c r="D898" t="s">
        <v>11</v>
      </c>
      <c r="E898" s="2">
        <v>45890</v>
      </c>
      <c r="F898" s="2">
        <v>46029</v>
      </c>
      <c r="G898">
        <v>1700</v>
      </c>
      <c r="H898" t="s">
        <v>15</v>
      </c>
      <c r="I898" t="s">
        <v>16</v>
      </c>
      <c r="J898">
        <f t="shared" si="53"/>
        <v>1700</v>
      </c>
      <c r="K898" t="str">
        <f t="shared" ref="K898:K961" si="56">IF(B898&lt;25,"18-24",IF(B898&lt;35,"25-34","35+"))</f>
        <v>35+</v>
      </c>
      <c r="L898" t="str">
        <f t="shared" ca="1" si="54"/>
        <v>Safe</v>
      </c>
      <c r="M898" t="str">
        <f t="shared" si="55"/>
        <v>Aug-2025</v>
      </c>
    </row>
    <row r="899" spans="1:13" x14ac:dyDescent="0.35">
      <c r="A899">
        <v>10898</v>
      </c>
      <c r="B899">
        <v>44</v>
      </c>
      <c r="C899" t="s">
        <v>9</v>
      </c>
      <c r="D899" t="s">
        <v>11</v>
      </c>
      <c r="E899" s="2">
        <v>45996</v>
      </c>
      <c r="F899" s="2">
        <v>46000</v>
      </c>
      <c r="G899">
        <v>1200</v>
      </c>
      <c r="H899" t="s">
        <v>14</v>
      </c>
      <c r="I899" t="s">
        <v>17</v>
      </c>
      <c r="J899">
        <f t="shared" ref="J899:J962" si="57">IF(D899="Monthly",G899,IF(D899="Quarterly",G899*3,G899*12))</f>
        <v>1200</v>
      </c>
      <c r="K899" t="str">
        <f t="shared" si="56"/>
        <v>35+</v>
      </c>
      <c r="L899" t="str">
        <f t="shared" ref="L899:L962" ca="1" si="58">IF(F899&lt;TODAY()-30,"High Risk","Safe")</f>
        <v>High Risk</v>
      </c>
      <c r="M899" t="str">
        <f t="shared" ref="M899:M962" si="59">TEXT(E899,"mmm-yyyy")</f>
        <v>Dec-2025</v>
      </c>
    </row>
    <row r="900" spans="1:13" x14ac:dyDescent="0.35">
      <c r="A900">
        <v>10899</v>
      </c>
      <c r="B900">
        <v>34</v>
      </c>
      <c r="C900" t="s">
        <v>9</v>
      </c>
      <c r="D900" t="s">
        <v>13</v>
      </c>
      <c r="E900" s="2">
        <v>45215</v>
      </c>
      <c r="F900" s="2">
        <v>46030</v>
      </c>
      <c r="G900">
        <v>1000</v>
      </c>
      <c r="H900" t="s">
        <v>14</v>
      </c>
      <c r="I900" t="s">
        <v>16</v>
      </c>
      <c r="J900">
        <f t="shared" si="57"/>
        <v>3000</v>
      </c>
      <c r="K900" t="str">
        <f t="shared" si="56"/>
        <v>25-34</v>
      </c>
      <c r="L900" t="str">
        <f t="shared" ca="1" si="58"/>
        <v>Safe</v>
      </c>
      <c r="M900" t="str">
        <f t="shared" si="59"/>
        <v>Oct-2023</v>
      </c>
    </row>
    <row r="901" spans="1:13" x14ac:dyDescent="0.35">
      <c r="A901">
        <v>10900</v>
      </c>
      <c r="B901">
        <v>30</v>
      </c>
      <c r="C901" t="s">
        <v>10</v>
      </c>
      <c r="D901" t="s">
        <v>13</v>
      </c>
      <c r="E901" s="2">
        <v>45808</v>
      </c>
      <c r="F901" s="2">
        <v>46009</v>
      </c>
      <c r="G901">
        <v>1000</v>
      </c>
      <c r="H901" t="s">
        <v>14</v>
      </c>
      <c r="I901" t="s">
        <v>16</v>
      </c>
      <c r="J901">
        <f t="shared" si="57"/>
        <v>3000</v>
      </c>
      <c r="K901" t="str">
        <f t="shared" si="56"/>
        <v>25-34</v>
      </c>
      <c r="L901" t="str">
        <f t="shared" ca="1" si="58"/>
        <v>Safe</v>
      </c>
      <c r="M901" t="str">
        <f t="shared" si="59"/>
        <v>May-2025</v>
      </c>
    </row>
    <row r="902" spans="1:13" x14ac:dyDescent="0.35">
      <c r="A902">
        <v>10901</v>
      </c>
      <c r="B902">
        <v>18</v>
      </c>
      <c r="C902" t="s">
        <v>9</v>
      </c>
      <c r="D902" t="s">
        <v>13</v>
      </c>
      <c r="E902" s="2">
        <v>45667</v>
      </c>
      <c r="F902" s="2">
        <v>46013</v>
      </c>
      <c r="G902">
        <v>1500</v>
      </c>
      <c r="H902" t="s">
        <v>15</v>
      </c>
      <c r="I902" t="s">
        <v>16</v>
      </c>
      <c r="J902">
        <f t="shared" si="57"/>
        <v>4500</v>
      </c>
      <c r="K902" t="str">
        <f t="shared" si="56"/>
        <v>18-24</v>
      </c>
      <c r="L902" t="str">
        <f t="shared" ca="1" si="58"/>
        <v>Safe</v>
      </c>
      <c r="M902" t="str">
        <f t="shared" si="59"/>
        <v>Jan-2025</v>
      </c>
    </row>
    <row r="903" spans="1:13" x14ac:dyDescent="0.35">
      <c r="A903">
        <v>10902</v>
      </c>
      <c r="B903">
        <v>19</v>
      </c>
      <c r="C903" t="s">
        <v>9</v>
      </c>
      <c r="D903" t="s">
        <v>13</v>
      </c>
      <c r="E903" s="2">
        <v>45763</v>
      </c>
      <c r="F903" s="2">
        <v>46019</v>
      </c>
      <c r="G903">
        <v>1500</v>
      </c>
      <c r="H903" t="s">
        <v>15</v>
      </c>
      <c r="I903" t="s">
        <v>16</v>
      </c>
      <c r="J903">
        <f t="shared" si="57"/>
        <v>4500</v>
      </c>
      <c r="K903" t="str">
        <f t="shared" si="56"/>
        <v>18-24</v>
      </c>
      <c r="L903" t="str">
        <f t="shared" ca="1" si="58"/>
        <v>Safe</v>
      </c>
      <c r="M903" t="str">
        <f t="shared" si="59"/>
        <v>Apr-2025</v>
      </c>
    </row>
    <row r="904" spans="1:13" x14ac:dyDescent="0.35">
      <c r="A904">
        <v>10903</v>
      </c>
      <c r="B904">
        <v>26</v>
      </c>
      <c r="C904" t="s">
        <v>9</v>
      </c>
      <c r="D904" t="s">
        <v>11</v>
      </c>
      <c r="E904" s="2">
        <v>45762</v>
      </c>
      <c r="F904" s="2">
        <v>46025</v>
      </c>
      <c r="G904">
        <v>1200</v>
      </c>
      <c r="H904" t="s">
        <v>14</v>
      </c>
      <c r="I904" t="s">
        <v>16</v>
      </c>
      <c r="J904">
        <f t="shared" si="57"/>
        <v>1200</v>
      </c>
      <c r="K904" t="str">
        <f t="shared" si="56"/>
        <v>25-34</v>
      </c>
      <c r="L904" t="str">
        <f t="shared" ca="1" si="58"/>
        <v>Safe</v>
      </c>
      <c r="M904" t="str">
        <f t="shared" si="59"/>
        <v>Apr-2025</v>
      </c>
    </row>
    <row r="905" spans="1:13" x14ac:dyDescent="0.35">
      <c r="A905">
        <v>10904</v>
      </c>
      <c r="B905">
        <v>20</v>
      </c>
      <c r="C905" t="s">
        <v>10</v>
      </c>
      <c r="D905" t="s">
        <v>11</v>
      </c>
      <c r="E905" s="2">
        <v>45139</v>
      </c>
      <c r="F905" s="2">
        <v>46025</v>
      </c>
      <c r="G905">
        <v>1200</v>
      </c>
      <c r="H905" t="s">
        <v>14</v>
      </c>
      <c r="I905" t="s">
        <v>16</v>
      </c>
      <c r="J905">
        <f t="shared" si="57"/>
        <v>1200</v>
      </c>
      <c r="K905" t="str">
        <f t="shared" si="56"/>
        <v>18-24</v>
      </c>
      <c r="L905" t="str">
        <f t="shared" ca="1" si="58"/>
        <v>Safe</v>
      </c>
      <c r="M905" t="str">
        <f t="shared" si="59"/>
        <v>Aug-2023</v>
      </c>
    </row>
    <row r="906" spans="1:13" x14ac:dyDescent="0.35">
      <c r="A906">
        <v>10905</v>
      </c>
      <c r="B906">
        <v>18</v>
      </c>
      <c r="C906" t="s">
        <v>9</v>
      </c>
      <c r="D906" t="s">
        <v>11</v>
      </c>
      <c r="E906" s="2">
        <v>45811</v>
      </c>
      <c r="F906" s="2">
        <v>46028</v>
      </c>
      <c r="G906">
        <v>1200</v>
      </c>
      <c r="H906" t="s">
        <v>14</v>
      </c>
      <c r="I906" t="s">
        <v>16</v>
      </c>
      <c r="J906">
        <f t="shared" si="57"/>
        <v>1200</v>
      </c>
      <c r="K906" t="str">
        <f t="shared" si="56"/>
        <v>18-24</v>
      </c>
      <c r="L906" t="str">
        <f t="shared" ca="1" si="58"/>
        <v>Safe</v>
      </c>
      <c r="M906" t="str">
        <f t="shared" si="59"/>
        <v>Jun-2025</v>
      </c>
    </row>
    <row r="907" spans="1:13" x14ac:dyDescent="0.35">
      <c r="A907">
        <v>10906</v>
      </c>
      <c r="B907">
        <v>38</v>
      </c>
      <c r="C907" t="s">
        <v>9</v>
      </c>
      <c r="D907" t="s">
        <v>11</v>
      </c>
      <c r="E907" s="2">
        <v>45991</v>
      </c>
      <c r="F907" s="2">
        <v>46024</v>
      </c>
      <c r="G907">
        <v>1200</v>
      </c>
      <c r="H907" t="s">
        <v>14</v>
      </c>
      <c r="I907" t="s">
        <v>16</v>
      </c>
      <c r="J907">
        <f t="shared" si="57"/>
        <v>1200</v>
      </c>
      <c r="K907" t="str">
        <f t="shared" si="56"/>
        <v>35+</v>
      </c>
      <c r="L907" t="str">
        <f t="shared" ca="1" si="58"/>
        <v>Safe</v>
      </c>
      <c r="M907" t="str">
        <f t="shared" si="59"/>
        <v>Nov-2025</v>
      </c>
    </row>
    <row r="908" spans="1:13" x14ac:dyDescent="0.35">
      <c r="A908">
        <v>10907</v>
      </c>
      <c r="B908">
        <v>33</v>
      </c>
      <c r="C908" t="s">
        <v>9</v>
      </c>
      <c r="D908" t="s">
        <v>11</v>
      </c>
      <c r="E908" s="2">
        <v>45415</v>
      </c>
      <c r="F908" s="2">
        <v>45983</v>
      </c>
      <c r="G908">
        <v>1200</v>
      </c>
      <c r="H908" t="s">
        <v>14</v>
      </c>
      <c r="I908" t="s">
        <v>17</v>
      </c>
      <c r="J908">
        <f t="shared" si="57"/>
        <v>1200</v>
      </c>
      <c r="K908" t="str">
        <f t="shared" si="56"/>
        <v>25-34</v>
      </c>
      <c r="L908" t="str">
        <f t="shared" ca="1" si="58"/>
        <v>High Risk</v>
      </c>
      <c r="M908" t="str">
        <f t="shared" si="59"/>
        <v>May-2024</v>
      </c>
    </row>
    <row r="909" spans="1:13" x14ac:dyDescent="0.35">
      <c r="A909">
        <v>10908</v>
      </c>
      <c r="B909">
        <v>40</v>
      </c>
      <c r="C909" t="s">
        <v>9</v>
      </c>
      <c r="D909" t="s">
        <v>13</v>
      </c>
      <c r="E909" s="2">
        <v>45300</v>
      </c>
      <c r="F909" s="2">
        <v>46024</v>
      </c>
      <c r="G909">
        <v>1000</v>
      </c>
      <c r="H909" t="s">
        <v>14</v>
      </c>
      <c r="I909" t="s">
        <v>16</v>
      </c>
      <c r="J909">
        <f t="shared" si="57"/>
        <v>3000</v>
      </c>
      <c r="K909" t="str">
        <f t="shared" si="56"/>
        <v>35+</v>
      </c>
      <c r="L909" t="str">
        <f t="shared" ca="1" si="58"/>
        <v>Safe</v>
      </c>
      <c r="M909" t="str">
        <f t="shared" si="59"/>
        <v>Jan-2024</v>
      </c>
    </row>
    <row r="910" spans="1:13" x14ac:dyDescent="0.35">
      <c r="A910">
        <v>10909</v>
      </c>
      <c r="B910">
        <v>23</v>
      </c>
      <c r="C910" t="s">
        <v>9</v>
      </c>
      <c r="D910" t="s">
        <v>13</v>
      </c>
      <c r="E910" s="2">
        <v>45746</v>
      </c>
      <c r="F910" s="2">
        <v>46010</v>
      </c>
      <c r="G910">
        <v>1500</v>
      </c>
      <c r="H910" t="s">
        <v>15</v>
      </c>
      <c r="I910" t="s">
        <v>16</v>
      </c>
      <c r="J910">
        <f t="shared" si="57"/>
        <v>4500</v>
      </c>
      <c r="K910" t="str">
        <f t="shared" si="56"/>
        <v>18-24</v>
      </c>
      <c r="L910" t="str">
        <f t="shared" ca="1" si="58"/>
        <v>Safe</v>
      </c>
      <c r="M910" t="str">
        <f t="shared" si="59"/>
        <v>Mar-2025</v>
      </c>
    </row>
    <row r="911" spans="1:13" x14ac:dyDescent="0.35">
      <c r="A911">
        <v>10910</v>
      </c>
      <c r="B911">
        <v>45</v>
      </c>
      <c r="C911" t="s">
        <v>10</v>
      </c>
      <c r="D911" t="s">
        <v>11</v>
      </c>
      <c r="E911" s="2">
        <v>45800</v>
      </c>
      <c r="F911" s="2">
        <v>46029</v>
      </c>
      <c r="G911">
        <v>1200</v>
      </c>
      <c r="H911" t="s">
        <v>14</v>
      </c>
      <c r="I911" t="s">
        <v>16</v>
      </c>
      <c r="J911">
        <f t="shared" si="57"/>
        <v>1200</v>
      </c>
      <c r="K911" t="str">
        <f t="shared" si="56"/>
        <v>35+</v>
      </c>
      <c r="L911" t="str">
        <f t="shared" ca="1" si="58"/>
        <v>Safe</v>
      </c>
      <c r="M911" t="str">
        <f t="shared" si="59"/>
        <v>May-2025</v>
      </c>
    </row>
    <row r="912" spans="1:13" x14ac:dyDescent="0.35">
      <c r="A912">
        <v>10911</v>
      </c>
      <c r="B912">
        <v>34</v>
      </c>
      <c r="C912" t="s">
        <v>9</v>
      </c>
      <c r="D912" t="s">
        <v>13</v>
      </c>
      <c r="E912" s="2">
        <v>45370</v>
      </c>
      <c r="F912" s="2">
        <v>46021</v>
      </c>
      <c r="G912">
        <v>1500</v>
      </c>
      <c r="H912" t="s">
        <v>15</v>
      </c>
      <c r="I912" t="s">
        <v>16</v>
      </c>
      <c r="J912">
        <f t="shared" si="57"/>
        <v>4500</v>
      </c>
      <c r="K912" t="str">
        <f t="shared" si="56"/>
        <v>25-34</v>
      </c>
      <c r="L912" t="str">
        <f t="shared" ca="1" si="58"/>
        <v>Safe</v>
      </c>
      <c r="M912" t="str">
        <f t="shared" si="59"/>
        <v>Mar-2024</v>
      </c>
    </row>
    <row r="913" spans="1:13" x14ac:dyDescent="0.35">
      <c r="A913">
        <v>10912</v>
      </c>
      <c r="B913">
        <v>22</v>
      </c>
      <c r="C913" t="s">
        <v>10</v>
      </c>
      <c r="D913" t="s">
        <v>13</v>
      </c>
      <c r="E913" s="2">
        <v>45723</v>
      </c>
      <c r="F913" s="2">
        <v>46009</v>
      </c>
      <c r="G913">
        <v>1500</v>
      </c>
      <c r="H913" t="s">
        <v>15</v>
      </c>
      <c r="I913" t="s">
        <v>16</v>
      </c>
      <c r="J913">
        <f t="shared" si="57"/>
        <v>4500</v>
      </c>
      <c r="K913" t="str">
        <f t="shared" si="56"/>
        <v>18-24</v>
      </c>
      <c r="L913" t="str">
        <f t="shared" ca="1" si="58"/>
        <v>Safe</v>
      </c>
      <c r="M913" t="str">
        <f t="shared" si="59"/>
        <v>Mar-2025</v>
      </c>
    </row>
    <row r="914" spans="1:13" x14ac:dyDescent="0.35">
      <c r="A914">
        <v>10913</v>
      </c>
      <c r="B914">
        <v>22</v>
      </c>
      <c r="C914" t="s">
        <v>9</v>
      </c>
      <c r="D914" t="s">
        <v>11</v>
      </c>
      <c r="E914" s="2">
        <v>45217</v>
      </c>
      <c r="F914" s="2">
        <v>46028</v>
      </c>
      <c r="G914">
        <v>1200</v>
      </c>
      <c r="H914" t="s">
        <v>14</v>
      </c>
      <c r="I914" t="s">
        <v>16</v>
      </c>
      <c r="J914">
        <f t="shared" si="57"/>
        <v>1200</v>
      </c>
      <c r="K914" t="str">
        <f t="shared" si="56"/>
        <v>18-24</v>
      </c>
      <c r="L914" t="str">
        <f t="shared" ca="1" si="58"/>
        <v>Safe</v>
      </c>
      <c r="M914" t="str">
        <f t="shared" si="59"/>
        <v>Oct-2023</v>
      </c>
    </row>
    <row r="915" spans="1:13" x14ac:dyDescent="0.35">
      <c r="A915">
        <v>10914</v>
      </c>
      <c r="B915">
        <v>23</v>
      </c>
      <c r="C915" t="s">
        <v>10</v>
      </c>
      <c r="D915" t="s">
        <v>13</v>
      </c>
      <c r="E915" s="2">
        <v>45839</v>
      </c>
      <c r="F915" s="2">
        <v>46018</v>
      </c>
      <c r="G915">
        <v>1000</v>
      </c>
      <c r="H915" t="s">
        <v>14</v>
      </c>
      <c r="I915" t="s">
        <v>16</v>
      </c>
      <c r="J915">
        <f t="shared" si="57"/>
        <v>3000</v>
      </c>
      <c r="K915" t="str">
        <f t="shared" si="56"/>
        <v>18-24</v>
      </c>
      <c r="L915" t="str">
        <f t="shared" ca="1" si="58"/>
        <v>Safe</v>
      </c>
      <c r="M915" t="str">
        <f t="shared" si="59"/>
        <v>Jul-2025</v>
      </c>
    </row>
    <row r="916" spans="1:13" x14ac:dyDescent="0.35">
      <c r="A916">
        <v>10915</v>
      </c>
      <c r="B916">
        <v>20</v>
      </c>
      <c r="C916" t="s">
        <v>9</v>
      </c>
      <c r="D916" t="s">
        <v>12</v>
      </c>
      <c r="E916" s="2">
        <v>45795</v>
      </c>
      <c r="F916" s="2">
        <v>46026</v>
      </c>
      <c r="G916">
        <v>800</v>
      </c>
      <c r="H916" t="s">
        <v>14</v>
      </c>
      <c r="I916" t="s">
        <v>16</v>
      </c>
      <c r="J916">
        <f t="shared" si="57"/>
        <v>9600</v>
      </c>
      <c r="K916" t="str">
        <f t="shared" si="56"/>
        <v>18-24</v>
      </c>
      <c r="L916" t="str">
        <f t="shared" ca="1" si="58"/>
        <v>Safe</v>
      </c>
      <c r="M916" t="str">
        <f t="shared" si="59"/>
        <v>May-2025</v>
      </c>
    </row>
    <row r="917" spans="1:13" x14ac:dyDescent="0.35">
      <c r="A917">
        <v>10916</v>
      </c>
      <c r="B917">
        <v>38</v>
      </c>
      <c r="C917" t="s">
        <v>9</v>
      </c>
      <c r="D917" t="s">
        <v>12</v>
      </c>
      <c r="E917" s="2">
        <v>45215</v>
      </c>
      <c r="F917" s="2">
        <v>46025</v>
      </c>
      <c r="G917">
        <v>800</v>
      </c>
      <c r="H917" t="s">
        <v>14</v>
      </c>
      <c r="I917" t="s">
        <v>16</v>
      </c>
      <c r="J917">
        <f t="shared" si="57"/>
        <v>9600</v>
      </c>
      <c r="K917" t="str">
        <f t="shared" si="56"/>
        <v>35+</v>
      </c>
      <c r="L917" t="str">
        <f t="shared" ca="1" si="58"/>
        <v>Safe</v>
      </c>
      <c r="M917" t="str">
        <f t="shared" si="59"/>
        <v>Oct-2023</v>
      </c>
    </row>
    <row r="918" spans="1:13" x14ac:dyDescent="0.35">
      <c r="A918">
        <v>10917</v>
      </c>
      <c r="B918">
        <v>40</v>
      </c>
      <c r="C918" t="s">
        <v>10</v>
      </c>
      <c r="D918" t="s">
        <v>13</v>
      </c>
      <c r="E918" s="2">
        <v>45158</v>
      </c>
      <c r="F918" s="2">
        <v>45990</v>
      </c>
      <c r="G918">
        <v>1000</v>
      </c>
      <c r="H918" t="s">
        <v>14</v>
      </c>
      <c r="I918" t="s">
        <v>17</v>
      </c>
      <c r="J918">
        <f t="shared" si="57"/>
        <v>3000</v>
      </c>
      <c r="K918" t="str">
        <f t="shared" si="56"/>
        <v>35+</v>
      </c>
      <c r="L918" t="str">
        <f t="shared" ca="1" si="58"/>
        <v>High Risk</v>
      </c>
      <c r="M918" t="str">
        <f t="shared" si="59"/>
        <v>Aug-2023</v>
      </c>
    </row>
    <row r="919" spans="1:13" x14ac:dyDescent="0.35">
      <c r="A919">
        <v>10918</v>
      </c>
      <c r="B919">
        <v>22</v>
      </c>
      <c r="C919" t="s">
        <v>10</v>
      </c>
      <c r="D919" t="s">
        <v>13</v>
      </c>
      <c r="E919" s="2">
        <v>45400</v>
      </c>
      <c r="F919" s="2">
        <v>46011</v>
      </c>
      <c r="G919">
        <v>1000</v>
      </c>
      <c r="H919" t="s">
        <v>14</v>
      </c>
      <c r="I919" t="s">
        <v>16</v>
      </c>
      <c r="J919">
        <f t="shared" si="57"/>
        <v>3000</v>
      </c>
      <c r="K919" t="str">
        <f t="shared" si="56"/>
        <v>18-24</v>
      </c>
      <c r="L919" t="str">
        <f t="shared" ca="1" si="58"/>
        <v>Safe</v>
      </c>
      <c r="M919" t="str">
        <f t="shared" si="59"/>
        <v>Apr-2024</v>
      </c>
    </row>
    <row r="920" spans="1:13" x14ac:dyDescent="0.35">
      <c r="A920">
        <v>10919</v>
      </c>
      <c r="B920">
        <v>38</v>
      </c>
      <c r="C920" t="s">
        <v>9</v>
      </c>
      <c r="D920" t="s">
        <v>11</v>
      </c>
      <c r="E920" s="2">
        <v>45645</v>
      </c>
      <c r="F920" s="2">
        <v>46028</v>
      </c>
      <c r="G920">
        <v>1200</v>
      </c>
      <c r="H920" t="s">
        <v>14</v>
      </c>
      <c r="I920" t="s">
        <v>16</v>
      </c>
      <c r="J920">
        <f t="shared" si="57"/>
        <v>1200</v>
      </c>
      <c r="K920" t="str">
        <f t="shared" si="56"/>
        <v>35+</v>
      </c>
      <c r="L920" t="str">
        <f t="shared" ca="1" si="58"/>
        <v>Safe</v>
      </c>
      <c r="M920" t="str">
        <f t="shared" si="59"/>
        <v>Dec-2024</v>
      </c>
    </row>
    <row r="921" spans="1:13" x14ac:dyDescent="0.35">
      <c r="A921">
        <v>10920</v>
      </c>
      <c r="B921">
        <v>22</v>
      </c>
      <c r="C921" t="s">
        <v>9</v>
      </c>
      <c r="D921" t="s">
        <v>11</v>
      </c>
      <c r="E921" s="2">
        <v>45505</v>
      </c>
      <c r="F921" s="2">
        <v>45918</v>
      </c>
      <c r="G921">
        <v>1200</v>
      </c>
      <c r="H921" t="s">
        <v>14</v>
      </c>
      <c r="I921" t="s">
        <v>17</v>
      </c>
      <c r="J921">
        <f t="shared" si="57"/>
        <v>1200</v>
      </c>
      <c r="K921" t="str">
        <f t="shared" si="56"/>
        <v>18-24</v>
      </c>
      <c r="L921" t="str">
        <f t="shared" ca="1" si="58"/>
        <v>High Risk</v>
      </c>
      <c r="M921" t="str">
        <f t="shared" si="59"/>
        <v>Aug-2024</v>
      </c>
    </row>
    <row r="922" spans="1:13" x14ac:dyDescent="0.35">
      <c r="A922">
        <v>10921</v>
      </c>
      <c r="B922">
        <v>27</v>
      </c>
      <c r="C922" t="s">
        <v>10</v>
      </c>
      <c r="D922" t="s">
        <v>11</v>
      </c>
      <c r="E922" s="2">
        <v>45408</v>
      </c>
      <c r="F922" s="2">
        <v>46029</v>
      </c>
      <c r="G922">
        <v>1200</v>
      </c>
      <c r="H922" t="s">
        <v>14</v>
      </c>
      <c r="I922" t="s">
        <v>16</v>
      </c>
      <c r="J922">
        <f t="shared" si="57"/>
        <v>1200</v>
      </c>
      <c r="K922" t="str">
        <f t="shared" si="56"/>
        <v>25-34</v>
      </c>
      <c r="L922" t="str">
        <f t="shared" ca="1" si="58"/>
        <v>Safe</v>
      </c>
      <c r="M922" t="str">
        <f t="shared" si="59"/>
        <v>Apr-2024</v>
      </c>
    </row>
    <row r="923" spans="1:13" x14ac:dyDescent="0.35">
      <c r="A923">
        <v>10922</v>
      </c>
      <c r="B923">
        <v>27</v>
      </c>
      <c r="C923" t="s">
        <v>9</v>
      </c>
      <c r="D923" t="s">
        <v>12</v>
      </c>
      <c r="E923" s="2">
        <v>45454</v>
      </c>
      <c r="F923" s="2">
        <v>46001</v>
      </c>
      <c r="G923">
        <v>800</v>
      </c>
      <c r="H923" t="s">
        <v>14</v>
      </c>
      <c r="I923" t="s">
        <v>17</v>
      </c>
      <c r="J923">
        <f t="shared" si="57"/>
        <v>9600</v>
      </c>
      <c r="K923" t="str">
        <f t="shared" si="56"/>
        <v>25-34</v>
      </c>
      <c r="L923" t="str">
        <f t="shared" ca="1" si="58"/>
        <v>High Risk</v>
      </c>
      <c r="M923" t="str">
        <f t="shared" si="59"/>
        <v>Jun-2024</v>
      </c>
    </row>
    <row r="924" spans="1:13" x14ac:dyDescent="0.35">
      <c r="A924">
        <v>10923</v>
      </c>
      <c r="B924">
        <v>36</v>
      </c>
      <c r="C924" t="s">
        <v>10</v>
      </c>
      <c r="D924" t="s">
        <v>11</v>
      </c>
      <c r="E924" s="2">
        <v>45632</v>
      </c>
      <c r="F924" s="2">
        <v>46031</v>
      </c>
      <c r="G924">
        <v>1200</v>
      </c>
      <c r="H924" t="s">
        <v>14</v>
      </c>
      <c r="I924" t="s">
        <v>16</v>
      </c>
      <c r="J924">
        <f t="shared" si="57"/>
        <v>1200</v>
      </c>
      <c r="K924" t="str">
        <f t="shared" si="56"/>
        <v>35+</v>
      </c>
      <c r="L924" t="str">
        <f t="shared" ca="1" si="58"/>
        <v>Safe</v>
      </c>
      <c r="M924" t="str">
        <f t="shared" si="59"/>
        <v>Dec-2024</v>
      </c>
    </row>
    <row r="925" spans="1:13" x14ac:dyDescent="0.35">
      <c r="A925">
        <v>10924</v>
      </c>
      <c r="B925">
        <v>34</v>
      </c>
      <c r="C925" t="s">
        <v>10</v>
      </c>
      <c r="D925" t="s">
        <v>11</v>
      </c>
      <c r="E925" s="2">
        <v>45462</v>
      </c>
      <c r="F925" s="2">
        <v>46020</v>
      </c>
      <c r="G925">
        <v>1700</v>
      </c>
      <c r="H925" t="s">
        <v>15</v>
      </c>
      <c r="I925" t="s">
        <v>16</v>
      </c>
      <c r="J925">
        <f t="shared" si="57"/>
        <v>1700</v>
      </c>
      <c r="K925" t="str">
        <f t="shared" si="56"/>
        <v>25-34</v>
      </c>
      <c r="L925" t="str">
        <f t="shared" ca="1" si="58"/>
        <v>Safe</v>
      </c>
      <c r="M925" t="str">
        <f t="shared" si="59"/>
        <v>Jun-2024</v>
      </c>
    </row>
    <row r="926" spans="1:13" x14ac:dyDescent="0.35">
      <c r="A926">
        <v>10925</v>
      </c>
      <c r="B926">
        <v>38</v>
      </c>
      <c r="C926" t="s">
        <v>9</v>
      </c>
      <c r="D926" t="s">
        <v>12</v>
      </c>
      <c r="E926" s="2">
        <v>45651</v>
      </c>
      <c r="F926" s="2">
        <v>45939</v>
      </c>
      <c r="G926">
        <v>800</v>
      </c>
      <c r="H926" t="s">
        <v>14</v>
      </c>
      <c r="I926" t="s">
        <v>17</v>
      </c>
      <c r="J926">
        <f t="shared" si="57"/>
        <v>9600</v>
      </c>
      <c r="K926" t="str">
        <f t="shared" si="56"/>
        <v>35+</v>
      </c>
      <c r="L926" t="str">
        <f t="shared" ca="1" si="58"/>
        <v>High Risk</v>
      </c>
      <c r="M926" t="str">
        <f t="shared" si="59"/>
        <v>Dec-2024</v>
      </c>
    </row>
    <row r="927" spans="1:13" x14ac:dyDescent="0.35">
      <c r="A927">
        <v>10926</v>
      </c>
      <c r="B927">
        <v>31</v>
      </c>
      <c r="C927" t="s">
        <v>9</v>
      </c>
      <c r="D927" t="s">
        <v>12</v>
      </c>
      <c r="E927" s="2">
        <v>45562</v>
      </c>
      <c r="F927" s="2">
        <v>45991</v>
      </c>
      <c r="G927">
        <v>1300</v>
      </c>
      <c r="H927" t="s">
        <v>15</v>
      </c>
      <c r="I927" t="s">
        <v>17</v>
      </c>
      <c r="J927">
        <f t="shared" si="57"/>
        <v>15600</v>
      </c>
      <c r="K927" t="str">
        <f t="shared" si="56"/>
        <v>25-34</v>
      </c>
      <c r="L927" t="str">
        <f t="shared" ca="1" si="58"/>
        <v>High Risk</v>
      </c>
      <c r="M927" t="str">
        <f t="shared" si="59"/>
        <v>Sep-2024</v>
      </c>
    </row>
    <row r="928" spans="1:13" x14ac:dyDescent="0.35">
      <c r="A928">
        <v>10927</v>
      </c>
      <c r="B928">
        <v>26</v>
      </c>
      <c r="C928" t="s">
        <v>9</v>
      </c>
      <c r="D928" t="s">
        <v>12</v>
      </c>
      <c r="E928" s="2">
        <v>45940</v>
      </c>
      <c r="F928" s="2">
        <v>46023</v>
      </c>
      <c r="G928">
        <v>800</v>
      </c>
      <c r="H928" t="s">
        <v>14</v>
      </c>
      <c r="I928" t="s">
        <v>16</v>
      </c>
      <c r="J928">
        <f t="shared" si="57"/>
        <v>9600</v>
      </c>
      <c r="K928" t="str">
        <f t="shared" si="56"/>
        <v>25-34</v>
      </c>
      <c r="L928" t="str">
        <f t="shared" ca="1" si="58"/>
        <v>Safe</v>
      </c>
      <c r="M928" t="str">
        <f t="shared" si="59"/>
        <v>Oct-2025</v>
      </c>
    </row>
    <row r="929" spans="1:13" x14ac:dyDescent="0.35">
      <c r="A929">
        <v>10928</v>
      </c>
      <c r="B929">
        <v>31</v>
      </c>
      <c r="C929" t="s">
        <v>9</v>
      </c>
      <c r="D929" t="s">
        <v>11</v>
      </c>
      <c r="E929" s="2">
        <v>45588</v>
      </c>
      <c r="F929" s="2">
        <v>46014</v>
      </c>
      <c r="G929">
        <v>1700</v>
      </c>
      <c r="H929" t="s">
        <v>15</v>
      </c>
      <c r="I929" t="s">
        <v>16</v>
      </c>
      <c r="J929">
        <f t="shared" si="57"/>
        <v>1700</v>
      </c>
      <c r="K929" t="str">
        <f t="shared" si="56"/>
        <v>25-34</v>
      </c>
      <c r="L929" t="str">
        <f t="shared" ca="1" si="58"/>
        <v>Safe</v>
      </c>
      <c r="M929" t="str">
        <f t="shared" si="59"/>
        <v>Oct-2024</v>
      </c>
    </row>
    <row r="930" spans="1:13" x14ac:dyDescent="0.35">
      <c r="A930">
        <v>10929</v>
      </c>
      <c r="B930">
        <v>18</v>
      </c>
      <c r="C930" t="s">
        <v>9</v>
      </c>
      <c r="D930" t="s">
        <v>11</v>
      </c>
      <c r="E930" s="2">
        <v>45970</v>
      </c>
      <c r="F930" s="2">
        <v>46015</v>
      </c>
      <c r="G930">
        <v>1200</v>
      </c>
      <c r="H930" t="s">
        <v>14</v>
      </c>
      <c r="I930" t="s">
        <v>16</v>
      </c>
      <c r="J930">
        <f t="shared" si="57"/>
        <v>1200</v>
      </c>
      <c r="K930" t="str">
        <f t="shared" si="56"/>
        <v>18-24</v>
      </c>
      <c r="L930" t="str">
        <f t="shared" ca="1" si="58"/>
        <v>Safe</v>
      </c>
      <c r="M930" t="str">
        <f t="shared" si="59"/>
        <v>Nov-2025</v>
      </c>
    </row>
    <row r="931" spans="1:13" x14ac:dyDescent="0.35">
      <c r="A931">
        <v>10930</v>
      </c>
      <c r="B931">
        <v>36</v>
      </c>
      <c r="C931" t="s">
        <v>10</v>
      </c>
      <c r="D931" t="s">
        <v>11</v>
      </c>
      <c r="E931" s="2">
        <v>45622</v>
      </c>
      <c r="F931" s="2">
        <v>46015</v>
      </c>
      <c r="G931">
        <v>1200</v>
      </c>
      <c r="H931" t="s">
        <v>14</v>
      </c>
      <c r="I931" t="s">
        <v>16</v>
      </c>
      <c r="J931">
        <f t="shared" si="57"/>
        <v>1200</v>
      </c>
      <c r="K931" t="str">
        <f t="shared" si="56"/>
        <v>35+</v>
      </c>
      <c r="L931" t="str">
        <f t="shared" ca="1" si="58"/>
        <v>Safe</v>
      </c>
      <c r="M931" t="str">
        <f t="shared" si="59"/>
        <v>Nov-2024</v>
      </c>
    </row>
    <row r="932" spans="1:13" x14ac:dyDescent="0.35">
      <c r="A932">
        <v>10931</v>
      </c>
      <c r="B932">
        <v>30</v>
      </c>
      <c r="C932" t="s">
        <v>9</v>
      </c>
      <c r="D932" t="s">
        <v>11</v>
      </c>
      <c r="E932" s="2">
        <v>45264</v>
      </c>
      <c r="F932" s="2">
        <v>46024</v>
      </c>
      <c r="G932">
        <v>1700</v>
      </c>
      <c r="H932" t="s">
        <v>15</v>
      </c>
      <c r="I932" t="s">
        <v>16</v>
      </c>
      <c r="J932">
        <f t="shared" si="57"/>
        <v>1700</v>
      </c>
      <c r="K932" t="str">
        <f t="shared" si="56"/>
        <v>25-34</v>
      </c>
      <c r="L932" t="str">
        <f t="shared" ca="1" si="58"/>
        <v>Safe</v>
      </c>
      <c r="M932" t="str">
        <f t="shared" si="59"/>
        <v>Dec-2023</v>
      </c>
    </row>
    <row r="933" spans="1:13" x14ac:dyDescent="0.35">
      <c r="A933">
        <v>10932</v>
      </c>
      <c r="B933">
        <v>30</v>
      </c>
      <c r="C933" t="s">
        <v>10</v>
      </c>
      <c r="D933" t="s">
        <v>11</v>
      </c>
      <c r="E933" s="2">
        <v>45287</v>
      </c>
      <c r="F933" s="2">
        <v>46020</v>
      </c>
      <c r="G933">
        <v>1700</v>
      </c>
      <c r="H933" t="s">
        <v>15</v>
      </c>
      <c r="I933" t="s">
        <v>16</v>
      </c>
      <c r="J933">
        <f t="shared" si="57"/>
        <v>1700</v>
      </c>
      <c r="K933" t="str">
        <f t="shared" si="56"/>
        <v>25-34</v>
      </c>
      <c r="L933" t="str">
        <f t="shared" ca="1" si="58"/>
        <v>Safe</v>
      </c>
      <c r="M933" t="str">
        <f t="shared" si="59"/>
        <v>Dec-2023</v>
      </c>
    </row>
    <row r="934" spans="1:13" x14ac:dyDescent="0.35">
      <c r="A934">
        <v>10933</v>
      </c>
      <c r="B934">
        <v>21</v>
      </c>
      <c r="C934" t="s">
        <v>9</v>
      </c>
      <c r="D934" t="s">
        <v>13</v>
      </c>
      <c r="E934" s="2">
        <v>45631</v>
      </c>
      <c r="F934" s="2">
        <v>46022</v>
      </c>
      <c r="G934">
        <v>1500</v>
      </c>
      <c r="H934" t="s">
        <v>15</v>
      </c>
      <c r="I934" t="s">
        <v>16</v>
      </c>
      <c r="J934">
        <f t="shared" si="57"/>
        <v>4500</v>
      </c>
      <c r="K934" t="str">
        <f t="shared" si="56"/>
        <v>18-24</v>
      </c>
      <c r="L934" t="str">
        <f t="shared" ca="1" si="58"/>
        <v>Safe</v>
      </c>
      <c r="M934" t="str">
        <f t="shared" si="59"/>
        <v>Dec-2024</v>
      </c>
    </row>
    <row r="935" spans="1:13" x14ac:dyDescent="0.35">
      <c r="A935">
        <v>10934</v>
      </c>
      <c r="B935">
        <v>18</v>
      </c>
      <c r="C935" t="s">
        <v>9</v>
      </c>
      <c r="D935" t="s">
        <v>12</v>
      </c>
      <c r="E935" s="2">
        <v>45212</v>
      </c>
      <c r="F935" s="2">
        <v>46031</v>
      </c>
      <c r="G935">
        <v>800</v>
      </c>
      <c r="H935" t="s">
        <v>14</v>
      </c>
      <c r="I935" t="s">
        <v>16</v>
      </c>
      <c r="J935">
        <f t="shared" si="57"/>
        <v>9600</v>
      </c>
      <c r="K935" t="str">
        <f t="shared" si="56"/>
        <v>18-24</v>
      </c>
      <c r="L935" t="str">
        <f t="shared" ca="1" si="58"/>
        <v>Safe</v>
      </c>
      <c r="M935" t="str">
        <f t="shared" si="59"/>
        <v>Oct-2023</v>
      </c>
    </row>
    <row r="936" spans="1:13" x14ac:dyDescent="0.35">
      <c r="A936">
        <v>10935</v>
      </c>
      <c r="B936">
        <v>34</v>
      </c>
      <c r="C936" t="s">
        <v>9</v>
      </c>
      <c r="D936" t="s">
        <v>11</v>
      </c>
      <c r="E936" s="2">
        <v>45336</v>
      </c>
      <c r="F936" s="2">
        <v>45991</v>
      </c>
      <c r="G936">
        <v>1700</v>
      </c>
      <c r="H936" t="s">
        <v>15</v>
      </c>
      <c r="I936" t="s">
        <v>17</v>
      </c>
      <c r="J936">
        <f t="shared" si="57"/>
        <v>1700</v>
      </c>
      <c r="K936" t="str">
        <f t="shared" si="56"/>
        <v>25-34</v>
      </c>
      <c r="L936" t="str">
        <f t="shared" ca="1" si="58"/>
        <v>High Risk</v>
      </c>
      <c r="M936" t="str">
        <f t="shared" si="59"/>
        <v>Feb-2024</v>
      </c>
    </row>
    <row r="937" spans="1:13" x14ac:dyDescent="0.35">
      <c r="A937">
        <v>10936</v>
      </c>
      <c r="B937">
        <v>25</v>
      </c>
      <c r="C937" t="s">
        <v>9</v>
      </c>
      <c r="D937" t="s">
        <v>13</v>
      </c>
      <c r="E937" s="2">
        <v>45197</v>
      </c>
      <c r="F937" s="2">
        <v>46020</v>
      </c>
      <c r="G937">
        <v>1500</v>
      </c>
      <c r="H937" t="s">
        <v>15</v>
      </c>
      <c r="I937" t="s">
        <v>16</v>
      </c>
      <c r="J937">
        <f t="shared" si="57"/>
        <v>4500</v>
      </c>
      <c r="K937" t="str">
        <f t="shared" si="56"/>
        <v>25-34</v>
      </c>
      <c r="L937" t="str">
        <f t="shared" ca="1" si="58"/>
        <v>Safe</v>
      </c>
      <c r="M937" t="str">
        <f t="shared" si="59"/>
        <v>Sep-2023</v>
      </c>
    </row>
    <row r="938" spans="1:13" x14ac:dyDescent="0.35">
      <c r="A938">
        <v>10937</v>
      </c>
      <c r="B938">
        <v>19</v>
      </c>
      <c r="C938" t="s">
        <v>9</v>
      </c>
      <c r="D938" t="s">
        <v>13</v>
      </c>
      <c r="E938" s="2">
        <v>45348</v>
      </c>
      <c r="F938" s="2">
        <v>46026</v>
      </c>
      <c r="G938">
        <v>1500</v>
      </c>
      <c r="H938" t="s">
        <v>15</v>
      </c>
      <c r="I938" t="s">
        <v>16</v>
      </c>
      <c r="J938">
        <f t="shared" si="57"/>
        <v>4500</v>
      </c>
      <c r="K938" t="str">
        <f t="shared" si="56"/>
        <v>18-24</v>
      </c>
      <c r="L938" t="str">
        <f t="shared" ca="1" si="58"/>
        <v>Safe</v>
      </c>
      <c r="M938" t="str">
        <f t="shared" si="59"/>
        <v>Feb-2024</v>
      </c>
    </row>
    <row r="939" spans="1:13" x14ac:dyDescent="0.35">
      <c r="A939">
        <v>10938</v>
      </c>
      <c r="B939">
        <v>45</v>
      </c>
      <c r="C939" t="s">
        <v>9</v>
      </c>
      <c r="D939" t="s">
        <v>11</v>
      </c>
      <c r="E939" s="2">
        <v>45989</v>
      </c>
      <c r="F939" s="2">
        <v>45992</v>
      </c>
      <c r="G939">
        <v>1200</v>
      </c>
      <c r="H939" t="s">
        <v>14</v>
      </c>
      <c r="I939" t="s">
        <v>17</v>
      </c>
      <c r="J939">
        <f t="shared" si="57"/>
        <v>1200</v>
      </c>
      <c r="K939" t="str">
        <f t="shared" si="56"/>
        <v>35+</v>
      </c>
      <c r="L939" t="str">
        <f t="shared" ca="1" si="58"/>
        <v>High Risk</v>
      </c>
      <c r="M939" t="str">
        <f t="shared" si="59"/>
        <v>Nov-2025</v>
      </c>
    </row>
    <row r="940" spans="1:13" x14ac:dyDescent="0.35">
      <c r="A940">
        <v>10939</v>
      </c>
      <c r="B940">
        <v>25</v>
      </c>
      <c r="C940" t="s">
        <v>10</v>
      </c>
      <c r="D940" t="s">
        <v>13</v>
      </c>
      <c r="E940" s="2">
        <v>45215</v>
      </c>
      <c r="F940" s="2">
        <v>46017</v>
      </c>
      <c r="G940">
        <v>1500</v>
      </c>
      <c r="H940" t="s">
        <v>15</v>
      </c>
      <c r="I940" t="s">
        <v>16</v>
      </c>
      <c r="J940">
        <f t="shared" si="57"/>
        <v>4500</v>
      </c>
      <c r="K940" t="str">
        <f t="shared" si="56"/>
        <v>25-34</v>
      </c>
      <c r="L940" t="str">
        <f t="shared" ca="1" si="58"/>
        <v>Safe</v>
      </c>
      <c r="M940" t="str">
        <f t="shared" si="59"/>
        <v>Oct-2023</v>
      </c>
    </row>
    <row r="941" spans="1:13" x14ac:dyDescent="0.35">
      <c r="A941">
        <v>10940</v>
      </c>
      <c r="B941">
        <v>24</v>
      </c>
      <c r="C941" t="s">
        <v>9</v>
      </c>
      <c r="D941" t="s">
        <v>11</v>
      </c>
      <c r="E941" s="2">
        <v>45235</v>
      </c>
      <c r="F941" s="2">
        <v>46028</v>
      </c>
      <c r="G941">
        <v>1200</v>
      </c>
      <c r="H941" t="s">
        <v>14</v>
      </c>
      <c r="I941" t="s">
        <v>16</v>
      </c>
      <c r="J941">
        <f t="shared" si="57"/>
        <v>1200</v>
      </c>
      <c r="K941" t="str">
        <f t="shared" si="56"/>
        <v>18-24</v>
      </c>
      <c r="L941" t="str">
        <f t="shared" ca="1" si="58"/>
        <v>Safe</v>
      </c>
      <c r="M941" t="str">
        <f t="shared" si="59"/>
        <v>Nov-2023</v>
      </c>
    </row>
    <row r="942" spans="1:13" x14ac:dyDescent="0.35">
      <c r="A942">
        <v>10941</v>
      </c>
      <c r="B942">
        <v>43</v>
      </c>
      <c r="C942" t="s">
        <v>9</v>
      </c>
      <c r="D942" t="s">
        <v>11</v>
      </c>
      <c r="E942" s="2">
        <v>45755</v>
      </c>
      <c r="F942" s="2">
        <v>46020</v>
      </c>
      <c r="G942">
        <v>1700</v>
      </c>
      <c r="H942" t="s">
        <v>15</v>
      </c>
      <c r="I942" t="s">
        <v>16</v>
      </c>
      <c r="J942">
        <f t="shared" si="57"/>
        <v>1700</v>
      </c>
      <c r="K942" t="str">
        <f t="shared" si="56"/>
        <v>35+</v>
      </c>
      <c r="L942" t="str">
        <f t="shared" ca="1" si="58"/>
        <v>Safe</v>
      </c>
      <c r="M942" t="str">
        <f t="shared" si="59"/>
        <v>Apr-2025</v>
      </c>
    </row>
    <row r="943" spans="1:13" x14ac:dyDescent="0.35">
      <c r="A943">
        <v>10942</v>
      </c>
      <c r="B943">
        <v>43</v>
      </c>
      <c r="C943" t="s">
        <v>9</v>
      </c>
      <c r="D943" t="s">
        <v>13</v>
      </c>
      <c r="E943" s="2">
        <v>45138</v>
      </c>
      <c r="F943" s="2">
        <v>46011</v>
      </c>
      <c r="G943">
        <v>1000</v>
      </c>
      <c r="H943" t="s">
        <v>14</v>
      </c>
      <c r="I943" t="s">
        <v>16</v>
      </c>
      <c r="J943">
        <f t="shared" si="57"/>
        <v>3000</v>
      </c>
      <c r="K943" t="str">
        <f t="shared" si="56"/>
        <v>35+</v>
      </c>
      <c r="L943" t="str">
        <f t="shared" ca="1" si="58"/>
        <v>Safe</v>
      </c>
      <c r="M943" t="str">
        <f t="shared" si="59"/>
        <v>Jul-2023</v>
      </c>
    </row>
    <row r="944" spans="1:13" x14ac:dyDescent="0.35">
      <c r="A944">
        <v>10943</v>
      </c>
      <c r="B944">
        <v>19</v>
      </c>
      <c r="C944" t="s">
        <v>9</v>
      </c>
      <c r="D944" t="s">
        <v>11</v>
      </c>
      <c r="E944" s="2">
        <v>45611</v>
      </c>
      <c r="F944" s="2">
        <v>46016</v>
      </c>
      <c r="G944">
        <v>1700</v>
      </c>
      <c r="H944" t="s">
        <v>15</v>
      </c>
      <c r="I944" t="s">
        <v>16</v>
      </c>
      <c r="J944">
        <f t="shared" si="57"/>
        <v>1700</v>
      </c>
      <c r="K944" t="str">
        <f t="shared" si="56"/>
        <v>18-24</v>
      </c>
      <c r="L944" t="str">
        <f t="shared" ca="1" si="58"/>
        <v>Safe</v>
      </c>
      <c r="M944" t="str">
        <f t="shared" si="59"/>
        <v>Nov-2024</v>
      </c>
    </row>
    <row r="945" spans="1:13" x14ac:dyDescent="0.35">
      <c r="A945">
        <v>10944</v>
      </c>
      <c r="B945">
        <v>39</v>
      </c>
      <c r="C945" t="s">
        <v>9</v>
      </c>
      <c r="D945" t="s">
        <v>12</v>
      </c>
      <c r="E945" s="2">
        <v>45147</v>
      </c>
      <c r="F945" s="2">
        <v>46028</v>
      </c>
      <c r="G945">
        <v>800</v>
      </c>
      <c r="H945" t="s">
        <v>14</v>
      </c>
      <c r="I945" t="s">
        <v>16</v>
      </c>
      <c r="J945">
        <f t="shared" si="57"/>
        <v>9600</v>
      </c>
      <c r="K945" t="str">
        <f t="shared" si="56"/>
        <v>35+</v>
      </c>
      <c r="L945" t="str">
        <f t="shared" ca="1" si="58"/>
        <v>Safe</v>
      </c>
      <c r="M945" t="str">
        <f t="shared" si="59"/>
        <v>Aug-2023</v>
      </c>
    </row>
    <row r="946" spans="1:13" x14ac:dyDescent="0.35">
      <c r="A946">
        <v>10945</v>
      </c>
      <c r="B946">
        <v>39</v>
      </c>
      <c r="C946" t="s">
        <v>9</v>
      </c>
      <c r="D946" t="s">
        <v>11</v>
      </c>
      <c r="E946" s="2">
        <v>45642</v>
      </c>
      <c r="F946" s="2">
        <v>45971</v>
      </c>
      <c r="G946">
        <v>1700</v>
      </c>
      <c r="H946" t="s">
        <v>15</v>
      </c>
      <c r="I946" t="s">
        <v>17</v>
      </c>
      <c r="J946">
        <f t="shared" si="57"/>
        <v>1700</v>
      </c>
      <c r="K946" t="str">
        <f t="shared" si="56"/>
        <v>35+</v>
      </c>
      <c r="L946" t="str">
        <f t="shared" ca="1" si="58"/>
        <v>High Risk</v>
      </c>
      <c r="M946" t="str">
        <f t="shared" si="59"/>
        <v>Dec-2024</v>
      </c>
    </row>
    <row r="947" spans="1:13" x14ac:dyDescent="0.35">
      <c r="A947">
        <v>10946</v>
      </c>
      <c r="B947">
        <v>20</v>
      </c>
      <c r="C947" t="s">
        <v>9</v>
      </c>
      <c r="D947" t="s">
        <v>13</v>
      </c>
      <c r="E947" s="2">
        <v>45996</v>
      </c>
      <c r="F947" s="2">
        <v>45960</v>
      </c>
      <c r="G947">
        <v>1000</v>
      </c>
      <c r="H947" t="s">
        <v>14</v>
      </c>
      <c r="I947" t="s">
        <v>17</v>
      </c>
      <c r="J947">
        <f t="shared" si="57"/>
        <v>3000</v>
      </c>
      <c r="K947" t="str">
        <f t="shared" si="56"/>
        <v>18-24</v>
      </c>
      <c r="L947" t="str">
        <f t="shared" ca="1" si="58"/>
        <v>High Risk</v>
      </c>
      <c r="M947" t="str">
        <f t="shared" si="59"/>
        <v>Dec-2025</v>
      </c>
    </row>
    <row r="948" spans="1:13" x14ac:dyDescent="0.35">
      <c r="A948">
        <v>10947</v>
      </c>
      <c r="B948">
        <v>44</v>
      </c>
      <c r="C948" t="s">
        <v>9</v>
      </c>
      <c r="D948" t="s">
        <v>11</v>
      </c>
      <c r="E948" s="2">
        <v>45497</v>
      </c>
      <c r="F948" s="2">
        <v>45949</v>
      </c>
      <c r="G948">
        <v>1200</v>
      </c>
      <c r="H948" t="s">
        <v>14</v>
      </c>
      <c r="I948" t="s">
        <v>17</v>
      </c>
      <c r="J948">
        <f t="shared" si="57"/>
        <v>1200</v>
      </c>
      <c r="K948" t="str">
        <f t="shared" si="56"/>
        <v>35+</v>
      </c>
      <c r="L948" t="str">
        <f t="shared" ca="1" si="58"/>
        <v>High Risk</v>
      </c>
      <c r="M948" t="str">
        <f t="shared" si="59"/>
        <v>Jul-2024</v>
      </c>
    </row>
    <row r="949" spans="1:13" x14ac:dyDescent="0.35">
      <c r="A949">
        <v>10948</v>
      </c>
      <c r="B949">
        <v>35</v>
      </c>
      <c r="C949" t="s">
        <v>9</v>
      </c>
      <c r="D949" t="s">
        <v>11</v>
      </c>
      <c r="E949" s="2">
        <v>45593</v>
      </c>
      <c r="F949" s="2">
        <v>46023</v>
      </c>
      <c r="G949">
        <v>1200</v>
      </c>
      <c r="H949" t="s">
        <v>14</v>
      </c>
      <c r="I949" t="s">
        <v>16</v>
      </c>
      <c r="J949">
        <f t="shared" si="57"/>
        <v>1200</v>
      </c>
      <c r="K949" t="str">
        <f t="shared" si="56"/>
        <v>35+</v>
      </c>
      <c r="L949" t="str">
        <f t="shared" ca="1" si="58"/>
        <v>Safe</v>
      </c>
      <c r="M949" t="str">
        <f t="shared" si="59"/>
        <v>Oct-2024</v>
      </c>
    </row>
    <row r="950" spans="1:13" x14ac:dyDescent="0.35">
      <c r="A950">
        <v>10949</v>
      </c>
      <c r="B950">
        <v>29</v>
      </c>
      <c r="C950" t="s">
        <v>10</v>
      </c>
      <c r="D950" t="s">
        <v>11</v>
      </c>
      <c r="E950" s="2">
        <v>45250</v>
      </c>
      <c r="F950" s="2">
        <v>46009</v>
      </c>
      <c r="G950">
        <v>1200</v>
      </c>
      <c r="H950" t="s">
        <v>14</v>
      </c>
      <c r="I950" t="s">
        <v>16</v>
      </c>
      <c r="J950">
        <f t="shared" si="57"/>
        <v>1200</v>
      </c>
      <c r="K950" t="str">
        <f t="shared" si="56"/>
        <v>25-34</v>
      </c>
      <c r="L950" t="str">
        <f t="shared" ca="1" si="58"/>
        <v>Safe</v>
      </c>
      <c r="M950" t="str">
        <f t="shared" si="59"/>
        <v>Nov-2023</v>
      </c>
    </row>
    <row r="951" spans="1:13" x14ac:dyDescent="0.35">
      <c r="A951">
        <v>10950</v>
      </c>
      <c r="B951">
        <v>18</v>
      </c>
      <c r="C951" t="s">
        <v>9</v>
      </c>
      <c r="D951" t="s">
        <v>13</v>
      </c>
      <c r="E951" s="2">
        <v>45345</v>
      </c>
      <c r="F951" s="2">
        <v>46024</v>
      </c>
      <c r="G951">
        <v>1000</v>
      </c>
      <c r="H951" t="s">
        <v>14</v>
      </c>
      <c r="I951" t="s">
        <v>16</v>
      </c>
      <c r="J951">
        <f t="shared" si="57"/>
        <v>3000</v>
      </c>
      <c r="K951" t="str">
        <f t="shared" si="56"/>
        <v>18-24</v>
      </c>
      <c r="L951" t="str">
        <f t="shared" ca="1" si="58"/>
        <v>Safe</v>
      </c>
      <c r="M951" t="str">
        <f t="shared" si="59"/>
        <v>Feb-2024</v>
      </c>
    </row>
    <row r="952" spans="1:13" x14ac:dyDescent="0.35">
      <c r="A952">
        <v>10951</v>
      </c>
      <c r="B952">
        <v>39</v>
      </c>
      <c r="C952" t="s">
        <v>9</v>
      </c>
      <c r="D952" t="s">
        <v>12</v>
      </c>
      <c r="E952" s="2">
        <v>45975</v>
      </c>
      <c r="F952" s="2">
        <v>46013</v>
      </c>
      <c r="G952">
        <v>800</v>
      </c>
      <c r="H952" t="s">
        <v>14</v>
      </c>
      <c r="I952" t="s">
        <v>16</v>
      </c>
      <c r="J952">
        <f t="shared" si="57"/>
        <v>9600</v>
      </c>
      <c r="K952" t="str">
        <f t="shared" si="56"/>
        <v>35+</v>
      </c>
      <c r="L952" t="str">
        <f t="shared" ca="1" si="58"/>
        <v>Safe</v>
      </c>
      <c r="M952" t="str">
        <f t="shared" si="59"/>
        <v>Nov-2025</v>
      </c>
    </row>
    <row r="953" spans="1:13" x14ac:dyDescent="0.35">
      <c r="A953">
        <v>10952</v>
      </c>
      <c r="B953">
        <v>29</v>
      </c>
      <c r="C953" t="s">
        <v>9</v>
      </c>
      <c r="D953" t="s">
        <v>12</v>
      </c>
      <c r="E953" s="2">
        <v>45136</v>
      </c>
      <c r="F953" s="2">
        <v>46030</v>
      </c>
      <c r="G953">
        <v>800</v>
      </c>
      <c r="H953" t="s">
        <v>14</v>
      </c>
      <c r="I953" t="s">
        <v>16</v>
      </c>
      <c r="J953">
        <f t="shared" si="57"/>
        <v>9600</v>
      </c>
      <c r="K953" t="str">
        <f t="shared" si="56"/>
        <v>25-34</v>
      </c>
      <c r="L953" t="str">
        <f t="shared" ca="1" si="58"/>
        <v>Safe</v>
      </c>
      <c r="M953" t="str">
        <f t="shared" si="59"/>
        <v>Jul-2023</v>
      </c>
    </row>
    <row r="954" spans="1:13" x14ac:dyDescent="0.35">
      <c r="A954">
        <v>10953</v>
      </c>
      <c r="B954">
        <v>22</v>
      </c>
      <c r="C954" t="s">
        <v>9</v>
      </c>
      <c r="D954" t="s">
        <v>13</v>
      </c>
      <c r="E954" s="2">
        <v>45866</v>
      </c>
      <c r="F954" s="2">
        <v>46010</v>
      </c>
      <c r="G954">
        <v>1500</v>
      </c>
      <c r="H954" t="s">
        <v>15</v>
      </c>
      <c r="I954" t="s">
        <v>16</v>
      </c>
      <c r="J954">
        <f t="shared" si="57"/>
        <v>4500</v>
      </c>
      <c r="K954" t="str">
        <f t="shared" si="56"/>
        <v>18-24</v>
      </c>
      <c r="L954" t="str">
        <f t="shared" ca="1" si="58"/>
        <v>Safe</v>
      </c>
      <c r="M954" t="str">
        <f t="shared" si="59"/>
        <v>Jul-2025</v>
      </c>
    </row>
    <row r="955" spans="1:13" x14ac:dyDescent="0.35">
      <c r="A955">
        <v>10954</v>
      </c>
      <c r="B955">
        <v>44</v>
      </c>
      <c r="C955" t="s">
        <v>10</v>
      </c>
      <c r="D955" t="s">
        <v>12</v>
      </c>
      <c r="E955" s="2">
        <v>45695</v>
      </c>
      <c r="F955" s="2">
        <v>46022</v>
      </c>
      <c r="G955">
        <v>800</v>
      </c>
      <c r="H955" t="s">
        <v>14</v>
      </c>
      <c r="I955" t="s">
        <v>16</v>
      </c>
      <c r="J955">
        <f t="shared" si="57"/>
        <v>9600</v>
      </c>
      <c r="K955" t="str">
        <f t="shared" si="56"/>
        <v>35+</v>
      </c>
      <c r="L955" t="str">
        <f t="shared" ca="1" si="58"/>
        <v>Safe</v>
      </c>
      <c r="M955" t="str">
        <f t="shared" si="59"/>
        <v>Feb-2025</v>
      </c>
    </row>
    <row r="956" spans="1:13" x14ac:dyDescent="0.35">
      <c r="A956">
        <v>10955</v>
      </c>
      <c r="B956">
        <v>42</v>
      </c>
      <c r="C956" t="s">
        <v>9</v>
      </c>
      <c r="D956" t="s">
        <v>13</v>
      </c>
      <c r="E956" s="2">
        <v>45928</v>
      </c>
      <c r="F956" s="2">
        <v>46031</v>
      </c>
      <c r="G956">
        <v>1000</v>
      </c>
      <c r="H956" t="s">
        <v>14</v>
      </c>
      <c r="I956" t="s">
        <v>16</v>
      </c>
      <c r="J956">
        <f t="shared" si="57"/>
        <v>3000</v>
      </c>
      <c r="K956" t="str">
        <f t="shared" si="56"/>
        <v>35+</v>
      </c>
      <c r="L956" t="str">
        <f t="shared" ca="1" si="58"/>
        <v>Safe</v>
      </c>
      <c r="M956" t="str">
        <f t="shared" si="59"/>
        <v>Sep-2025</v>
      </c>
    </row>
    <row r="957" spans="1:13" x14ac:dyDescent="0.35">
      <c r="A957">
        <v>10956</v>
      </c>
      <c r="B957">
        <v>34</v>
      </c>
      <c r="C957" t="s">
        <v>9</v>
      </c>
      <c r="D957" t="s">
        <v>13</v>
      </c>
      <c r="E957" s="2">
        <v>45802</v>
      </c>
      <c r="F957" s="2">
        <v>45991</v>
      </c>
      <c r="G957">
        <v>1500</v>
      </c>
      <c r="H957" t="s">
        <v>15</v>
      </c>
      <c r="I957" t="s">
        <v>17</v>
      </c>
      <c r="J957">
        <f t="shared" si="57"/>
        <v>4500</v>
      </c>
      <c r="K957" t="str">
        <f t="shared" si="56"/>
        <v>25-34</v>
      </c>
      <c r="L957" t="str">
        <f t="shared" ca="1" si="58"/>
        <v>High Risk</v>
      </c>
      <c r="M957" t="str">
        <f t="shared" si="59"/>
        <v>May-2025</v>
      </c>
    </row>
    <row r="958" spans="1:13" x14ac:dyDescent="0.35">
      <c r="A958">
        <v>10957</v>
      </c>
      <c r="B958">
        <v>33</v>
      </c>
      <c r="C958" t="s">
        <v>9</v>
      </c>
      <c r="D958" t="s">
        <v>13</v>
      </c>
      <c r="E958" s="2">
        <v>45637</v>
      </c>
      <c r="F958" s="2">
        <v>46014</v>
      </c>
      <c r="G958">
        <v>1500</v>
      </c>
      <c r="H958" t="s">
        <v>15</v>
      </c>
      <c r="I958" t="s">
        <v>16</v>
      </c>
      <c r="J958">
        <f t="shared" si="57"/>
        <v>4500</v>
      </c>
      <c r="K958" t="str">
        <f t="shared" si="56"/>
        <v>25-34</v>
      </c>
      <c r="L958" t="str">
        <f t="shared" ca="1" si="58"/>
        <v>Safe</v>
      </c>
      <c r="M958" t="str">
        <f t="shared" si="59"/>
        <v>Dec-2024</v>
      </c>
    </row>
    <row r="959" spans="1:13" x14ac:dyDescent="0.35">
      <c r="A959">
        <v>10958</v>
      </c>
      <c r="B959">
        <v>32</v>
      </c>
      <c r="C959" t="s">
        <v>9</v>
      </c>
      <c r="D959" t="s">
        <v>13</v>
      </c>
      <c r="E959" s="2">
        <v>45597</v>
      </c>
      <c r="F959" s="2">
        <v>46011</v>
      </c>
      <c r="G959">
        <v>1500</v>
      </c>
      <c r="H959" t="s">
        <v>15</v>
      </c>
      <c r="I959" t="s">
        <v>16</v>
      </c>
      <c r="J959">
        <f t="shared" si="57"/>
        <v>4500</v>
      </c>
      <c r="K959" t="str">
        <f t="shared" si="56"/>
        <v>25-34</v>
      </c>
      <c r="L959" t="str">
        <f t="shared" ca="1" si="58"/>
        <v>Safe</v>
      </c>
      <c r="M959" t="str">
        <f t="shared" si="59"/>
        <v>Nov-2024</v>
      </c>
    </row>
    <row r="960" spans="1:13" x14ac:dyDescent="0.35">
      <c r="A960">
        <v>10959</v>
      </c>
      <c r="B960">
        <v>40</v>
      </c>
      <c r="C960" t="s">
        <v>9</v>
      </c>
      <c r="D960" t="s">
        <v>12</v>
      </c>
      <c r="E960" s="2">
        <v>45940</v>
      </c>
      <c r="F960" s="2">
        <v>46008</v>
      </c>
      <c r="G960">
        <v>800</v>
      </c>
      <c r="H960" t="s">
        <v>14</v>
      </c>
      <c r="I960" t="s">
        <v>16</v>
      </c>
      <c r="J960">
        <f t="shared" si="57"/>
        <v>9600</v>
      </c>
      <c r="K960" t="str">
        <f t="shared" si="56"/>
        <v>35+</v>
      </c>
      <c r="L960" t="str">
        <f t="shared" ca="1" si="58"/>
        <v>Safe</v>
      </c>
      <c r="M960" t="str">
        <f t="shared" si="59"/>
        <v>Oct-2025</v>
      </c>
    </row>
    <row r="961" spans="1:13" x14ac:dyDescent="0.35">
      <c r="A961">
        <v>10960</v>
      </c>
      <c r="B961">
        <v>32</v>
      </c>
      <c r="C961" t="s">
        <v>9</v>
      </c>
      <c r="D961" t="s">
        <v>11</v>
      </c>
      <c r="E961" s="2">
        <v>45282</v>
      </c>
      <c r="F961" s="2">
        <v>46027</v>
      </c>
      <c r="G961">
        <v>1700</v>
      </c>
      <c r="H961" t="s">
        <v>15</v>
      </c>
      <c r="I961" t="s">
        <v>16</v>
      </c>
      <c r="J961">
        <f t="shared" si="57"/>
        <v>1700</v>
      </c>
      <c r="K961" t="str">
        <f t="shared" si="56"/>
        <v>25-34</v>
      </c>
      <c r="L961" t="str">
        <f t="shared" ca="1" si="58"/>
        <v>Safe</v>
      </c>
      <c r="M961" t="str">
        <f t="shared" si="59"/>
        <v>Dec-2023</v>
      </c>
    </row>
    <row r="962" spans="1:13" x14ac:dyDescent="0.35">
      <c r="A962">
        <v>10961</v>
      </c>
      <c r="B962">
        <v>22</v>
      </c>
      <c r="C962" t="s">
        <v>10</v>
      </c>
      <c r="D962" t="s">
        <v>12</v>
      </c>
      <c r="E962" s="2">
        <v>45961</v>
      </c>
      <c r="F962" s="2">
        <v>46011</v>
      </c>
      <c r="G962">
        <v>1300</v>
      </c>
      <c r="H962" t="s">
        <v>15</v>
      </c>
      <c r="I962" t="s">
        <v>16</v>
      </c>
      <c r="J962">
        <f t="shared" si="57"/>
        <v>15600</v>
      </c>
      <c r="K962" t="str">
        <f t="shared" ref="K962:K1025" si="60">IF(B962&lt;25,"18-24",IF(B962&lt;35,"25-34","35+"))</f>
        <v>18-24</v>
      </c>
      <c r="L962" t="str">
        <f t="shared" ca="1" si="58"/>
        <v>Safe</v>
      </c>
      <c r="M962" t="str">
        <f t="shared" si="59"/>
        <v>Oct-2025</v>
      </c>
    </row>
    <row r="963" spans="1:13" x14ac:dyDescent="0.35">
      <c r="A963">
        <v>10962</v>
      </c>
      <c r="B963">
        <v>38</v>
      </c>
      <c r="C963" t="s">
        <v>9</v>
      </c>
      <c r="D963" t="s">
        <v>13</v>
      </c>
      <c r="E963" s="2">
        <v>45198</v>
      </c>
      <c r="F963" s="2">
        <v>45919</v>
      </c>
      <c r="G963">
        <v>1500</v>
      </c>
      <c r="H963" t="s">
        <v>15</v>
      </c>
      <c r="I963" t="s">
        <v>17</v>
      </c>
      <c r="J963">
        <f t="shared" ref="J963:J1026" si="61">IF(D963="Monthly",G963,IF(D963="Quarterly",G963*3,G963*12))</f>
        <v>4500</v>
      </c>
      <c r="K963" t="str">
        <f t="shared" si="60"/>
        <v>35+</v>
      </c>
      <c r="L963" t="str">
        <f t="shared" ref="L963:L1026" ca="1" si="62">IF(F963&lt;TODAY()-30,"High Risk","Safe")</f>
        <v>High Risk</v>
      </c>
      <c r="M963" t="str">
        <f t="shared" ref="M963:M1026" si="63">TEXT(E963,"mmm-yyyy")</f>
        <v>Sep-2023</v>
      </c>
    </row>
    <row r="964" spans="1:13" x14ac:dyDescent="0.35">
      <c r="A964">
        <v>10963</v>
      </c>
      <c r="B964">
        <v>31</v>
      </c>
      <c r="C964" t="s">
        <v>9</v>
      </c>
      <c r="D964" t="s">
        <v>11</v>
      </c>
      <c r="E964" s="2">
        <v>45493</v>
      </c>
      <c r="F964" s="2">
        <v>46025</v>
      </c>
      <c r="G964">
        <v>1200</v>
      </c>
      <c r="H964" t="s">
        <v>14</v>
      </c>
      <c r="I964" t="s">
        <v>16</v>
      </c>
      <c r="J964">
        <f t="shared" si="61"/>
        <v>1200</v>
      </c>
      <c r="K964" t="str">
        <f t="shared" si="60"/>
        <v>25-34</v>
      </c>
      <c r="L964" t="str">
        <f t="shared" ca="1" si="62"/>
        <v>Safe</v>
      </c>
      <c r="M964" t="str">
        <f t="shared" si="63"/>
        <v>Jul-2024</v>
      </c>
    </row>
    <row r="965" spans="1:13" x14ac:dyDescent="0.35">
      <c r="A965">
        <v>10964</v>
      </c>
      <c r="B965">
        <v>19</v>
      </c>
      <c r="C965" t="s">
        <v>9</v>
      </c>
      <c r="D965" t="s">
        <v>11</v>
      </c>
      <c r="E965" s="2">
        <v>45595</v>
      </c>
      <c r="F965" s="2">
        <v>46012</v>
      </c>
      <c r="G965">
        <v>1200</v>
      </c>
      <c r="H965" t="s">
        <v>14</v>
      </c>
      <c r="I965" t="s">
        <v>16</v>
      </c>
      <c r="J965">
        <f t="shared" si="61"/>
        <v>1200</v>
      </c>
      <c r="K965" t="str">
        <f t="shared" si="60"/>
        <v>18-24</v>
      </c>
      <c r="L965" t="str">
        <f t="shared" ca="1" si="62"/>
        <v>Safe</v>
      </c>
      <c r="M965" t="str">
        <f t="shared" si="63"/>
        <v>Oct-2024</v>
      </c>
    </row>
    <row r="966" spans="1:13" x14ac:dyDescent="0.35">
      <c r="A966">
        <v>10965</v>
      </c>
      <c r="B966">
        <v>28</v>
      </c>
      <c r="C966" t="s">
        <v>9</v>
      </c>
      <c r="D966" t="s">
        <v>11</v>
      </c>
      <c r="E966" s="2">
        <v>45614</v>
      </c>
      <c r="F966" s="2">
        <v>46008</v>
      </c>
      <c r="G966">
        <v>1700</v>
      </c>
      <c r="H966" t="s">
        <v>15</v>
      </c>
      <c r="I966" t="s">
        <v>16</v>
      </c>
      <c r="J966">
        <f t="shared" si="61"/>
        <v>1700</v>
      </c>
      <c r="K966" t="str">
        <f t="shared" si="60"/>
        <v>25-34</v>
      </c>
      <c r="L966" t="str">
        <f t="shared" ca="1" si="62"/>
        <v>Safe</v>
      </c>
      <c r="M966" t="str">
        <f t="shared" si="63"/>
        <v>Nov-2024</v>
      </c>
    </row>
    <row r="967" spans="1:13" x14ac:dyDescent="0.35">
      <c r="A967">
        <v>10966</v>
      </c>
      <c r="B967">
        <v>36</v>
      </c>
      <c r="C967" t="s">
        <v>9</v>
      </c>
      <c r="D967" t="s">
        <v>13</v>
      </c>
      <c r="E967" s="2">
        <v>45477</v>
      </c>
      <c r="F967" s="2">
        <v>46014</v>
      </c>
      <c r="G967">
        <v>1500</v>
      </c>
      <c r="H967" t="s">
        <v>15</v>
      </c>
      <c r="I967" t="s">
        <v>16</v>
      </c>
      <c r="J967">
        <f t="shared" si="61"/>
        <v>4500</v>
      </c>
      <c r="K967" t="str">
        <f t="shared" si="60"/>
        <v>35+</v>
      </c>
      <c r="L967" t="str">
        <f t="shared" ca="1" si="62"/>
        <v>Safe</v>
      </c>
      <c r="M967" t="str">
        <f t="shared" si="63"/>
        <v>Jul-2024</v>
      </c>
    </row>
    <row r="968" spans="1:13" x14ac:dyDescent="0.35">
      <c r="A968">
        <v>10967</v>
      </c>
      <c r="B968">
        <v>24</v>
      </c>
      <c r="C968" t="s">
        <v>10</v>
      </c>
      <c r="D968" t="s">
        <v>12</v>
      </c>
      <c r="E968" s="2">
        <v>45892</v>
      </c>
      <c r="F968" s="2">
        <v>45958</v>
      </c>
      <c r="G968">
        <v>1300</v>
      </c>
      <c r="H968" t="s">
        <v>15</v>
      </c>
      <c r="I968" t="s">
        <v>17</v>
      </c>
      <c r="J968">
        <f t="shared" si="61"/>
        <v>15600</v>
      </c>
      <c r="K968" t="str">
        <f t="shared" si="60"/>
        <v>18-24</v>
      </c>
      <c r="L968" t="str">
        <f t="shared" ca="1" si="62"/>
        <v>High Risk</v>
      </c>
      <c r="M968" t="str">
        <f t="shared" si="63"/>
        <v>Aug-2025</v>
      </c>
    </row>
    <row r="969" spans="1:13" x14ac:dyDescent="0.35">
      <c r="A969">
        <v>10968</v>
      </c>
      <c r="B969">
        <v>23</v>
      </c>
      <c r="C969" t="s">
        <v>10</v>
      </c>
      <c r="D969" t="s">
        <v>11</v>
      </c>
      <c r="E969" s="2">
        <v>45206</v>
      </c>
      <c r="F969" s="2">
        <v>46011</v>
      </c>
      <c r="G969">
        <v>1200</v>
      </c>
      <c r="H969" t="s">
        <v>14</v>
      </c>
      <c r="I969" t="s">
        <v>16</v>
      </c>
      <c r="J969">
        <f t="shared" si="61"/>
        <v>1200</v>
      </c>
      <c r="K969" t="str">
        <f t="shared" si="60"/>
        <v>18-24</v>
      </c>
      <c r="L969" t="str">
        <f t="shared" ca="1" si="62"/>
        <v>Safe</v>
      </c>
      <c r="M969" t="str">
        <f t="shared" si="63"/>
        <v>Oct-2023</v>
      </c>
    </row>
    <row r="970" spans="1:13" x14ac:dyDescent="0.35">
      <c r="A970">
        <v>10969</v>
      </c>
      <c r="B970">
        <v>45</v>
      </c>
      <c r="C970" t="s">
        <v>9</v>
      </c>
      <c r="D970" t="s">
        <v>12</v>
      </c>
      <c r="E970" s="2">
        <v>45622</v>
      </c>
      <c r="F970" s="2">
        <v>46023</v>
      </c>
      <c r="G970">
        <v>800</v>
      </c>
      <c r="H970" t="s">
        <v>14</v>
      </c>
      <c r="I970" t="s">
        <v>16</v>
      </c>
      <c r="J970">
        <f t="shared" si="61"/>
        <v>9600</v>
      </c>
      <c r="K970" t="str">
        <f t="shared" si="60"/>
        <v>35+</v>
      </c>
      <c r="L970" t="str">
        <f t="shared" ca="1" si="62"/>
        <v>Safe</v>
      </c>
      <c r="M970" t="str">
        <f t="shared" si="63"/>
        <v>Nov-2024</v>
      </c>
    </row>
    <row r="971" spans="1:13" x14ac:dyDescent="0.35">
      <c r="A971">
        <v>10970</v>
      </c>
      <c r="B971">
        <v>19</v>
      </c>
      <c r="C971" t="s">
        <v>10</v>
      </c>
      <c r="D971" t="s">
        <v>12</v>
      </c>
      <c r="E971" s="2">
        <v>45803</v>
      </c>
      <c r="F971" s="2">
        <v>46025</v>
      </c>
      <c r="G971">
        <v>800</v>
      </c>
      <c r="H971" t="s">
        <v>14</v>
      </c>
      <c r="I971" t="s">
        <v>16</v>
      </c>
      <c r="J971">
        <f t="shared" si="61"/>
        <v>9600</v>
      </c>
      <c r="K971" t="str">
        <f t="shared" si="60"/>
        <v>18-24</v>
      </c>
      <c r="L971" t="str">
        <f t="shared" ca="1" si="62"/>
        <v>Safe</v>
      </c>
      <c r="M971" t="str">
        <f t="shared" si="63"/>
        <v>May-2025</v>
      </c>
    </row>
    <row r="972" spans="1:13" x14ac:dyDescent="0.35">
      <c r="A972">
        <v>10971</v>
      </c>
      <c r="B972">
        <v>23</v>
      </c>
      <c r="C972" t="s">
        <v>10</v>
      </c>
      <c r="D972" t="s">
        <v>11</v>
      </c>
      <c r="E972" s="2">
        <v>45875</v>
      </c>
      <c r="F972" s="2">
        <v>46012</v>
      </c>
      <c r="G972">
        <v>1700</v>
      </c>
      <c r="H972" t="s">
        <v>15</v>
      </c>
      <c r="I972" t="s">
        <v>16</v>
      </c>
      <c r="J972">
        <f t="shared" si="61"/>
        <v>1700</v>
      </c>
      <c r="K972" t="str">
        <f t="shared" si="60"/>
        <v>18-24</v>
      </c>
      <c r="L972" t="str">
        <f t="shared" ca="1" si="62"/>
        <v>Safe</v>
      </c>
      <c r="M972" t="str">
        <f t="shared" si="63"/>
        <v>Aug-2025</v>
      </c>
    </row>
    <row r="973" spans="1:13" x14ac:dyDescent="0.35">
      <c r="A973">
        <v>10972</v>
      </c>
      <c r="B973">
        <v>35</v>
      </c>
      <c r="C973" t="s">
        <v>10</v>
      </c>
      <c r="D973" t="s">
        <v>12</v>
      </c>
      <c r="E973" s="2">
        <v>45147</v>
      </c>
      <c r="F973" s="2">
        <v>45969</v>
      </c>
      <c r="G973">
        <v>800</v>
      </c>
      <c r="H973" t="s">
        <v>14</v>
      </c>
      <c r="I973" t="s">
        <v>17</v>
      </c>
      <c r="J973">
        <f t="shared" si="61"/>
        <v>9600</v>
      </c>
      <c r="K973" t="str">
        <f t="shared" si="60"/>
        <v>35+</v>
      </c>
      <c r="L973" t="str">
        <f t="shared" ca="1" si="62"/>
        <v>High Risk</v>
      </c>
      <c r="M973" t="str">
        <f t="shared" si="63"/>
        <v>Aug-2023</v>
      </c>
    </row>
    <row r="974" spans="1:13" x14ac:dyDescent="0.35">
      <c r="A974">
        <v>10973</v>
      </c>
      <c r="B974">
        <v>19</v>
      </c>
      <c r="C974" t="s">
        <v>9</v>
      </c>
      <c r="D974" t="s">
        <v>12</v>
      </c>
      <c r="E974" s="2">
        <v>45460</v>
      </c>
      <c r="F974" s="2">
        <v>45941</v>
      </c>
      <c r="G974">
        <v>800</v>
      </c>
      <c r="H974" t="s">
        <v>14</v>
      </c>
      <c r="I974" t="s">
        <v>17</v>
      </c>
      <c r="J974">
        <f t="shared" si="61"/>
        <v>9600</v>
      </c>
      <c r="K974" t="str">
        <f t="shared" si="60"/>
        <v>18-24</v>
      </c>
      <c r="L974" t="str">
        <f t="shared" ca="1" si="62"/>
        <v>High Risk</v>
      </c>
      <c r="M974" t="str">
        <f t="shared" si="63"/>
        <v>Jun-2024</v>
      </c>
    </row>
    <row r="975" spans="1:13" x14ac:dyDescent="0.35">
      <c r="A975">
        <v>10974</v>
      </c>
      <c r="B975">
        <v>35</v>
      </c>
      <c r="C975" t="s">
        <v>10</v>
      </c>
      <c r="D975" t="s">
        <v>13</v>
      </c>
      <c r="E975" s="2">
        <v>45460</v>
      </c>
      <c r="F975" s="2">
        <v>46010</v>
      </c>
      <c r="G975">
        <v>1500</v>
      </c>
      <c r="H975" t="s">
        <v>15</v>
      </c>
      <c r="I975" t="s">
        <v>16</v>
      </c>
      <c r="J975">
        <f t="shared" si="61"/>
        <v>4500</v>
      </c>
      <c r="K975" t="str">
        <f t="shared" si="60"/>
        <v>35+</v>
      </c>
      <c r="L975" t="str">
        <f t="shared" ca="1" si="62"/>
        <v>Safe</v>
      </c>
      <c r="M975" t="str">
        <f t="shared" si="63"/>
        <v>Jun-2024</v>
      </c>
    </row>
    <row r="976" spans="1:13" x14ac:dyDescent="0.35">
      <c r="A976">
        <v>10975</v>
      </c>
      <c r="B976">
        <v>32</v>
      </c>
      <c r="C976" t="s">
        <v>9</v>
      </c>
      <c r="D976" t="s">
        <v>12</v>
      </c>
      <c r="E976" s="2">
        <v>45698</v>
      </c>
      <c r="F976" s="2">
        <v>46027</v>
      </c>
      <c r="G976">
        <v>1300</v>
      </c>
      <c r="H976" t="s">
        <v>15</v>
      </c>
      <c r="I976" t="s">
        <v>16</v>
      </c>
      <c r="J976">
        <f t="shared" si="61"/>
        <v>15600</v>
      </c>
      <c r="K976" t="str">
        <f t="shared" si="60"/>
        <v>25-34</v>
      </c>
      <c r="L976" t="str">
        <f t="shared" ca="1" si="62"/>
        <v>Safe</v>
      </c>
      <c r="M976" t="str">
        <f t="shared" si="63"/>
        <v>Feb-2025</v>
      </c>
    </row>
    <row r="977" spans="1:13" x14ac:dyDescent="0.35">
      <c r="A977">
        <v>10976</v>
      </c>
      <c r="B977">
        <v>44</v>
      </c>
      <c r="C977" t="s">
        <v>10</v>
      </c>
      <c r="D977" t="s">
        <v>12</v>
      </c>
      <c r="E977" s="2">
        <v>45486</v>
      </c>
      <c r="F977" s="2">
        <v>46010</v>
      </c>
      <c r="G977">
        <v>800</v>
      </c>
      <c r="H977" t="s">
        <v>14</v>
      </c>
      <c r="I977" t="s">
        <v>16</v>
      </c>
      <c r="J977">
        <f t="shared" si="61"/>
        <v>9600</v>
      </c>
      <c r="K977" t="str">
        <f t="shared" si="60"/>
        <v>35+</v>
      </c>
      <c r="L977" t="str">
        <f t="shared" ca="1" si="62"/>
        <v>Safe</v>
      </c>
      <c r="M977" t="str">
        <f t="shared" si="63"/>
        <v>Jul-2024</v>
      </c>
    </row>
    <row r="978" spans="1:13" x14ac:dyDescent="0.35">
      <c r="A978">
        <v>10977</v>
      </c>
      <c r="B978">
        <v>36</v>
      </c>
      <c r="C978" t="s">
        <v>9</v>
      </c>
      <c r="D978" t="s">
        <v>13</v>
      </c>
      <c r="E978" s="2">
        <v>45560</v>
      </c>
      <c r="F978" s="2">
        <v>46026</v>
      </c>
      <c r="G978">
        <v>1000</v>
      </c>
      <c r="H978" t="s">
        <v>14</v>
      </c>
      <c r="I978" t="s">
        <v>16</v>
      </c>
      <c r="J978">
        <f t="shared" si="61"/>
        <v>3000</v>
      </c>
      <c r="K978" t="str">
        <f t="shared" si="60"/>
        <v>35+</v>
      </c>
      <c r="L978" t="str">
        <f t="shared" ca="1" si="62"/>
        <v>Safe</v>
      </c>
      <c r="M978" t="str">
        <f t="shared" si="63"/>
        <v>Sep-2024</v>
      </c>
    </row>
    <row r="979" spans="1:13" x14ac:dyDescent="0.35">
      <c r="A979">
        <v>10978</v>
      </c>
      <c r="B979">
        <v>19</v>
      </c>
      <c r="C979" t="s">
        <v>9</v>
      </c>
      <c r="D979" t="s">
        <v>11</v>
      </c>
      <c r="E979" s="2">
        <v>45438</v>
      </c>
      <c r="F979" s="2">
        <v>45989</v>
      </c>
      <c r="G979">
        <v>1200</v>
      </c>
      <c r="H979" t="s">
        <v>14</v>
      </c>
      <c r="I979" t="s">
        <v>17</v>
      </c>
      <c r="J979">
        <f t="shared" si="61"/>
        <v>1200</v>
      </c>
      <c r="K979" t="str">
        <f t="shared" si="60"/>
        <v>18-24</v>
      </c>
      <c r="L979" t="str">
        <f t="shared" ca="1" si="62"/>
        <v>High Risk</v>
      </c>
      <c r="M979" t="str">
        <f t="shared" si="63"/>
        <v>May-2024</v>
      </c>
    </row>
    <row r="980" spans="1:13" x14ac:dyDescent="0.35">
      <c r="A980">
        <v>10979</v>
      </c>
      <c r="B980">
        <v>37</v>
      </c>
      <c r="C980" t="s">
        <v>10</v>
      </c>
      <c r="D980" t="s">
        <v>12</v>
      </c>
      <c r="E980" s="2">
        <v>45392</v>
      </c>
      <c r="F980" s="2">
        <v>46015</v>
      </c>
      <c r="G980">
        <v>800</v>
      </c>
      <c r="H980" t="s">
        <v>14</v>
      </c>
      <c r="I980" t="s">
        <v>16</v>
      </c>
      <c r="J980">
        <f t="shared" si="61"/>
        <v>9600</v>
      </c>
      <c r="K980" t="str">
        <f t="shared" si="60"/>
        <v>35+</v>
      </c>
      <c r="L980" t="str">
        <f t="shared" ca="1" si="62"/>
        <v>Safe</v>
      </c>
      <c r="M980" t="str">
        <f t="shared" si="63"/>
        <v>Apr-2024</v>
      </c>
    </row>
    <row r="981" spans="1:13" x14ac:dyDescent="0.35">
      <c r="A981">
        <v>10980</v>
      </c>
      <c r="B981">
        <v>42</v>
      </c>
      <c r="C981" t="s">
        <v>9</v>
      </c>
      <c r="D981" t="s">
        <v>13</v>
      </c>
      <c r="E981" s="2">
        <v>45943</v>
      </c>
      <c r="F981" s="2">
        <v>45917</v>
      </c>
      <c r="G981">
        <v>1000</v>
      </c>
      <c r="H981" t="s">
        <v>14</v>
      </c>
      <c r="I981" t="s">
        <v>17</v>
      </c>
      <c r="J981">
        <f t="shared" si="61"/>
        <v>3000</v>
      </c>
      <c r="K981" t="str">
        <f t="shared" si="60"/>
        <v>35+</v>
      </c>
      <c r="L981" t="str">
        <f t="shared" ca="1" si="62"/>
        <v>High Risk</v>
      </c>
      <c r="M981" t="str">
        <f t="shared" si="63"/>
        <v>Oct-2025</v>
      </c>
    </row>
    <row r="982" spans="1:13" x14ac:dyDescent="0.35">
      <c r="A982">
        <v>10981</v>
      </c>
      <c r="B982">
        <v>23</v>
      </c>
      <c r="C982" t="s">
        <v>10</v>
      </c>
      <c r="D982" t="s">
        <v>13</v>
      </c>
      <c r="E982" s="2">
        <v>45277</v>
      </c>
      <c r="F982" s="2">
        <v>46028</v>
      </c>
      <c r="G982">
        <v>1500</v>
      </c>
      <c r="H982" t="s">
        <v>15</v>
      </c>
      <c r="I982" t="s">
        <v>16</v>
      </c>
      <c r="J982">
        <f t="shared" si="61"/>
        <v>4500</v>
      </c>
      <c r="K982" t="str">
        <f t="shared" si="60"/>
        <v>18-24</v>
      </c>
      <c r="L982" t="str">
        <f t="shared" ca="1" si="62"/>
        <v>Safe</v>
      </c>
      <c r="M982" t="str">
        <f t="shared" si="63"/>
        <v>Dec-2023</v>
      </c>
    </row>
    <row r="983" spans="1:13" x14ac:dyDescent="0.35">
      <c r="A983">
        <v>10982</v>
      </c>
      <c r="B983">
        <v>18</v>
      </c>
      <c r="C983" t="s">
        <v>10</v>
      </c>
      <c r="D983" t="s">
        <v>11</v>
      </c>
      <c r="E983" s="2">
        <v>45737</v>
      </c>
      <c r="F983" s="2">
        <v>46029</v>
      </c>
      <c r="G983">
        <v>1200</v>
      </c>
      <c r="H983" t="s">
        <v>14</v>
      </c>
      <c r="I983" t="s">
        <v>16</v>
      </c>
      <c r="J983">
        <f t="shared" si="61"/>
        <v>1200</v>
      </c>
      <c r="K983" t="str">
        <f t="shared" si="60"/>
        <v>18-24</v>
      </c>
      <c r="L983" t="str">
        <f t="shared" ca="1" si="62"/>
        <v>Safe</v>
      </c>
      <c r="M983" t="str">
        <f t="shared" si="63"/>
        <v>Mar-2025</v>
      </c>
    </row>
    <row r="984" spans="1:13" x14ac:dyDescent="0.35">
      <c r="A984">
        <v>10983</v>
      </c>
      <c r="B984">
        <v>41</v>
      </c>
      <c r="C984" t="s">
        <v>9</v>
      </c>
      <c r="D984" t="s">
        <v>12</v>
      </c>
      <c r="E984" s="2">
        <v>45507</v>
      </c>
      <c r="F984" s="2">
        <v>46029</v>
      </c>
      <c r="G984">
        <v>800</v>
      </c>
      <c r="H984" t="s">
        <v>14</v>
      </c>
      <c r="I984" t="s">
        <v>16</v>
      </c>
      <c r="J984">
        <f t="shared" si="61"/>
        <v>9600</v>
      </c>
      <c r="K984" t="str">
        <f t="shared" si="60"/>
        <v>35+</v>
      </c>
      <c r="L984" t="str">
        <f t="shared" ca="1" si="62"/>
        <v>Safe</v>
      </c>
      <c r="M984" t="str">
        <f t="shared" si="63"/>
        <v>Aug-2024</v>
      </c>
    </row>
    <row r="985" spans="1:13" x14ac:dyDescent="0.35">
      <c r="A985">
        <v>10984</v>
      </c>
      <c r="B985">
        <v>32</v>
      </c>
      <c r="C985" t="s">
        <v>9</v>
      </c>
      <c r="D985" t="s">
        <v>11</v>
      </c>
      <c r="E985" s="2">
        <v>45880</v>
      </c>
      <c r="F985" s="2">
        <v>45999</v>
      </c>
      <c r="G985">
        <v>1700</v>
      </c>
      <c r="H985" t="s">
        <v>15</v>
      </c>
      <c r="I985" t="s">
        <v>17</v>
      </c>
      <c r="J985">
        <f t="shared" si="61"/>
        <v>1700</v>
      </c>
      <c r="K985" t="str">
        <f t="shared" si="60"/>
        <v>25-34</v>
      </c>
      <c r="L985" t="str">
        <f t="shared" ca="1" si="62"/>
        <v>High Risk</v>
      </c>
      <c r="M985" t="str">
        <f t="shared" si="63"/>
        <v>Aug-2025</v>
      </c>
    </row>
    <row r="986" spans="1:13" x14ac:dyDescent="0.35">
      <c r="A986">
        <v>10985</v>
      </c>
      <c r="B986">
        <v>45</v>
      </c>
      <c r="C986" t="s">
        <v>9</v>
      </c>
      <c r="D986" t="s">
        <v>12</v>
      </c>
      <c r="E986" s="2">
        <v>45933</v>
      </c>
      <c r="F986" s="2">
        <v>46021</v>
      </c>
      <c r="G986">
        <v>800</v>
      </c>
      <c r="H986" t="s">
        <v>14</v>
      </c>
      <c r="I986" t="s">
        <v>16</v>
      </c>
      <c r="J986">
        <f t="shared" si="61"/>
        <v>9600</v>
      </c>
      <c r="K986" t="str">
        <f t="shared" si="60"/>
        <v>35+</v>
      </c>
      <c r="L986" t="str">
        <f t="shared" ca="1" si="62"/>
        <v>Safe</v>
      </c>
      <c r="M986" t="str">
        <f t="shared" si="63"/>
        <v>Oct-2025</v>
      </c>
    </row>
    <row r="987" spans="1:13" x14ac:dyDescent="0.35">
      <c r="A987">
        <v>10986</v>
      </c>
      <c r="B987">
        <v>40</v>
      </c>
      <c r="C987" t="s">
        <v>9</v>
      </c>
      <c r="D987" t="s">
        <v>11</v>
      </c>
      <c r="E987" s="2">
        <v>45646</v>
      </c>
      <c r="F987" s="2">
        <v>45995</v>
      </c>
      <c r="G987">
        <v>1700</v>
      </c>
      <c r="H987" t="s">
        <v>15</v>
      </c>
      <c r="I987" t="s">
        <v>17</v>
      </c>
      <c r="J987">
        <f t="shared" si="61"/>
        <v>1700</v>
      </c>
      <c r="K987" t="str">
        <f t="shared" si="60"/>
        <v>35+</v>
      </c>
      <c r="L987" t="str">
        <f t="shared" ca="1" si="62"/>
        <v>High Risk</v>
      </c>
      <c r="M987" t="str">
        <f t="shared" si="63"/>
        <v>Dec-2024</v>
      </c>
    </row>
    <row r="988" spans="1:13" x14ac:dyDescent="0.35">
      <c r="A988">
        <v>10987</v>
      </c>
      <c r="B988">
        <v>27</v>
      </c>
      <c r="C988" t="s">
        <v>9</v>
      </c>
      <c r="D988" t="s">
        <v>11</v>
      </c>
      <c r="E988" s="2">
        <v>45166</v>
      </c>
      <c r="F988" s="2">
        <v>46012</v>
      </c>
      <c r="G988">
        <v>1700</v>
      </c>
      <c r="H988" t="s">
        <v>15</v>
      </c>
      <c r="I988" t="s">
        <v>16</v>
      </c>
      <c r="J988">
        <f t="shared" si="61"/>
        <v>1700</v>
      </c>
      <c r="K988" t="str">
        <f t="shared" si="60"/>
        <v>25-34</v>
      </c>
      <c r="L988" t="str">
        <f t="shared" ca="1" si="62"/>
        <v>Safe</v>
      </c>
      <c r="M988" t="str">
        <f t="shared" si="63"/>
        <v>Aug-2023</v>
      </c>
    </row>
    <row r="989" spans="1:13" x14ac:dyDescent="0.35">
      <c r="A989">
        <v>10988</v>
      </c>
      <c r="B989">
        <v>36</v>
      </c>
      <c r="C989" t="s">
        <v>10</v>
      </c>
      <c r="D989" t="s">
        <v>11</v>
      </c>
      <c r="E989" s="2">
        <v>45951</v>
      </c>
      <c r="F989" s="2">
        <v>46029</v>
      </c>
      <c r="G989">
        <v>1200</v>
      </c>
      <c r="H989" t="s">
        <v>14</v>
      </c>
      <c r="I989" t="s">
        <v>16</v>
      </c>
      <c r="J989">
        <f t="shared" si="61"/>
        <v>1200</v>
      </c>
      <c r="K989" t="str">
        <f t="shared" si="60"/>
        <v>35+</v>
      </c>
      <c r="L989" t="str">
        <f t="shared" ca="1" si="62"/>
        <v>Safe</v>
      </c>
      <c r="M989" t="str">
        <f t="shared" si="63"/>
        <v>Oct-2025</v>
      </c>
    </row>
    <row r="990" spans="1:13" x14ac:dyDescent="0.35">
      <c r="A990">
        <v>10989</v>
      </c>
      <c r="B990">
        <v>34</v>
      </c>
      <c r="C990" t="s">
        <v>9</v>
      </c>
      <c r="D990" t="s">
        <v>11</v>
      </c>
      <c r="E990" s="2">
        <v>45171</v>
      </c>
      <c r="F990" s="2">
        <v>45981</v>
      </c>
      <c r="G990">
        <v>1200</v>
      </c>
      <c r="H990" t="s">
        <v>14</v>
      </c>
      <c r="I990" t="s">
        <v>17</v>
      </c>
      <c r="J990">
        <f t="shared" si="61"/>
        <v>1200</v>
      </c>
      <c r="K990" t="str">
        <f t="shared" si="60"/>
        <v>25-34</v>
      </c>
      <c r="L990" t="str">
        <f t="shared" ca="1" si="62"/>
        <v>High Risk</v>
      </c>
      <c r="M990" t="str">
        <f t="shared" si="63"/>
        <v>Sep-2023</v>
      </c>
    </row>
    <row r="991" spans="1:13" x14ac:dyDescent="0.35">
      <c r="A991">
        <v>10990</v>
      </c>
      <c r="B991">
        <v>22</v>
      </c>
      <c r="C991" t="s">
        <v>9</v>
      </c>
      <c r="D991" t="s">
        <v>13</v>
      </c>
      <c r="E991" s="2">
        <v>45909</v>
      </c>
      <c r="F991" s="2">
        <v>46014</v>
      </c>
      <c r="G991">
        <v>1000</v>
      </c>
      <c r="H991" t="s">
        <v>14</v>
      </c>
      <c r="I991" t="s">
        <v>16</v>
      </c>
      <c r="J991">
        <f t="shared" si="61"/>
        <v>3000</v>
      </c>
      <c r="K991" t="str">
        <f t="shared" si="60"/>
        <v>18-24</v>
      </c>
      <c r="L991" t="str">
        <f t="shared" ca="1" si="62"/>
        <v>Safe</v>
      </c>
      <c r="M991" t="str">
        <f t="shared" si="63"/>
        <v>Sep-2025</v>
      </c>
    </row>
    <row r="992" spans="1:13" x14ac:dyDescent="0.35">
      <c r="A992">
        <v>10991</v>
      </c>
      <c r="B992">
        <v>21</v>
      </c>
      <c r="C992" t="s">
        <v>10</v>
      </c>
      <c r="D992" t="s">
        <v>12</v>
      </c>
      <c r="E992" s="2">
        <v>45797</v>
      </c>
      <c r="F992" s="2">
        <v>46025</v>
      </c>
      <c r="G992">
        <v>1300</v>
      </c>
      <c r="H992" t="s">
        <v>15</v>
      </c>
      <c r="I992" t="s">
        <v>16</v>
      </c>
      <c r="J992">
        <f t="shared" si="61"/>
        <v>15600</v>
      </c>
      <c r="K992" t="str">
        <f t="shared" si="60"/>
        <v>18-24</v>
      </c>
      <c r="L992" t="str">
        <f t="shared" ca="1" si="62"/>
        <v>Safe</v>
      </c>
      <c r="M992" t="str">
        <f t="shared" si="63"/>
        <v>May-2025</v>
      </c>
    </row>
    <row r="993" spans="1:13" x14ac:dyDescent="0.35">
      <c r="A993">
        <v>10992</v>
      </c>
      <c r="B993">
        <v>27</v>
      </c>
      <c r="C993" t="s">
        <v>9</v>
      </c>
      <c r="D993" t="s">
        <v>12</v>
      </c>
      <c r="E993" s="2">
        <v>45247</v>
      </c>
      <c r="F993" s="2">
        <v>46022</v>
      </c>
      <c r="G993">
        <v>800</v>
      </c>
      <c r="H993" t="s">
        <v>14</v>
      </c>
      <c r="I993" t="s">
        <v>16</v>
      </c>
      <c r="J993">
        <f t="shared" si="61"/>
        <v>9600</v>
      </c>
      <c r="K993" t="str">
        <f t="shared" si="60"/>
        <v>25-34</v>
      </c>
      <c r="L993" t="str">
        <f t="shared" ca="1" si="62"/>
        <v>Safe</v>
      </c>
      <c r="M993" t="str">
        <f t="shared" si="63"/>
        <v>Nov-2023</v>
      </c>
    </row>
    <row r="994" spans="1:13" x14ac:dyDescent="0.35">
      <c r="A994">
        <v>10993</v>
      </c>
      <c r="B994">
        <v>41</v>
      </c>
      <c r="C994" t="s">
        <v>9</v>
      </c>
      <c r="D994" t="s">
        <v>11</v>
      </c>
      <c r="E994" s="2">
        <v>45821</v>
      </c>
      <c r="F994" s="2">
        <v>46023</v>
      </c>
      <c r="G994">
        <v>1200</v>
      </c>
      <c r="H994" t="s">
        <v>14</v>
      </c>
      <c r="I994" t="s">
        <v>16</v>
      </c>
      <c r="J994">
        <f t="shared" si="61"/>
        <v>1200</v>
      </c>
      <c r="K994" t="str">
        <f t="shared" si="60"/>
        <v>35+</v>
      </c>
      <c r="L994" t="str">
        <f t="shared" ca="1" si="62"/>
        <v>Safe</v>
      </c>
      <c r="M994" t="str">
        <f t="shared" si="63"/>
        <v>Jun-2025</v>
      </c>
    </row>
    <row r="995" spans="1:13" x14ac:dyDescent="0.35">
      <c r="A995">
        <v>10994</v>
      </c>
      <c r="B995">
        <v>34</v>
      </c>
      <c r="C995" t="s">
        <v>10</v>
      </c>
      <c r="D995" t="s">
        <v>11</v>
      </c>
      <c r="E995" s="2">
        <v>45779</v>
      </c>
      <c r="F995" s="2">
        <v>45918</v>
      </c>
      <c r="G995">
        <v>1200</v>
      </c>
      <c r="H995" t="s">
        <v>14</v>
      </c>
      <c r="I995" t="s">
        <v>17</v>
      </c>
      <c r="J995">
        <f t="shared" si="61"/>
        <v>1200</v>
      </c>
      <c r="K995" t="str">
        <f t="shared" si="60"/>
        <v>25-34</v>
      </c>
      <c r="L995" t="str">
        <f t="shared" ca="1" si="62"/>
        <v>High Risk</v>
      </c>
      <c r="M995" t="str">
        <f t="shared" si="63"/>
        <v>May-2025</v>
      </c>
    </row>
    <row r="996" spans="1:13" x14ac:dyDescent="0.35">
      <c r="A996">
        <v>10995</v>
      </c>
      <c r="B996">
        <v>27</v>
      </c>
      <c r="C996" t="s">
        <v>9</v>
      </c>
      <c r="D996" t="s">
        <v>12</v>
      </c>
      <c r="E996" s="2">
        <v>45141</v>
      </c>
      <c r="F996" s="2">
        <v>46017</v>
      </c>
      <c r="G996">
        <v>800</v>
      </c>
      <c r="H996" t="s">
        <v>14</v>
      </c>
      <c r="I996" t="s">
        <v>16</v>
      </c>
      <c r="J996">
        <f t="shared" si="61"/>
        <v>9600</v>
      </c>
      <c r="K996" t="str">
        <f t="shared" si="60"/>
        <v>25-34</v>
      </c>
      <c r="L996" t="str">
        <f t="shared" ca="1" si="62"/>
        <v>Safe</v>
      </c>
      <c r="M996" t="str">
        <f t="shared" si="63"/>
        <v>Aug-2023</v>
      </c>
    </row>
    <row r="997" spans="1:13" x14ac:dyDescent="0.35">
      <c r="A997">
        <v>10996</v>
      </c>
      <c r="B997">
        <v>34</v>
      </c>
      <c r="C997" t="s">
        <v>10</v>
      </c>
      <c r="D997" t="s">
        <v>12</v>
      </c>
      <c r="E997" s="2">
        <v>45975</v>
      </c>
      <c r="F997" s="2">
        <v>46010</v>
      </c>
      <c r="G997">
        <v>800</v>
      </c>
      <c r="H997" t="s">
        <v>14</v>
      </c>
      <c r="I997" t="s">
        <v>16</v>
      </c>
      <c r="J997">
        <f t="shared" si="61"/>
        <v>9600</v>
      </c>
      <c r="K997" t="str">
        <f t="shared" si="60"/>
        <v>25-34</v>
      </c>
      <c r="L997" t="str">
        <f t="shared" ca="1" si="62"/>
        <v>Safe</v>
      </c>
      <c r="M997" t="str">
        <f t="shared" si="63"/>
        <v>Nov-2025</v>
      </c>
    </row>
    <row r="998" spans="1:13" x14ac:dyDescent="0.35">
      <c r="A998">
        <v>10997</v>
      </c>
      <c r="B998">
        <v>45</v>
      </c>
      <c r="C998" t="s">
        <v>10</v>
      </c>
      <c r="D998" t="s">
        <v>13</v>
      </c>
      <c r="E998" s="2">
        <v>45914</v>
      </c>
      <c r="F998" s="2">
        <v>46010</v>
      </c>
      <c r="G998">
        <v>1500</v>
      </c>
      <c r="H998" t="s">
        <v>15</v>
      </c>
      <c r="I998" t="s">
        <v>16</v>
      </c>
      <c r="J998">
        <f t="shared" si="61"/>
        <v>4500</v>
      </c>
      <c r="K998" t="str">
        <f t="shared" si="60"/>
        <v>35+</v>
      </c>
      <c r="L998" t="str">
        <f t="shared" ca="1" si="62"/>
        <v>Safe</v>
      </c>
      <c r="M998" t="str">
        <f t="shared" si="63"/>
        <v>Sep-2025</v>
      </c>
    </row>
    <row r="999" spans="1:13" x14ac:dyDescent="0.35">
      <c r="A999">
        <v>10998</v>
      </c>
      <c r="B999">
        <v>37</v>
      </c>
      <c r="C999" t="s">
        <v>10</v>
      </c>
      <c r="D999" t="s">
        <v>13</v>
      </c>
      <c r="E999" s="2">
        <v>45686</v>
      </c>
      <c r="F999" s="2">
        <v>46031</v>
      </c>
      <c r="G999">
        <v>1000</v>
      </c>
      <c r="H999" t="s">
        <v>14</v>
      </c>
      <c r="I999" t="s">
        <v>16</v>
      </c>
      <c r="J999">
        <f t="shared" si="61"/>
        <v>3000</v>
      </c>
      <c r="K999" t="str">
        <f t="shared" si="60"/>
        <v>35+</v>
      </c>
      <c r="L999" t="str">
        <f t="shared" ca="1" si="62"/>
        <v>Safe</v>
      </c>
      <c r="M999" t="str">
        <f t="shared" si="63"/>
        <v>Jan-2025</v>
      </c>
    </row>
    <row r="1000" spans="1:13" x14ac:dyDescent="0.35">
      <c r="A1000">
        <v>10999</v>
      </c>
      <c r="B1000">
        <v>41</v>
      </c>
      <c r="C1000" t="s">
        <v>9</v>
      </c>
      <c r="D1000" t="s">
        <v>11</v>
      </c>
      <c r="E1000" s="2">
        <v>45795</v>
      </c>
      <c r="F1000" s="2">
        <v>46025</v>
      </c>
      <c r="G1000">
        <v>1700</v>
      </c>
      <c r="H1000" t="s">
        <v>15</v>
      </c>
      <c r="I1000" t="s">
        <v>16</v>
      </c>
      <c r="J1000">
        <f t="shared" si="61"/>
        <v>1700</v>
      </c>
      <c r="K1000" t="str">
        <f t="shared" si="60"/>
        <v>35+</v>
      </c>
      <c r="L1000" t="str">
        <f t="shared" ca="1" si="62"/>
        <v>Safe</v>
      </c>
      <c r="M1000" t="str">
        <f t="shared" si="63"/>
        <v>May-2025</v>
      </c>
    </row>
    <row r="1001" spans="1:13" x14ac:dyDescent="0.35">
      <c r="A1001">
        <v>11000</v>
      </c>
      <c r="B1001">
        <v>22</v>
      </c>
      <c r="C1001" t="s">
        <v>9</v>
      </c>
      <c r="D1001" t="s">
        <v>12</v>
      </c>
      <c r="E1001" s="2">
        <v>45376</v>
      </c>
      <c r="F1001" s="2">
        <v>46031</v>
      </c>
      <c r="G1001">
        <v>1300</v>
      </c>
      <c r="H1001" t="s">
        <v>15</v>
      </c>
      <c r="I1001" t="s">
        <v>16</v>
      </c>
      <c r="J1001">
        <f t="shared" si="61"/>
        <v>15600</v>
      </c>
      <c r="K1001" t="str">
        <f t="shared" si="60"/>
        <v>18-24</v>
      </c>
      <c r="L1001" t="str">
        <f t="shared" ca="1" si="62"/>
        <v>Safe</v>
      </c>
      <c r="M1001" t="str">
        <f t="shared" si="63"/>
        <v>Mar-2024</v>
      </c>
    </row>
    <row r="1002" spans="1:13" x14ac:dyDescent="0.35">
      <c r="A1002">
        <v>11001</v>
      </c>
      <c r="B1002">
        <v>19</v>
      </c>
      <c r="C1002" t="s">
        <v>9</v>
      </c>
      <c r="D1002" t="s">
        <v>13</v>
      </c>
      <c r="E1002" s="2">
        <v>45842</v>
      </c>
      <c r="F1002" s="2">
        <v>46025</v>
      </c>
      <c r="G1002">
        <v>1000</v>
      </c>
      <c r="H1002" t="s">
        <v>14</v>
      </c>
      <c r="I1002" t="s">
        <v>16</v>
      </c>
      <c r="J1002">
        <f t="shared" si="61"/>
        <v>3000</v>
      </c>
      <c r="K1002" t="str">
        <f t="shared" si="60"/>
        <v>18-24</v>
      </c>
      <c r="L1002" t="str">
        <f t="shared" ca="1" si="62"/>
        <v>Safe</v>
      </c>
      <c r="M1002" t="str">
        <f t="shared" si="63"/>
        <v>Jul-2025</v>
      </c>
    </row>
    <row r="1003" spans="1:13" x14ac:dyDescent="0.35">
      <c r="A1003">
        <v>11002</v>
      </c>
      <c r="B1003">
        <v>23</v>
      </c>
      <c r="C1003" t="s">
        <v>10</v>
      </c>
      <c r="D1003" t="s">
        <v>11</v>
      </c>
      <c r="E1003" s="2">
        <v>45650</v>
      </c>
      <c r="F1003" s="2">
        <v>46022</v>
      </c>
      <c r="G1003">
        <v>1200</v>
      </c>
      <c r="H1003" t="s">
        <v>14</v>
      </c>
      <c r="I1003" t="s">
        <v>16</v>
      </c>
      <c r="J1003">
        <f t="shared" si="61"/>
        <v>1200</v>
      </c>
      <c r="K1003" t="str">
        <f t="shared" si="60"/>
        <v>18-24</v>
      </c>
      <c r="L1003" t="str">
        <f t="shared" ca="1" si="62"/>
        <v>Safe</v>
      </c>
      <c r="M1003" t="str">
        <f t="shared" si="63"/>
        <v>Dec-2024</v>
      </c>
    </row>
    <row r="1004" spans="1:13" x14ac:dyDescent="0.35">
      <c r="A1004">
        <v>11003</v>
      </c>
      <c r="B1004">
        <v>38</v>
      </c>
      <c r="C1004" t="s">
        <v>10</v>
      </c>
      <c r="D1004" t="s">
        <v>11</v>
      </c>
      <c r="E1004" s="2">
        <v>45459</v>
      </c>
      <c r="F1004" s="2">
        <v>45941</v>
      </c>
      <c r="G1004">
        <v>1700</v>
      </c>
      <c r="H1004" t="s">
        <v>15</v>
      </c>
      <c r="I1004" t="s">
        <v>17</v>
      </c>
      <c r="J1004">
        <f t="shared" si="61"/>
        <v>1700</v>
      </c>
      <c r="K1004" t="str">
        <f t="shared" si="60"/>
        <v>35+</v>
      </c>
      <c r="L1004" t="str">
        <f t="shared" ca="1" si="62"/>
        <v>High Risk</v>
      </c>
      <c r="M1004" t="str">
        <f t="shared" si="63"/>
        <v>Jun-2024</v>
      </c>
    </row>
    <row r="1005" spans="1:13" x14ac:dyDescent="0.35">
      <c r="A1005">
        <v>11004</v>
      </c>
      <c r="B1005">
        <v>19</v>
      </c>
      <c r="C1005" t="s">
        <v>9</v>
      </c>
      <c r="D1005" t="s">
        <v>12</v>
      </c>
      <c r="E1005" s="2">
        <v>45537</v>
      </c>
      <c r="F1005" s="2">
        <v>45969</v>
      </c>
      <c r="G1005">
        <v>800</v>
      </c>
      <c r="H1005" t="s">
        <v>14</v>
      </c>
      <c r="I1005" t="s">
        <v>17</v>
      </c>
      <c r="J1005">
        <f t="shared" si="61"/>
        <v>9600</v>
      </c>
      <c r="K1005" t="str">
        <f t="shared" si="60"/>
        <v>18-24</v>
      </c>
      <c r="L1005" t="str">
        <f t="shared" ca="1" si="62"/>
        <v>High Risk</v>
      </c>
      <c r="M1005" t="str">
        <f t="shared" si="63"/>
        <v>Sep-2024</v>
      </c>
    </row>
    <row r="1006" spans="1:13" x14ac:dyDescent="0.35">
      <c r="A1006">
        <v>11005</v>
      </c>
      <c r="B1006">
        <v>30</v>
      </c>
      <c r="C1006" t="s">
        <v>9</v>
      </c>
      <c r="D1006" t="s">
        <v>11</v>
      </c>
      <c r="E1006" s="2">
        <v>45643</v>
      </c>
      <c r="F1006" s="2">
        <v>45949</v>
      </c>
      <c r="G1006">
        <v>1700</v>
      </c>
      <c r="H1006" t="s">
        <v>15</v>
      </c>
      <c r="I1006" t="s">
        <v>17</v>
      </c>
      <c r="J1006">
        <f t="shared" si="61"/>
        <v>1700</v>
      </c>
      <c r="K1006" t="str">
        <f t="shared" si="60"/>
        <v>25-34</v>
      </c>
      <c r="L1006" t="str">
        <f t="shared" ca="1" si="62"/>
        <v>High Risk</v>
      </c>
      <c r="M1006" t="str">
        <f t="shared" si="63"/>
        <v>Dec-2024</v>
      </c>
    </row>
    <row r="1007" spans="1:13" x14ac:dyDescent="0.35">
      <c r="A1007">
        <v>11006</v>
      </c>
      <c r="B1007">
        <v>28</v>
      </c>
      <c r="C1007" t="s">
        <v>9</v>
      </c>
      <c r="D1007" t="s">
        <v>11</v>
      </c>
      <c r="E1007" s="2">
        <v>45690</v>
      </c>
      <c r="F1007" s="2">
        <v>46014</v>
      </c>
      <c r="G1007">
        <v>1200</v>
      </c>
      <c r="H1007" t="s">
        <v>14</v>
      </c>
      <c r="I1007" t="s">
        <v>16</v>
      </c>
      <c r="J1007">
        <f t="shared" si="61"/>
        <v>1200</v>
      </c>
      <c r="K1007" t="str">
        <f t="shared" si="60"/>
        <v>25-34</v>
      </c>
      <c r="L1007" t="str">
        <f t="shared" ca="1" si="62"/>
        <v>Safe</v>
      </c>
      <c r="M1007" t="str">
        <f t="shared" si="63"/>
        <v>Feb-2025</v>
      </c>
    </row>
    <row r="1008" spans="1:13" x14ac:dyDescent="0.35">
      <c r="A1008">
        <v>11007</v>
      </c>
      <c r="B1008">
        <v>28</v>
      </c>
      <c r="C1008" t="s">
        <v>9</v>
      </c>
      <c r="D1008" t="s">
        <v>13</v>
      </c>
      <c r="E1008" s="2">
        <v>45848</v>
      </c>
      <c r="F1008" s="2">
        <v>46025</v>
      </c>
      <c r="G1008">
        <v>1000</v>
      </c>
      <c r="H1008" t="s">
        <v>14</v>
      </c>
      <c r="I1008" t="s">
        <v>16</v>
      </c>
      <c r="J1008">
        <f t="shared" si="61"/>
        <v>3000</v>
      </c>
      <c r="K1008" t="str">
        <f t="shared" si="60"/>
        <v>25-34</v>
      </c>
      <c r="L1008" t="str">
        <f t="shared" ca="1" si="62"/>
        <v>Safe</v>
      </c>
      <c r="M1008" t="str">
        <f t="shared" si="63"/>
        <v>Jul-2025</v>
      </c>
    </row>
    <row r="1009" spans="1:13" x14ac:dyDescent="0.35">
      <c r="A1009">
        <v>11008</v>
      </c>
      <c r="B1009">
        <v>33</v>
      </c>
      <c r="C1009" t="s">
        <v>10</v>
      </c>
      <c r="D1009" t="s">
        <v>11</v>
      </c>
      <c r="E1009" s="2">
        <v>45499</v>
      </c>
      <c r="F1009" s="2">
        <v>46011</v>
      </c>
      <c r="G1009">
        <v>1200</v>
      </c>
      <c r="H1009" t="s">
        <v>14</v>
      </c>
      <c r="I1009" t="s">
        <v>16</v>
      </c>
      <c r="J1009">
        <f t="shared" si="61"/>
        <v>1200</v>
      </c>
      <c r="K1009" t="str">
        <f t="shared" si="60"/>
        <v>25-34</v>
      </c>
      <c r="L1009" t="str">
        <f t="shared" ca="1" si="62"/>
        <v>Safe</v>
      </c>
      <c r="M1009" t="str">
        <f t="shared" si="63"/>
        <v>Jul-2024</v>
      </c>
    </row>
    <row r="1010" spans="1:13" x14ac:dyDescent="0.35">
      <c r="A1010">
        <v>11009</v>
      </c>
      <c r="B1010">
        <v>28</v>
      </c>
      <c r="C1010" t="s">
        <v>9</v>
      </c>
      <c r="D1010" t="s">
        <v>11</v>
      </c>
      <c r="E1010" s="2">
        <v>45965</v>
      </c>
      <c r="F1010" s="2">
        <v>45964</v>
      </c>
      <c r="G1010">
        <v>1700</v>
      </c>
      <c r="H1010" t="s">
        <v>15</v>
      </c>
      <c r="I1010" t="s">
        <v>17</v>
      </c>
      <c r="J1010">
        <f t="shared" si="61"/>
        <v>1700</v>
      </c>
      <c r="K1010" t="str">
        <f t="shared" si="60"/>
        <v>25-34</v>
      </c>
      <c r="L1010" t="str">
        <f t="shared" ca="1" si="62"/>
        <v>High Risk</v>
      </c>
      <c r="M1010" t="str">
        <f t="shared" si="63"/>
        <v>Nov-2025</v>
      </c>
    </row>
    <row r="1011" spans="1:13" x14ac:dyDescent="0.35">
      <c r="A1011">
        <v>11010</v>
      </c>
      <c r="B1011">
        <v>36</v>
      </c>
      <c r="C1011" t="s">
        <v>10</v>
      </c>
      <c r="D1011" t="s">
        <v>12</v>
      </c>
      <c r="E1011" s="2">
        <v>45849</v>
      </c>
      <c r="F1011" s="2">
        <v>45997</v>
      </c>
      <c r="G1011">
        <v>800</v>
      </c>
      <c r="H1011" t="s">
        <v>14</v>
      </c>
      <c r="I1011" t="s">
        <v>17</v>
      </c>
      <c r="J1011">
        <f t="shared" si="61"/>
        <v>9600</v>
      </c>
      <c r="K1011" t="str">
        <f t="shared" si="60"/>
        <v>35+</v>
      </c>
      <c r="L1011" t="str">
        <f t="shared" ca="1" si="62"/>
        <v>High Risk</v>
      </c>
      <c r="M1011" t="str">
        <f t="shared" si="63"/>
        <v>Jul-2025</v>
      </c>
    </row>
    <row r="1012" spans="1:13" x14ac:dyDescent="0.35">
      <c r="A1012">
        <v>11011</v>
      </c>
      <c r="B1012">
        <v>32</v>
      </c>
      <c r="C1012" t="s">
        <v>10</v>
      </c>
      <c r="D1012" t="s">
        <v>12</v>
      </c>
      <c r="E1012" s="2">
        <v>45491</v>
      </c>
      <c r="F1012" s="2">
        <v>45981</v>
      </c>
      <c r="G1012">
        <v>800</v>
      </c>
      <c r="H1012" t="s">
        <v>14</v>
      </c>
      <c r="I1012" t="s">
        <v>17</v>
      </c>
      <c r="J1012">
        <f t="shared" si="61"/>
        <v>9600</v>
      </c>
      <c r="K1012" t="str">
        <f t="shared" si="60"/>
        <v>25-34</v>
      </c>
      <c r="L1012" t="str">
        <f t="shared" ca="1" si="62"/>
        <v>High Risk</v>
      </c>
      <c r="M1012" t="str">
        <f t="shared" si="63"/>
        <v>Jul-2024</v>
      </c>
    </row>
    <row r="1013" spans="1:13" x14ac:dyDescent="0.35">
      <c r="A1013">
        <v>11012</v>
      </c>
      <c r="B1013">
        <v>42</v>
      </c>
      <c r="C1013" t="s">
        <v>9</v>
      </c>
      <c r="D1013" t="s">
        <v>12</v>
      </c>
      <c r="E1013" s="2">
        <v>45761</v>
      </c>
      <c r="F1013" s="2">
        <v>45992</v>
      </c>
      <c r="G1013">
        <v>800</v>
      </c>
      <c r="H1013" t="s">
        <v>14</v>
      </c>
      <c r="I1013" t="s">
        <v>17</v>
      </c>
      <c r="J1013">
        <f t="shared" si="61"/>
        <v>9600</v>
      </c>
      <c r="K1013" t="str">
        <f t="shared" si="60"/>
        <v>35+</v>
      </c>
      <c r="L1013" t="str">
        <f t="shared" ca="1" si="62"/>
        <v>High Risk</v>
      </c>
      <c r="M1013" t="str">
        <f t="shared" si="63"/>
        <v>Apr-2025</v>
      </c>
    </row>
    <row r="1014" spans="1:13" x14ac:dyDescent="0.35">
      <c r="A1014">
        <v>11013</v>
      </c>
      <c r="B1014">
        <v>40</v>
      </c>
      <c r="C1014" t="s">
        <v>9</v>
      </c>
      <c r="D1014" t="s">
        <v>12</v>
      </c>
      <c r="E1014" s="2">
        <v>45153</v>
      </c>
      <c r="F1014" s="2">
        <v>45957</v>
      </c>
      <c r="G1014">
        <v>800</v>
      </c>
      <c r="H1014" t="s">
        <v>14</v>
      </c>
      <c r="I1014" t="s">
        <v>17</v>
      </c>
      <c r="J1014">
        <f t="shared" si="61"/>
        <v>9600</v>
      </c>
      <c r="K1014" t="str">
        <f t="shared" si="60"/>
        <v>35+</v>
      </c>
      <c r="L1014" t="str">
        <f t="shared" ca="1" si="62"/>
        <v>High Risk</v>
      </c>
      <c r="M1014" t="str">
        <f t="shared" si="63"/>
        <v>Aug-2023</v>
      </c>
    </row>
    <row r="1015" spans="1:13" x14ac:dyDescent="0.35">
      <c r="A1015">
        <v>11014</v>
      </c>
      <c r="B1015">
        <v>40</v>
      </c>
      <c r="C1015" t="s">
        <v>9</v>
      </c>
      <c r="D1015" t="s">
        <v>13</v>
      </c>
      <c r="E1015" s="2">
        <v>45826</v>
      </c>
      <c r="F1015" s="2">
        <v>46016</v>
      </c>
      <c r="G1015">
        <v>1000</v>
      </c>
      <c r="H1015" t="s">
        <v>14</v>
      </c>
      <c r="I1015" t="s">
        <v>16</v>
      </c>
      <c r="J1015">
        <f t="shared" si="61"/>
        <v>3000</v>
      </c>
      <c r="K1015" t="str">
        <f t="shared" si="60"/>
        <v>35+</v>
      </c>
      <c r="L1015" t="str">
        <f t="shared" ca="1" si="62"/>
        <v>Safe</v>
      </c>
      <c r="M1015" t="str">
        <f t="shared" si="63"/>
        <v>Jun-2025</v>
      </c>
    </row>
    <row r="1016" spans="1:13" x14ac:dyDescent="0.35">
      <c r="A1016">
        <v>11015</v>
      </c>
      <c r="B1016">
        <v>33</v>
      </c>
      <c r="C1016" t="s">
        <v>9</v>
      </c>
      <c r="D1016" t="s">
        <v>12</v>
      </c>
      <c r="E1016" s="2">
        <v>45702</v>
      </c>
      <c r="F1016" s="2">
        <v>46018</v>
      </c>
      <c r="G1016">
        <v>1300</v>
      </c>
      <c r="H1016" t="s">
        <v>15</v>
      </c>
      <c r="I1016" t="s">
        <v>16</v>
      </c>
      <c r="J1016">
        <f t="shared" si="61"/>
        <v>15600</v>
      </c>
      <c r="K1016" t="str">
        <f t="shared" si="60"/>
        <v>25-34</v>
      </c>
      <c r="L1016" t="str">
        <f t="shared" ca="1" si="62"/>
        <v>Safe</v>
      </c>
      <c r="M1016" t="str">
        <f t="shared" si="63"/>
        <v>Feb-2025</v>
      </c>
    </row>
    <row r="1017" spans="1:13" x14ac:dyDescent="0.35">
      <c r="A1017">
        <v>11016</v>
      </c>
      <c r="B1017">
        <v>28</v>
      </c>
      <c r="C1017" t="s">
        <v>10</v>
      </c>
      <c r="D1017" t="s">
        <v>11</v>
      </c>
      <c r="E1017" s="2">
        <v>45572</v>
      </c>
      <c r="F1017" s="2">
        <v>46020</v>
      </c>
      <c r="G1017">
        <v>1200</v>
      </c>
      <c r="H1017" t="s">
        <v>14</v>
      </c>
      <c r="I1017" t="s">
        <v>16</v>
      </c>
      <c r="J1017">
        <f t="shared" si="61"/>
        <v>1200</v>
      </c>
      <c r="K1017" t="str">
        <f t="shared" si="60"/>
        <v>25-34</v>
      </c>
      <c r="L1017" t="str">
        <f t="shared" ca="1" si="62"/>
        <v>Safe</v>
      </c>
      <c r="M1017" t="str">
        <f t="shared" si="63"/>
        <v>Oct-2024</v>
      </c>
    </row>
    <row r="1018" spans="1:13" x14ac:dyDescent="0.35">
      <c r="A1018">
        <v>11017</v>
      </c>
      <c r="B1018">
        <v>39</v>
      </c>
      <c r="C1018" t="s">
        <v>10</v>
      </c>
      <c r="D1018" t="s">
        <v>13</v>
      </c>
      <c r="E1018" s="2">
        <v>45670</v>
      </c>
      <c r="F1018" s="2">
        <v>46020</v>
      </c>
      <c r="G1018">
        <v>1000</v>
      </c>
      <c r="H1018" t="s">
        <v>14</v>
      </c>
      <c r="I1018" t="s">
        <v>16</v>
      </c>
      <c r="J1018">
        <f t="shared" si="61"/>
        <v>3000</v>
      </c>
      <c r="K1018" t="str">
        <f t="shared" si="60"/>
        <v>35+</v>
      </c>
      <c r="L1018" t="str">
        <f t="shared" ca="1" si="62"/>
        <v>Safe</v>
      </c>
      <c r="M1018" t="str">
        <f t="shared" si="63"/>
        <v>Jan-2025</v>
      </c>
    </row>
    <row r="1019" spans="1:13" x14ac:dyDescent="0.35">
      <c r="A1019">
        <v>11018</v>
      </c>
      <c r="B1019">
        <v>33</v>
      </c>
      <c r="C1019" t="s">
        <v>10</v>
      </c>
      <c r="D1019" t="s">
        <v>12</v>
      </c>
      <c r="E1019" s="2">
        <v>45674</v>
      </c>
      <c r="F1019" s="2">
        <v>45963</v>
      </c>
      <c r="G1019">
        <v>1300</v>
      </c>
      <c r="H1019" t="s">
        <v>15</v>
      </c>
      <c r="I1019" t="s">
        <v>17</v>
      </c>
      <c r="J1019">
        <f t="shared" si="61"/>
        <v>15600</v>
      </c>
      <c r="K1019" t="str">
        <f t="shared" si="60"/>
        <v>25-34</v>
      </c>
      <c r="L1019" t="str">
        <f t="shared" ca="1" si="62"/>
        <v>High Risk</v>
      </c>
      <c r="M1019" t="str">
        <f t="shared" si="63"/>
        <v>Jan-2025</v>
      </c>
    </row>
    <row r="1020" spans="1:13" x14ac:dyDescent="0.35">
      <c r="A1020">
        <v>11019</v>
      </c>
      <c r="B1020">
        <v>25</v>
      </c>
      <c r="C1020" t="s">
        <v>9</v>
      </c>
      <c r="D1020" t="s">
        <v>11</v>
      </c>
      <c r="E1020" s="2">
        <v>45763</v>
      </c>
      <c r="F1020" s="2">
        <v>46009</v>
      </c>
      <c r="G1020">
        <v>1200</v>
      </c>
      <c r="H1020" t="s">
        <v>14</v>
      </c>
      <c r="I1020" t="s">
        <v>16</v>
      </c>
      <c r="J1020">
        <f t="shared" si="61"/>
        <v>1200</v>
      </c>
      <c r="K1020" t="str">
        <f t="shared" si="60"/>
        <v>25-34</v>
      </c>
      <c r="L1020" t="str">
        <f t="shared" ca="1" si="62"/>
        <v>Safe</v>
      </c>
      <c r="M1020" t="str">
        <f t="shared" si="63"/>
        <v>Apr-2025</v>
      </c>
    </row>
    <row r="1021" spans="1:13" x14ac:dyDescent="0.35">
      <c r="A1021">
        <v>11020</v>
      </c>
      <c r="B1021">
        <v>21</v>
      </c>
      <c r="C1021" t="s">
        <v>9</v>
      </c>
      <c r="D1021" t="s">
        <v>11</v>
      </c>
      <c r="E1021" s="2">
        <v>45651</v>
      </c>
      <c r="F1021" s="2">
        <v>46015</v>
      </c>
      <c r="G1021">
        <v>1700</v>
      </c>
      <c r="H1021" t="s">
        <v>15</v>
      </c>
      <c r="I1021" t="s">
        <v>16</v>
      </c>
      <c r="J1021">
        <f t="shared" si="61"/>
        <v>1700</v>
      </c>
      <c r="K1021" t="str">
        <f t="shared" si="60"/>
        <v>18-24</v>
      </c>
      <c r="L1021" t="str">
        <f t="shared" ca="1" si="62"/>
        <v>Safe</v>
      </c>
      <c r="M1021" t="str">
        <f t="shared" si="63"/>
        <v>Dec-2024</v>
      </c>
    </row>
    <row r="1022" spans="1:13" x14ac:dyDescent="0.35">
      <c r="A1022">
        <v>11021</v>
      </c>
      <c r="B1022">
        <v>25</v>
      </c>
      <c r="C1022" t="s">
        <v>10</v>
      </c>
      <c r="D1022" t="s">
        <v>13</v>
      </c>
      <c r="E1022" s="2">
        <v>45881</v>
      </c>
      <c r="F1022" s="2">
        <v>46032</v>
      </c>
      <c r="G1022">
        <v>1000</v>
      </c>
      <c r="H1022" t="s">
        <v>14</v>
      </c>
      <c r="I1022" t="s">
        <v>16</v>
      </c>
      <c r="J1022">
        <f t="shared" si="61"/>
        <v>3000</v>
      </c>
      <c r="K1022" t="str">
        <f t="shared" si="60"/>
        <v>25-34</v>
      </c>
      <c r="L1022" t="str">
        <f t="shared" ca="1" si="62"/>
        <v>Safe</v>
      </c>
      <c r="M1022" t="str">
        <f t="shared" si="63"/>
        <v>Aug-2025</v>
      </c>
    </row>
    <row r="1023" spans="1:13" x14ac:dyDescent="0.35">
      <c r="A1023">
        <v>11022</v>
      </c>
      <c r="B1023">
        <v>21</v>
      </c>
      <c r="C1023" t="s">
        <v>9</v>
      </c>
      <c r="D1023" t="s">
        <v>11</v>
      </c>
      <c r="E1023" s="2">
        <v>45201</v>
      </c>
      <c r="F1023" s="2">
        <v>45989</v>
      </c>
      <c r="G1023">
        <v>1200</v>
      </c>
      <c r="H1023" t="s">
        <v>14</v>
      </c>
      <c r="I1023" t="s">
        <v>17</v>
      </c>
      <c r="J1023">
        <f t="shared" si="61"/>
        <v>1200</v>
      </c>
      <c r="K1023" t="str">
        <f t="shared" si="60"/>
        <v>18-24</v>
      </c>
      <c r="L1023" t="str">
        <f t="shared" ca="1" si="62"/>
        <v>High Risk</v>
      </c>
      <c r="M1023" t="str">
        <f t="shared" si="63"/>
        <v>Oct-2023</v>
      </c>
    </row>
    <row r="1024" spans="1:13" x14ac:dyDescent="0.35">
      <c r="A1024">
        <v>11023</v>
      </c>
      <c r="B1024">
        <v>41</v>
      </c>
      <c r="C1024" t="s">
        <v>9</v>
      </c>
      <c r="D1024" t="s">
        <v>11</v>
      </c>
      <c r="E1024" s="2">
        <v>45773</v>
      </c>
      <c r="F1024" s="2">
        <v>46020</v>
      </c>
      <c r="G1024">
        <v>1700</v>
      </c>
      <c r="H1024" t="s">
        <v>15</v>
      </c>
      <c r="I1024" t="s">
        <v>16</v>
      </c>
      <c r="J1024">
        <f t="shared" si="61"/>
        <v>1700</v>
      </c>
      <c r="K1024" t="str">
        <f t="shared" si="60"/>
        <v>35+</v>
      </c>
      <c r="L1024" t="str">
        <f t="shared" ca="1" si="62"/>
        <v>Safe</v>
      </c>
      <c r="M1024" t="str">
        <f t="shared" si="63"/>
        <v>Apr-2025</v>
      </c>
    </row>
    <row r="1025" spans="1:13" x14ac:dyDescent="0.35">
      <c r="A1025">
        <v>11024</v>
      </c>
      <c r="B1025">
        <v>42</v>
      </c>
      <c r="C1025" t="s">
        <v>9</v>
      </c>
      <c r="D1025" t="s">
        <v>12</v>
      </c>
      <c r="E1025" s="2">
        <v>45947</v>
      </c>
      <c r="F1025" s="2">
        <v>45979</v>
      </c>
      <c r="G1025">
        <v>800</v>
      </c>
      <c r="H1025" t="s">
        <v>14</v>
      </c>
      <c r="I1025" t="s">
        <v>17</v>
      </c>
      <c r="J1025">
        <f t="shared" si="61"/>
        <v>9600</v>
      </c>
      <c r="K1025" t="str">
        <f t="shared" si="60"/>
        <v>35+</v>
      </c>
      <c r="L1025" t="str">
        <f t="shared" ca="1" si="62"/>
        <v>High Risk</v>
      </c>
      <c r="M1025" t="str">
        <f t="shared" si="63"/>
        <v>Oct-2025</v>
      </c>
    </row>
    <row r="1026" spans="1:13" x14ac:dyDescent="0.35">
      <c r="A1026">
        <v>11025</v>
      </c>
      <c r="B1026">
        <v>20</v>
      </c>
      <c r="C1026" t="s">
        <v>9</v>
      </c>
      <c r="D1026" t="s">
        <v>12</v>
      </c>
      <c r="E1026" s="2">
        <v>45688</v>
      </c>
      <c r="F1026" s="2">
        <v>46024</v>
      </c>
      <c r="G1026">
        <v>1300</v>
      </c>
      <c r="H1026" t="s">
        <v>15</v>
      </c>
      <c r="I1026" t="s">
        <v>16</v>
      </c>
      <c r="J1026">
        <f t="shared" si="61"/>
        <v>15600</v>
      </c>
      <c r="K1026" t="str">
        <f t="shared" ref="K1026:K1089" si="64">IF(B1026&lt;25,"18-24",IF(B1026&lt;35,"25-34","35+"))</f>
        <v>18-24</v>
      </c>
      <c r="L1026" t="str">
        <f t="shared" ca="1" si="62"/>
        <v>Safe</v>
      </c>
      <c r="M1026" t="str">
        <f t="shared" si="63"/>
        <v>Jan-2025</v>
      </c>
    </row>
    <row r="1027" spans="1:13" x14ac:dyDescent="0.35">
      <c r="A1027">
        <v>11026</v>
      </c>
      <c r="B1027">
        <v>20</v>
      </c>
      <c r="C1027" t="s">
        <v>9</v>
      </c>
      <c r="D1027" t="s">
        <v>11</v>
      </c>
      <c r="E1027" s="2">
        <v>45289</v>
      </c>
      <c r="F1027" s="2">
        <v>46024</v>
      </c>
      <c r="G1027">
        <v>1200</v>
      </c>
      <c r="H1027" t="s">
        <v>14</v>
      </c>
      <c r="I1027" t="s">
        <v>16</v>
      </c>
      <c r="J1027">
        <f t="shared" ref="J1027:J1090" si="65">IF(D1027="Monthly",G1027,IF(D1027="Quarterly",G1027*3,G1027*12))</f>
        <v>1200</v>
      </c>
      <c r="K1027" t="str">
        <f t="shared" si="64"/>
        <v>18-24</v>
      </c>
      <c r="L1027" t="str">
        <f t="shared" ref="L1027:L1090" ca="1" si="66">IF(F1027&lt;TODAY()-30,"High Risk","Safe")</f>
        <v>Safe</v>
      </c>
      <c r="M1027" t="str">
        <f t="shared" ref="M1027:M1090" si="67">TEXT(E1027,"mmm-yyyy")</f>
        <v>Dec-2023</v>
      </c>
    </row>
    <row r="1028" spans="1:13" x14ac:dyDescent="0.35">
      <c r="A1028">
        <v>11027</v>
      </c>
      <c r="B1028">
        <v>44</v>
      </c>
      <c r="C1028" t="s">
        <v>9</v>
      </c>
      <c r="D1028" t="s">
        <v>11</v>
      </c>
      <c r="E1028" s="2">
        <v>45266</v>
      </c>
      <c r="F1028" s="2">
        <v>46031</v>
      </c>
      <c r="G1028">
        <v>1700</v>
      </c>
      <c r="H1028" t="s">
        <v>15</v>
      </c>
      <c r="I1028" t="s">
        <v>16</v>
      </c>
      <c r="J1028">
        <f t="shared" si="65"/>
        <v>1700</v>
      </c>
      <c r="K1028" t="str">
        <f t="shared" si="64"/>
        <v>35+</v>
      </c>
      <c r="L1028" t="str">
        <f t="shared" ca="1" si="66"/>
        <v>Safe</v>
      </c>
      <c r="M1028" t="str">
        <f t="shared" si="67"/>
        <v>Dec-2023</v>
      </c>
    </row>
    <row r="1029" spans="1:13" x14ac:dyDescent="0.35">
      <c r="A1029">
        <v>11028</v>
      </c>
      <c r="B1029">
        <v>35</v>
      </c>
      <c r="C1029" t="s">
        <v>10</v>
      </c>
      <c r="D1029" t="s">
        <v>11</v>
      </c>
      <c r="E1029" s="2">
        <v>45867</v>
      </c>
      <c r="F1029" s="2">
        <v>46029</v>
      </c>
      <c r="G1029">
        <v>1200</v>
      </c>
      <c r="H1029" t="s">
        <v>14</v>
      </c>
      <c r="I1029" t="s">
        <v>16</v>
      </c>
      <c r="J1029">
        <f t="shared" si="65"/>
        <v>1200</v>
      </c>
      <c r="K1029" t="str">
        <f t="shared" si="64"/>
        <v>35+</v>
      </c>
      <c r="L1029" t="str">
        <f t="shared" ca="1" si="66"/>
        <v>Safe</v>
      </c>
      <c r="M1029" t="str">
        <f t="shared" si="67"/>
        <v>Jul-2025</v>
      </c>
    </row>
    <row r="1030" spans="1:13" x14ac:dyDescent="0.35">
      <c r="A1030">
        <v>11029</v>
      </c>
      <c r="B1030">
        <v>43</v>
      </c>
      <c r="C1030" t="s">
        <v>9</v>
      </c>
      <c r="D1030" t="s">
        <v>12</v>
      </c>
      <c r="E1030" s="2">
        <v>45599</v>
      </c>
      <c r="F1030" s="2">
        <v>46026</v>
      </c>
      <c r="G1030">
        <v>1300</v>
      </c>
      <c r="H1030" t="s">
        <v>15</v>
      </c>
      <c r="I1030" t="s">
        <v>16</v>
      </c>
      <c r="J1030">
        <f t="shared" si="65"/>
        <v>15600</v>
      </c>
      <c r="K1030" t="str">
        <f t="shared" si="64"/>
        <v>35+</v>
      </c>
      <c r="L1030" t="str">
        <f t="shared" ca="1" si="66"/>
        <v>Safe</v>
      </c>
      <c r="M1030" t="str">
        <f t="shared" si="67"/>
        <v>Nov-2024</v>
      </c>
    </row>
    <row r="1031" spans="1:13" x14ac:dyDescent="0.35">
      <c r="A1031">
        <v>11030</v>
      </c>
      <c r="B1031">
        <v>36</v>
      </c>
      <c r="C1031" t="s">
        <v>9</v>
      </c>
      <c r="D1031" t="s">
        <v>13</v>
      </c>
      <c r="E1031" s="2">
        <v>45240</v>
      </c>
      <c r="F1031" s="2">
        <v>45928</v>
      </c>
      <c r="G1031">
        <v>1000</v>
      </c>
      <c r="H1031" t="s">
        <v>14</v>
      </c>
      <c r="I1031" t="s">
        <v>17</v>
      </c>
      <c r="J1031">
        <f t="shared" si="65"/>
        <v>3000</v>
      </c>
      <c r="K1031" t="str">
        <f t="shared" si="64"/>
        <v>35+</v>
      </c>
      <c r="L1031" t="str">
        <f t="shared" ca="1" si="66"/>
        <v>High Risk</v>
      </c>
      <c r="M1031" t="str">
        <f t="shared" si="67"/>
        <v>Nov-2023</v>
      </c>
    </row>
    <row r="1032" spans="1:13" x14ac:dyDescent="0.35">
      <c r="A1032">
        <v>11031</v>
      </c>
      <c r="B1032">
        <v>36</v>
      </c>
      <c r="C1032" t="s">
        <v>9</v>
      </c>
      <c r="D1032" t="s">
        <v>11</v>
      </c>
      <c r="E1032" s="2">
        <v>45646</v>
      </c>
      <c r="F1032" s="2">
        <v>45991</v>
      </c>
      <c r="G1032">
        <v>1200</v>
      </c>
      <c r="H1032" t="s">
        <v>14</v>
      </c>
      <c r="I1032" t="s">
        <v>17</v>
      </c>
      <c r="J1032">
        <f t="shared" si="65"/>
        <v>1200</v>
      </c>
      <c r="K1032" t="str">
        <f t="shared" si="64"/>
        <v>35+</v>
      </c>
      <c r="L1032" t="str">
        <f t="shared" ca="1" si="66"/>
        <v>High Risk</v>
      </c>
      <c r="M1032" t="str">
        <f t="shared" si="67"/>
        <v>Dec-2024</v>
      </c>
    </row>
    <row r="1033" spans="1:13" x14ac:dyDescent="0.35">
      <c r="A1033">
        <v>11032</v>
      </c>
      <c r="B1033">
        <v>38</v>
      </c>
      <c r="C1033" t="s">
        <v>10</v>
      </c>
      <c r="D1033" t="s">
        <v>13</v>
      </c>
      <c r="E1033" s="2">
        <v>45218</v>
      </c>
      <c r="F1033" s="2">
        <v>46018</v>
      </c>
      <c r="G1033">
        <v>1500</v>
      </c>
      <c r="H1033" t="s">
        <v>15</v>
      </c>
      <c r="I1033" t="s">
        <v>16</v>
      </c>
      <c r="J1033">
        <f t="shared" si="65"/>
        <v>4500</v>
      </c>
      <c r="K1033" t="str">
        <f t="shared" si="64"/>
        <v>35+</v>
      </c>
      <c r="L1033" t="str">
        <f t="shared" ca="1" si="66"/>
        <v>Safe</v>
      </c>
      <c r="M1033" t="str">
        <f t="shared" si="67"/>
        <v>Oct-2023</v>
      </c>
    </row>
    <row r="1034" spans="1:13" x14ac:dyDescent="0.35">
      <c r="A1034">
        <v>11033</v>
      </c>
      <c r="B1034">
        <v>22</v>
      </c>
      <c r="C1034" t="s">
        <v>9</v>
      </c>
      <c r="D1034" t="s">
        <v>11</v>
      </c>
      <c r="E1034" s="2">
        <v>45727</v>
      </c>
      <c r="F1034" s="2">
        <v>46009</v>
      </c>
      <c r="G1034">
        <v>1200</v>
      </c>
      <c r="H1034" t="s">
        <v>14</v>
      </c>
      <c r="I1034" t="s">
        <v>16</v>
      </c>
      <c r="J1034">
        <f t="shared" si="65"/>
        <v>1200</v>
      </c>
      <c r="K1034" t="str">
        <f t="shared" si="64"/>
        <v>18-24</v>
      </c>
      <c r="L1034" t="str">
        <f t="shared" ca="1" si="66"/>
        <v>Safe</v>
      </c>
      <c r="M1034" t="str">
        <f t="shared" si="67"/>
        <v>Mar-2025</v>
      </c>
    </row>
    <row r="1035" spans="1:13" x14ac:dyDescent="0.35">
      <c r="A1035">
        <v>11034</v>
      </c>
      <c r="B1035">
        <v>35</v>
      </c>
      <c r="C1035" t="s">
        <v>9</v>
      </c>
      <c r="D1035" t="s">
        <v>13</v>
      </c>
      <c r="E1035" s="2">
        <v>45808</v>
      </c>
      <c r="F1035" s="2">
        <v>45971</v>
      </c>
      <c r="G1035">
        <v>1000</v>
      </c>
      <c r="H1035" t="s">
        <v>14</v>
      </c>
      <c r="I1035" t="s">
        <v>17</v>
      </c>
      <c r="J1035">
        <f t="shared" si="65"/>
        <v>3000</v>
      </c>
      <c r="K1035" t="str">
        <f t="shared" si="64"/>
        <v>35+</v>
      </c>
      <c r="L1035" t="str">
        <f t="shared" ca="1" si="66"/>
        <v>High Risk</v>
      </c>
      <c r="M1035" t="str">
        <f t="shared" si="67"/>
        <v>May-2025</v>
      </c>
    </row>
    <row r="1036" spans="1:13" x14ac:dyDescent="0.35">
      <c r="A1036">
        <v>11035</v>
      </c>
      <c r="B1036">
        <v>45</v>
      </c>
      <c r="C1036" t="s">
        <v>9</v>
      </c>
      <c r="D1036" t="s">
        <v>12</v>
      </c>
      <c r="E1036" s="2">
        <v>45745</v>
      </c>
      <c r="F1036" s="2">
        <v>46031</v>
      </c>
      <c r="G1036">
        <v>800</v>
      </c>
      <c r="H1036" t="s">
        <v>14</v>
      </c>
      <c r="I1036" t="s">
        <v>16</v>
      </c>
      <c r="J1036">
        <f t="shared" si="65"/>
        <v>9600</v>
      </c>
      <c r="K1036" t="str">
        <f t="shared" si="64"/>
        <v>35+</v>
      </c>
      <c r="L1036" t="str">
        <f t="shared" ca="1" si="66"/>
        <v>Safe</v>
      </c>
      <c r="M1036" t="str">
        <f t="shared" si="67"/>
        <v>Mar-2025</v>
      </c>
    </row>
    <row r="1037" spans="1:13" x14ac:dyDescent="0.35">
      <c r="A1037">
        <v>11036</v>
      </c>
      <c r="B1037">
        <v>27</v>
      </c>
      <c r="C1037" t="s">
        <v>10</v>
      </c>
      <c r="D1037" t="s">
        <v>13</v>
      </c>
      <c r="E1037" s="2">
        <v>45146</v>
      </c>
      <c r="F1037" s="2">
        <v>46031</v>
      </c>
      <c r="G1037">
        <v>1500</v>
      </c>
      <c r="H1037" t="s">
        <v>15</v>
      </c>
      <c r="I1037" t="s">
        <v>16</v>
      </c>
      <c r="J1037">
        <f t="shared" si="65"/>
        <v>4500</v>
      </c>
      <c r="K1037" t="str">
        <f t="shared" si="64"/>
        <v>25-34</v>
      </c>
      <c r="L1037" t="str">
        <f t="shared" ca="1" si="66"/>
        <v>Safe</v>
      </c>
      <c r="M1037" t="str">
        <f t="shared" si="67"/>
        <v>Aug-2023</v>
      </c>
    </row>
    <row r="1038" spans="1:13" x14ac:dyDescent="0.35">
      <c r="A1038">
        <v>11037</v>
      </c>
      <c r="B1038">
        <v>39</v>
      </c>
      <c r="C1038" t="s">
        <v>9</v>
      </c>
      <c r="D1038" t="s">
        <v>13</v>
      </c>
      <c r="E1038" s="2">
        <v>45404</v>
      </c>
      <c r="F1038" s="2">
        <v>45932</v>
      </c>
      <c r="G1038">
        <v>1000</v>
      </c>
      <c r="H1038" t="s">
        <v>14</v>
      </c>
      <c r="I1038" t="s">
        <v>17</v>
      </c>
      <c r="J1038">
        <f t="shared" si="65"/>
        <v>3000</v>
      </c>
      <c r="K1038" t="str">
        <f t="shared" si="64"/>
        <v>35+</v>
      </c>
      <c r="L1038" t="str">
        <f t="shared" ca="1" si="66"/>
        <v>High Risk</v>
      </c>
      <c r="M1038" t="str">
        <f t="shared" si="67"/>
        <v>Apr-2024</v>
      </c>
    </row>
    <row r="1039" spans="1:13" x14ac:dyDescent="0.35">
      <c r="A1039">
        <v>11038</v>
      </c>
      <c r="B1039">
        <v>38</v>
      </c>
      <c r="C1039" t="s">
        <v>10</v>
      </c>
      <c r="D1039" t="s">
        <v>11</v>
      </c>
      <c r="E1039" s="2">
        <v>45267</v>
      </c>
      <c r="F1039" s="2">
        <v>46023</v>
      </c>
      <c r="G1039">
        <v>1700</v>
      </c>
      <c r="H1039" t="s">
        <v>15</v>
      </c>
      <c r="I1039" t="s">
        <v>16</v>
      </c>
      <c r="J1039">
        <f t="shared" si="65"/>
        <v>1700</v>
      </c>
      <c r="K1039" t="str">
        <f t="shared" si="64"/>
        <v>35+</v>
      </c>
      <c r="L1039" t="str">
        <f t="shared" ca="1" si="66"/>
        <v>Safe</v>
      </c>
      <c r="M1039" t="str">
        <f t="shared" si="67"/>
        <v>Dec-2023</v>
      </c>
    </row>
    <row r="1040" spans="1:13" x14ac:dyDescent="0.35">
      <c r="A1040">
        <v>11039</v>
      </c>
      <c r="B1040">
        <v>23</v>
      </c>
      <c r="C1040" t="s">
        <v>10</v>
      </c>
      <c r="D1040" t="s">
        <v>13</v>
      </c>
      <c r="E1040" s="2">
        <v>45513</v>
      </c>
      <c r="F1040" s="2">
        <v>46031</v>
      </c>
      <c r="G1040">
        <v>1500</v>
      </c>
      <c r="H1040" t="s">
        <v>15</v>
      </c>
      <c r="I1040" t="s">
        <v>16</v>
      </c>
      <c r="J1040">
        <f t="shared" si="65"/>
        <v>4500</v>
      </c>
      <c r="K1040" t="str">
        <f t="shared" si="64"/>
        <v>18-24</v>
      </c>
      <c r="L1040" t="str">
        <f t="shared" ca="1" si="66"/>
        <v>Safe</v>
      </c>
      <c r="M1040" t="str">
        <f t="shared" si="67"/>
        <v>Aug-2024</v>
      </c>
    </row>
    <row r="1041" spans="1:13" x14ac:dyDescent="0.35">
      <c r="A1041">
        <v>11040</v>
      </c>
      <c r="B1041">
        <v>18</v>
      </c>
      <c r="C1041" t="s">
        <v>9</v>
      </c>
      <c r="D1041" t="s">
        <v>13</v>
      </c>
      <c r="E1041" s="2">
        <v>45468</v>
      </c>
      <c r="F1041" s="2">
        <v>46026</v>
      </c>
      <c r="G1041">
        <v>1000</v>
      </c>
      <c r="H1041" t="s">
        <v>14</v>
      </c>
      <c r="I1041" t="s">
        <v>16</v>
      </c>
      <c r="J1041">
        <f t="shared" si="65"/>
        <v>3000</v>
      </c>
      <c r="K1041" t="str">
        <f t="shared" si="64"/>
        <v>18-24</v>
      </c>
      <c r="L1041" t="str">
        <f t="shared" ca="1" si="66"/>
        <v>Safe</v>
      </c>
      <c r="M1041" t="str">
        <f t="shared" si="67"/>
        <v>Jun-2024</v>
      </c>
    </row>
    <row r="1042" spans="1:13" x14ac:dyDescent="0.35">
      <c r="A1042">
        <v>11041</v>
      </c>
      <c r="B1042">
        <v>22</v>
      </c>
      <c r="C1042" t="s">
        <v>10</v>
      </c>
      <c r="D1042" t="s">
        <v>11</v>
      </c>
      <c r="E1042" s="2">
        <v>45462</v>
      </c>
      <c r="F1042" s="2">
        <v>46008</v>
      </c>
      <c r="G1042">
        <v>1700</v>
      </c>
      <c r="H1042" t="s">
        <v>15</v>
      </c>
      <c r="I1042" t="s">
        <v>16</v>
      </c>
      <c r="J1042">
        <f t="shared" si="65"/>
        <v>1700</v>
      </c>
      <c r="K1042" t="str">
        <f t="shared" si="64"/>
        <v>18-24</v>
      </c>
      <c r="L1042" t="str">
        <f t="shared" ca="1" si="66"/>
        <v>Safe</v>
      </c>
      <c r="M1042" t="str">
        <f t="shared" si="67"/>
        <v>Jun-2024</v>
      </c>
    </row>
    <row r="1043" spans="1:13" x14ac:dyDescent="0.35">
      <c r="A1043">
        <v>11042</v>
      </c>
      <c r="B1043">
        <v>26</v>
      </c>
      <c r="C1043" t="s">
        <v>9</v>
      </c>
      <c r="D1043" t="s">
        <v>13</v>
      </c>
      <c r="E1043" s="2">
        <v>45243</v>
      </c>
      <c r="F1043" s="2">
        <v>45935</v>
      </c>
      <c r="G1043">
        <v>1500</v>
      </c>
      <c r="H1043" t="s">
        <v>15</v>
      </c>
      <c r="I1043" t="s">
        <v>17</v>
      </c>
      <c r="J1043">
        <f t="shared" si="65"/>
        <v>4500</v>
      </c>
      <c r="K1043" t="str">
        <f t="shared" si="64"/>
        <v>25-34</v>
      </c>
      <c r="L1043" t="str">
        <f t="shared" ca="1" si="66"/>
        <v>High Risk</v>
      </c>
      <c r="M1043" t="str">
        <f t="shared" si="67"/>
        <v>Nov-2023</v>
      </c>
    </row>
    <row r="1044" spans="1:13" x14ac:dyDescent="0.35">
      <c r="A1044">
        <v>11043</v>
      </c>
      <c r="B1044">
        <v>29</v>
      </c>
      <c r="C1044" t="s">
        <v>10</v>
      </c>
      <c r="D1044" t="s">
        <v>11</v>
      </c>
      <c r="E1044" s="2">
        <v>45477</v>
      </c>
      <c r="F1044" s="2">
        <v>45920</v>
      </c>
      <c r="G1044">
        <v>1700</v>
      </c>
      <c r="H1044" t="s">
        <v>15</v>
      </c>
      <c r="I1044" t="s">
        <v>17</v>
      </c>
      <c r="J1044">
        <f t="shared" si="65"/>
        <v>1700</v>
      </c>
      <c r="K1044" t="str">
        <f t="shared" si="64"/>
        <v>25-34</v>
      </c>
      <c r="L1044" t="str">
        <f t="shared" ca="1" si="66"/>
        <v>High Risk</v>
      </c>
      <c r="M1044" t="str">
        <f t="shared" si="67"/>
        <v>Jul-2024</v>
      </c>
    </row>
    <row r="1045" spans="1:13" x14ac:dyDescent="0.35">
      <c r="A1045">
        <v>11044</v>
      </c>
      <c r="B1045">
        <v>43</v>
      </c>
      <c r="C1045" t="s">
        <v>9</v>
      </c>
      <c r="D1045" t="s">
        <v>12</v>
      </c>
      <c r="E1045" s="2">
        <v>45353</v>
      </c>
      <c r="F1045" s="2">
        <v>46009</v>
      </c>
      <c r="G1045">
        <v>1300</v>
      </c>
      <c r="H1045" t="s">
        <v>15</v>
      </c>
      <c r="I1045" t="s">
        <v>16</v>
      </c>
      <c r="J1045">
        <f t="shared" si="65"/>
        <v>15600</v>
      </c>
      <c r="K1045" t="str">
        <f t="shared" si="64"/>
        <v>35+</v>
      </c>
      <c r="L1045" t="str">
        <f t="shared" ca="1" si="66"/>
        <v>Safe</v>
      </c>
      <c r="M1045" t="str">
        <f t="shared" si="67"/>
        <v>Mar-2024</v>
      </c>
    </row>
    <row r="1046" spans="1:13" x14ac:dyDescent="0.35">
      <c r="A1046">
        <v>11045</v>
      </c>
      <c r="B1046">
        <v>31</v>
      </c>
      <c r="C1046" t="s">
        <v>10</v>
      </c>
      <c r="D1046" t="s">
        <v>11</v>
      </c>
      <c r="E1046" s="2">
        <v>45354</v>
      </c>
      <c r="F1046" s="2">
        <v>46015</v>
      </c>
      <c r="G1046">
        <v>1700</v>
      </c>
      <c r="H1046" t="s">
        <v>15</v>
      </c>
      <c r="I1046" t="s">
        <v>16</v>
      </c>
      <c r="J1046">
        <f t="shared" si="65"/>
        <v>1700</v>
      </c>
      <c r="K1046" t="str">
        <f t="shared" si="64"/>
        <v>25-34</v>
      </c>
      <c r="L1046" t="str">
        <f t="shared" ca="1" si="66"/>
        <v>Safe</v>
      </c>
      <c r="M1046" t="str">
        <f t="shared" si="67"/>
        <v>Mar-2024</v>
      </c>
    </row>
    <row r="1047" spans="1:13" x14ac:dyDescent="0.35">
      <c r="A1047">
        <v>11046</v>
      </c>
      <c r="B1047">
        <v>19</v>
      </c>
      <c r="C1047" t="s">
        <v>9</v>
      </c>
      <c r="D1047" t="s">
        <v>12</v>
      </c>
      <c r="E1047" s="2">
        <v>45278</v>
      </c>
      <c r="F1047" s="2">
        <v>46023</v>
      </c>
      <c r="G1047">
        <v>800</v>
      </c>
      <c r="H1047" t="s">
        <v>14</v>
      </c>
      <c r="I1047" t="s">
        <v>16</v>
      </c>
      <c r="J1047">
        <f t="shared" si="65"/>
        <v>9600</v>
      </c>
      <c r="K1047" t="str">
        <f t="shared" si="64"/>
        <v>18-24</v>
      </c>
      <c r="L1047" t="str">
        <f t="shared" ca="1" si="66"/>
        <v>Safe</v>
      </c>
      <c r="M1047" t="str">
        <f t="shared" si="67"/>
        <v>Dec-2023</v>
      </c>
    </row>
    <row r="1048" spans="1:13" x14ac:dyDescent="0.35">
      <c r="A1048">
        <v>11047</v>
      </c>
      <c r="B1048">
        <v>34</v>
      </c>
      <c r="C1048" t="s">
        <v>9</v>
      </c>
      <c r="D1048" t="s">
        <v>11</v>
      </c>
      <c r="E1048" s="2">
        <v>45765</v>
      </c>
      <c r="F1048" s="2">
        <v>46020</v>
      </c>
      <c r="G1048">
        <v>1700</v>
      </c>
      <c r="H1048" t="s">
        <v>15</v>
      </c>
      <c r="I1048" t="s">
        <v>16</v>
      </c>
      <c r="J1048">
        <f t="shared" si="65"/>
        <v>1700</v>
      </c>
      <c r="K1048" t="str">
        <f t="shared" si="64"/>
        <v>25-34</v>
      </c>
      <c r="L1048" t="str">
        <f t="shared" ca="1" si="66"/>
        <v>Safe</v>
      </c>
      <c r="M1048" t="str">
        <f t="shared" si="67"/>
        <v>Apr-2025</v>
      </c>
    </row>
    <row r="1049" spans="1:13" x14ac:dyDescent="0.35">
      <c r="A1049">
        <v>11048</v>
      </c>
      <c r="B1049">
        <v>31</v>
      </c>
      <c r="C1049" t="s">
        <v>9</v>
      </c>
      <c r="D1049" t="s">
        <v>12</v>
      </c>
      <c r="E1049" s="2">
        <v>45911</v>
      </c>
      <c r="F1049" s="2">
        <v>46032</v>
      </c>
      <c r="G1049">
        <v>800</v>
      </c>
      <c r="H1049" t="s">
        <v>14</v>
      </c>
      <c r="I1049" t="s">
        <v>16</v>
      </c>
      <c r="J1049">
        <f t="shared" si="65"/>
        <v>9600</v>
      </c>
      <c r="K1049" t="str">
        <f t="shared" si="64"/>
        <v>25-34</v>
      </c>
      <c r="L1049" t="str">
        <f t="shared" ca="1" si="66"/>
        <v>Safe</v>
      </c>
      <c r="M1049" t="str">
        <f t="shared" si="67"/>
        <v>Sep-2025</v>
      </c>
    </row>
    <row r="1050" spans="1:13" x14ac:dyDescent="0.35">
      <c r="A1050">
        <v>11049</v>
      </c>
      <c r="B1050">
        <v>43</v>
      </c>
      <c r="C1050" t="s">
        <v>9</v>
      </c>
      <c r="D1050" t="s">
        <v>13</v>
      </c>
      <c r="E1050" s="2">
        <v>45435</v>
      </c>
      <c r="F1050" s="2">
        <v>46030</v>
      </c>
      <c r="G1050">
        <v>1500</v>
      </c>
      <c r="H1050" t="s">
        <v>15</v>
      </c>
      <c r="I1050" t="s">
        <v>16</v>
      </c>
      <c r="J1050">
        <f t="shared" si="65"/>
        <v>4500</v>
      </c>
      <c r="K1050" t="str">
        <f t="shared" si="64"/>
        <v>35+</v>
      </c>
      <c r="L1050" t="str">
        <f t="shared" ca="1" si="66"/>
        <v>Safe</v>
      </c>
      <c r="M1050" t="str">
        <f t="shared" si="67"/>
        <v>May-2024</v>
      </c>
    </row>
    <row r="1051" spans="1:13" x14ac:dyDescent="0.35">
      <c r="A1051">
        <v>11050</v>
      </c>
      <c r="B1051">
        <v>30</v>
      </c>
      <c r="C1051" t="s">
        <v>9</v>
      </c>
      <c r="D1051" t="s">
        <v>12</v>
      </c>
      <c r="E1051" s="2">
        <v>45551</v>
      </c>
      <c r="F1051" s="2">
        <v>46016</v>
      </c>
      <c r="G1051">
        <v>800</v>
      </c>
      <c r="H1051" t="s">
        <v>14</v>
      </c>
      <c r="I1051" t="s">
        <v>16</v>
      </c>
      <c r="J1051">
        <f t="shared" si="65"/>
        <v>9600</v>
      </c>
      <c r="K1051" t="str">
        <f t="shared" si="64"/>
        <v>25-34</v>
      </c>
      <c r="L1051" t="str">
        <f t="shared" ca="1" si="66"/>
        <v>Safe</v>
      </c>
      <c r="M1051" t="str">
        <f t="shared" si="67"/>
        <v>Sep-2024</v>
      </c>
    </row>
    <row r="1052" spans="1:13" x14ac:dyDescent="0.35">
      <c r="A1052">
        <v>11051</v>
      </c>
      <c r="B1052">
        <v>44</v>
      </c>
      <c r="C1052" t="s">
        <v>9</v>
      </c>
      <c r="D1052" t="s">
        <v>11</v>
      </c>
      <c r="E1052" s="2">
        <v>45388</v>
      </c>
      <c r="F1052" s="2">
        <v>46030</v>
      </c>
      <c r="G1052">
        <v>1700</v>
      </c>
      <c r="H1052" t="s">
        <v>15</v>
      </c>
      <c r="I1052" t="s">
        <v>16</v>
      </c>
      <c r="J1052">
        <f t="shared" si="65"/>
        <v>1700</v>
      </c>
      <c r="K1052" t="str">
        <f t="shared" si="64"/>
        <v>35+</v>
      </c>
      <c r="L1052" t="str">
        <f t="shared" ca="1" si="66"/>
        <v>Safe</v>
      </c>
      <c r="M1052" t="str">
        <f t="shared" si="67"/>
        <v>Apr-2024</v>
      </c>
    </row>
    <row r="1053" spans="1:13" x14ac:dyDescent="0.35">
      <c r="A1053">
        <v>11052</v>
      </c>
      <c r="B1053">
        <v>26</v>
      </c>
      <c r="C1053" t="s">
        <v>9</v>
      </c>
      <c r="D1053" t="s">
        <v>13</v>
      </c>
      <c r="E1053" s="2">
        <v>45282</v>
      </c>
      <c r="F1053" s="2">
        <v>46026</v>
      </c>
      <c r="G1053">
        <v>1000</v>
      </c>
      <c r="H1053" t="s">
        <v>14</v>
      </c>
      <c r="I1053" t="s">
        <v>16</v>
      </c>
      <c r="J1053">
        <f t="shared" si="65"/>
        <v>3000</v>
      </c>
      <c r="K1053" t="str">
        <f t="shared" si="64"/>
        <v>25-34</v>
      </c>
      <c r="L1053" t="str">
        <f t="shared" ca="1" si="66"/>
        <v>Safe</v>
      </c>
      <c r="M1053" t="str">
        <f t="shared" si="67"/>
        <v>Dec-2023</v>
      </c>
    </row>
    <row r="1054" spans="1:13" x14ac:dyDescent="0.35">
      <c r="A1054">
        <v>11053</v>
      </c>
      <c r="B1054">
        <v>43</v>
      </c>
      <c r="C1054" t="s">
        <v>9</v>
      </c>
      <c r="D1054" t="s">
        <v>12</v>
      </c>
      <c r="E1054" s="2">
        <v>45172</v>
      </c>
      <c r="F1054" s="2">
        <v>46014</v>
      </c>
      <c r="G1054">
        <v>800</v>
      </c>
      <c r="H1054" t="s">
        <v>14</v>
      </c>
      <c r="I1054" t="s">
        <v>16</v>
      </c>
      <c r="J1054">
        <f t="shared" si="65"/>
        <v>9600</v>
      </c>
      <c r="K1054" t="str">
        <f t="shared" si="64"/>
        <v>35+</v>
      </c>
      <c r="L1054" t="str">
        <f t="shared" ca="1" si="66"/>
        <v>Safe</v>
      </c>
      <c r="M1054" t="str">
        <f t="shared" si="67"/>
        <v>Sep-2023</v>
      </c>
    </row>
    <row r="1055" spans="1:13" x14ac:dyDescent="0.35">
      <c r="A1055">
        <v>11054</v>
      </c>
      <c r="B1055">
        <v>42</v>
      </c>
      <c r="C1055" t="s">
        <v>10</v>
      </c>
      <c r="D1055" t="s">
        <v>11</v>
      </c>
      <c r="E1055" s="2">
        <v>45305</v>
      </c>
      <c r="F1055" s="2">
        <v>46031</v>
      </c>
      <c r="G1055">
        <v>1700</v>
      </c>
      <c r="H1055" t="s">
        <v>15</v>
      </c>
      <c r="I1055" t="s">
        <v>16</v>
      </c>
      <c r="J1055">
        <f t="shared" si="65"/>
        <v>1700</v>
      </c>
      <c r="K1055" t="str">
        <f t="shared" si="64"/>
        <v>35+</v>
      </c>
      <c r="L1055" t="str">
        <f t="shared" ca="1" si="66"/>
        <v>Safe</v>
      </c>
      <c r="M1055" t="str">
        <f t="shared" si="67"/>
        <v>Jan-2024</v>
      </c>
    </row>
    <row r="1056" spans="1:13" x14ac:dyDescent="0.35">
      <c r="A1056">
        <v>11055</v>
      </c>
      <c r="B1056">
        <v>32</v>
      </c>
      <c r="C1056" t="s">
        <v>9</v>
      </c>
      <c r="D1056" t="s">
        <v>11</v>
      </c>
      <c r="E1056" s="2">
        <v>45903</v>
      </c>
      <c r="F1056" s="2">
        <v>45916</v>
      </c>
      <c r="G1056">
        <v>1200</v>
      </c>
      <c r="H1056" t="s">
        <v>14</v>
      </c>
      <c r="I1056" t="s">
        <v>17</v>
      </c>
      <c r="J1056">
        <f t="shared" si="65"/>
        <v>1200</v>
      </c>
      <c r="K1056" t="str">
        <f t="shared" si="64"/>
        <v>25-34</v>
      </c>
      <c r="L1056" t="str">
        <f t="shared" ca="1" si="66"/>
        <v>High Risk</v>
      </c>
      <c r="M1056" t="str">
        <f t="shared" si="67"/>
        <v>Sep-2025</v>
      </c>
    </row>
    <row r="1057" spans="1:13" x14ac:dyDescent="0.35">
      <c r="A1057">
        <v>11056</v>
      </c>
      <c r="B1057">
        <v>42</v>
      </c>
      <c r="C1057" t="s">
        <v>9</v>
      </c>
      <c r="D1057" t="s">
        <v>13</v>
      </c>
      <c r="E1057" s="2">
        <v>45972</v>
      </c>
      <c r="F1057" s="2">
        <v>46019</v>
      </c>
      <c r="G1057">
        <v>1000</v>
      </c>
      <c r="H1057" t="s">
        <v>14</v>
      </c>
      <c r="I1057" t="s">
        <v>16</v>
      </c>
      <c r="J1057">
        <f t="shared" si="65"/>
        <v>3000</v>
      </c>
      <c r="K1057" t="str">
        <f t="shared" si="64"/>
        <v>35+</v>
      </c>
      <c r="L1057" t="str">
        <f t="shared" ca="1" si="66"/>
        <v>Safe</v>
      </c>
      <c r="M1057" t="str">
        <f t="shared" si="67"/>
        <v>Nov-2025</v>
      </c>
    </row>
    <row r="1058" spans="1:13" x14ac:dyDescent="0.35">
      <c r="A1058">
        <v>11057</v>
      </c>
      <c r="B1058">
        <v>39</v>
      </c>
      <c r="C1058" t="s">
        <v>9</v>
      </c>
      <c r="D1058" t="s">
        <v>13</v>
      </c>
      <c r="E1058" s="2">
        <v>45558</v>
      </c>
      <c r="F1058" s="2">
        <v>46032</v>
      </c>
      <c r="G1058">
        <v>1500</v>
      </c>
      <c r="H1058" t="s">
        <v>15</v>
      </c>
      <c r="I1058" t="s">
        <v>16</v>
      </c>
      <c r="J1058">
        <f t="shared" si="65"/>
        <v>4500</v>
      </c>
      <c r="K1058" t="str">
        <f t="shared" si="64"/>
        <v>35+</v>
      </c>
      <c r="L1058" t="str">
        <f t="shared" ca="1" si="66"/>
        <v>Safe</v>
      </c>
      <c r="M1058" t="str">
        <f t="shared" si="67"/>
        <v>Sep-2024</v>
      </c>
    </row>
    <row r="1059" spans="1:13" x14ac:dyDescent="0.35">
      <c r="A1059">
        <v>11058</v>
      </c>
      <c r="B1059">
        <v>32</v>
      </c>
      <c r="C1059" t="s">
        <v>9</v>
      </c>
      <c r="D1059" t="s">
        <v>11</v>
      </c>
      <c r="E1059" s="2">
        <v>45598</v>
      </c>
      <c r="F1059" s="2">
        <v>46023</v>
      </c>
      <c r="G1059">
        <v>1200</v>
      </c>
      <c r="H1059" t="s">
        <v>14</v>
      </c>
      <c r="I1059" t="s">
        <v>16</v>
      </c>
      <c r="J1059">
        <f t="shared" si="65"/>
        <v>1200</v>
      </c>
      <c r="K1059" t="str">
        <f t="shared" si="64"/>
        <v>25-34</v>
      </c>
      <c r="L1059" t="str">
        <f t="shared" ca="1" si="66"/>
        <v>Safe</v>
      </c>
      <c r="M1059" t="str">
        <f t="shared" si="67"/>
        <v>Nov-2024</v>
      </c>
    </row>
    <row r="1060" spans="1:13" x14ac:dyDescent="0.35">
      <c r="A1060">
        <v>11059</v>
      </c>
      <c r="B1060">
        <v>41</v>
      </c>
      <c r="C1060" t="s">
        <v>10</v>
      </c>
      <c r="D1060" t="s">
        <v>11</v>
      </c>
      <c r="E1060" s="2">
        <v>45378</v>
      </c>
      <c r="F1060" s="2">
        <v>46014</v>
      </c>
      <c r="G1060">
        <v>1200</v>
      </c>
      <c r="H1060" t="s">
        <v>14</v>
      </c>
      <c r="I1060" t="s">
        <v>16</v>
      </c>
      <c r="J1060">
        <f t="shared" si="65"/>
        <v>1200</v>
      </c>
      <c r="K1060" t="str">
        <f t="shared" si="64"/>
        <v>35+</v>
      </c>
      <c r="L1060" t="str">
        <f t="shared" ca="1" si="66"/>
        <v>Safe</v>
      </c>
      <c r="M1060" t="str">
        <f t="shared" si="67"/>
        <v>Mar-2024</v>
      </c>
    </row>
    <row r="1061" spans="1:13" x14ac:dyDescent="0.35">
      <c r="A1061">
        <v>11060</v>
      </c>
      <c r="B1061">
        <v>28</v>
      </c>
      <c r="C1061" t="s">
        <v>9</v>
      </c>
      <c r="D1061" t="s">
        <v>11</v>
      </c>
      <c r="E1061" s="2">
        <v>45543</v>
      </c>
      <c r="F1061" s="2">
        <v>46019</v>
      </c>
      <c r="G1061">
        <v>1200</v>
      </c>
      <c r="H1061" t="s">
        <v>14</v>
      </c>
      <c r="I1061" t="s">
        <v>16</v>
      </c>
      <c r="J1061">
        <f t="shared" si="65"/>
        <v>1200</v>
      </c>
      <c r="K1061" t="str">
        <f t="shared" si="64"/>
        <v>25-34</v>
      </c>
      <c r="L1061" t="str">
        <f t="shared" ca="1" si="66"/>
        <v>Safe</v>
      </c>
      <c r="M1061" t="str">
        <f t="shared" si="67"/>
        <v>Sep-2024</v>
      </c>
    </row>
    <row r="1062" spans="1:13" x14ac:dyDescent="0.35">
      <c r="A1062">
        <v>11061</v>
      </c>
      <c r="B1062">
        <v>33</v>
      </c>
      <c r="C1062" t="s">
        <v>10</v>
      </c>
      <c r="D1062" t="s">
        <v>12</v>
      </c>
      <c r="E1062" s="2">
        <v>45728</v>
      </c>
      <c r="F1062" s="2">
        <v>45935</v>
      </c>
      <c r="G1062">
        <v>1300</v>
      </c>
      <c r="H1062" t="s">
        <v>15</v>
      </c>
      <c r="I1062" t="s">
        <v>17</v>
      </c>
      <c r="J1062">
        <f t="shared" si="65"/>
        <v>15600</v>
      </c>
      <c r="K1062" t="str">
        <f t="shared" si="64"/>
        <v>25-34</v>
      </c>
      <c r="L1062" t="str">
        <f t="shared" ca="1" si="66"/>
        <v>High Risk</v>
      </c>
      <c r="M1062" t="str">
        <f t="shared" si="67"/>
        <v>Mar-2025</v>
      </c>
    </row>
    <row r="1063" spans="1:13" x14ac:dyDescent="0.35">
      <c r="A1063">
        <v>11062</v>
      </c>
      <c r="B1063">
        <v>34</v>
      </c>
      <c r="C1063" t="s">
        <v>10</v>
      </c>
      <c r="D1063" t="s">
        <v>13</v>
      </c>
      <c r="E1063" s="2">
        <v>45173</v>
      </c>
      <c r="F1063" s="2">
        <v>46018</v>
      </c>
      <c r="G1063">
        <v>1000</v>
      </c>
      <c r="H1063" t="s">
        <v>14</v>
      </c>
      <c r="I1063" t="s">
        <v>16</v>
      </c>
      <c r="J1063">
        <f t="shared" si="65"/>
        <v>3000</v>
      </c>
      <c r="K1063" t="str">
        <f t="shared" si="64"/>
        <v>25-34</v>
      </c>
      <c r="L1063" t="str">
        <f t="shared" ca="1" si="66"/>
        <v>Safe</v>
      </c>
      <c r="M1063" t="str">
        <f t="shared" si="67"/>
        <v>Sep-2023</v>
      </c>
    </row>
    <row r="1064" spans="1:13" x14ac:dyDescent="0.35">
      <c r="A1064">
        <v>11063</v>
      </c>
      <c r="B1064">
        <v>43</v>
      </c>
      <c r="C1064" t="s">
        <v>10</v>
      </c>
      <c r="D1064" t="s">
        <v>12</v>
      </c>
      <c r="E1064" s="2">
        <v>45470</v>
      </c>
      <c r="F1064" s="2">
        <v>46021</v>
      </c>
      <c r="G1064">
        <v>800</v>
      </c>
      <c r="H1064" t="s">
        <v>14</v>
      </c>
      <c r="I1064" t="s">
        <v>16</v>
      </c>
      <c r="J1064">
        <f t="shared" si="65"/>
        <v>9600</v>
      </c>
      <c r="K1064" t="str">
        <f t="shared" si="64"/>
        <v>35+</v>
      </c>
      <c r="L1064" t="str">
        <f t="shared" ca="1" si="66"/>
        <v>Safe</v>
      </c>
      <c r="M1064" t="str">
        <f t="shared" si="67"/>
        <v>Jun-2024</v>
      </c>
    </row>
    <row r="1065" spans="1:13" x14ac:dyDescent="0.35">
      <c r="A1065">
        <v>11064</v>
      </c>
      <c r="B1065">
        <v>21</v>
      </c>
      <c r="C1065" t="s">
        <v>9</v>
      </c>
      <c r="D1065" t="s">
        <v>12</v>
      </c>
      <c r="E1065" s="2">
        <v>45616</v>
      </c>
      <c r="F1065" s="2">
        <v>46012</v>
      </c>
      <c r="G1065">
        <v>800</v>
      </c>
      <c r="H1065" t="s">
        <v>14</v>
      </c>
      <c r="I1065" t="s">
        <v>16</v>
      </c>
      <c r="J1065">
        <f t="shared" si="65"/>
        <v>9600</v>
      </c>
      <c r="K1065" t="str">
        <f t="shared" si="64"/>
        <v>18-24</v>
      </c>
      <c r="L1065" t="str">
        <f t="shared" ca="1" si="66"/>
        <v>Safe</v>
      </c>
      <c r="M1065" t="str">
        <f t="shared" si="67"/>
        <v>Nov-2024</v>
      </c>
    </row>
    <row r="1066" spans="1:13" x14ac:dyDescent="0.35">
      <c r="A1066">
        <v>11065</v>
      </c>
      <c r="B1066">
        <v>18</v>
      </c>
      <c r="C1066" t="s">
        <v>10</v>
      </c>
      <c r="D1066" t="s">
        <v>13</v>
      </c>
      <c r="E1066" s="2">
        <v>45526</v>
      </c>
      <c r="F1066" s="2">
        <v>45943</v>
      </c>
      <c r="G1066">
        <v>1000</v>
      </c>
      <c r="H1066" t="s">
        <v>14</v>
      </c>
      <c r="I1066" t="s">
        <v>17</v>
      </c>
      <c r="J1066">
        <f t="shared" si="65"/>
        <v>3000</v>
      </c>
      <c r="K1066" t="str">
        <f t="shared" si="64"/>
        <v>18-24</v>
      </c>
      <c r="L1066" t="str">
        <f t="shared" ca="1" si="66"/>
        <v>High Risk</v>
      </c>
      <c r="M1066" t="str">
        <f t="shared" si="67"/>
        <v>Aug-2024</v>
      </c>
    </row>
    <row r="1067" spans="1:13" x14ac:dyDescent="0.35">
      <c r="A1067">
        <v>11066</v>
      </c>
      <c r="B1067">
        <v>25</v>
      </c>
      <c r="C1067" t="s">
        <v>10</v>
      </c>
      <c r="D1067" t="s">
        <v>11</v>
      </c>
      <c r="E1067" s="2">
        <v>45586</v>
      </c>
      <c r="F1067" s="2">
        <v>45933</v>
      </c>
      <c r="G1067">
        <v>1700</v>
      </c>
      <c r="H1067" t="s">
        <v>15</v>
      </c>
      <c r="I1067" t="s">
        <v>17</v>
      </c>
      <c r="J1067">
        <f t="shared" si="65"/>
        <v>1700</v>
      </c>
      <c r="K1067" t="str">
        <f t="shared" si="64"/>
        <v>25-34</v>
      </c>
      <c r="L1067" t="str">
        <f t="shared" ca="1" si="66"/>
        <v>High Risk</v>
      </c>
      <c r="M1067" t="str">
        <f t="shared" si="67"/>
        <v>Oct-2024</v>
      </c>
    </row>
    <row r="1068" spans="1:13" x14ac:dyDescent="0.35">
      <c r="A1068">
        <v>11067</v>
      </c>
      <c r="B1068">
        <v>34</v>
      </c>
      <c r="C1068" t="s">
        <v>9</v>
      </c>
      <c r="D1068" t="s">
        <v>11</v>
      </c>
      <c r="E1068" s="2">
        <v>45986</v>
      </c>
      <c r="F1068" s="2">
        <v>46010</v>
      </c>
      <c r="G1068">
        <v>1200</v>
      </c>
      <c r="H1068" t="s">
        <v>14</v>
      </c>
      <c r="I1068" t="s">
        <v>16</v>
      </c>
      <c r="J1068">
        <f t="shared" si="65"/>
        <v>1200</v>
      </c>
      <c r="K1068" t="str">
        <f t="shared" si="64"/>
        <v>25-34</v>
      </c>
      <c r="L1068" t="str">
        <f t="shared" ca="1" si="66"/>
        <v>Safe</v>
      </c>
      <c r="M1068" t="str">
        <f t="shared" si="67"/>
        <v>Nov-2025</v>
      </c>
    </row>
    <row r="1069" spans="1:13" x14ac:dyDescent="0.35">
      <c r="A1069">
        <v>11068</v>
      </c>
      <c r="B1069">
        <v>20</v>
      </c>
      <c r="C1069" t="s">
        <v>9</v>
      </c>
      <c r="D1069" t="s">
        <v>11</v>
      </c>
      <c r="E1069" s="2">
        <v>45450</v>
      </c>
      <c r="F1069" s="2">
        <v>46032</v>
      </c>
      <c r="G1069">
        <v>1700</v>
      </c>
      <c r="H1069" t="s">
        <v>15</v>
      </c>
      <c r="I1069" t="s">
        <v>16</v>
      </c>
      <c r="J1069">
        <f t="shared" si="65"/>
        <v>1700</v>
      </c>
      <c r="K1069" t="str">
        <f t="shared" si="64"/>
        <v>18-24</v>
      </c>
      <c r="L1069" t="str">
        <f t="shared" ca="1" si="66"/>
        <v>Safe</v>
      </c>
      <c r="M1069" t="str">
        <f t="shared" si="67"/>
        <v>Jun-2024</v>
      </c>
    </row>
    <row r="1070" spans="1:13" x14ac:dyDescent="0.35">
      <c r="A1070">
        <v>11069</v>
      </c>
      <c r="B1070">
        <v>37</v>
      </c>
      <c r="C1070" t="s">
        <v>9</v>
      </c>
      <c r="D1070" t="s">
        <v>12</v>
      </c>
      <c r="E1070" s="2">
        <v>45768</v>
      </c>
      <c r="F1070" s="2">
        <v>46032</v>
      </c>
      <c r="G1070">
        <v>1300</v>
      </c>
      <c r="H1070" t="s">
        <v>15</v>
      </c>
      <c r="I1070" t="s">
        <v>16</v>
      </c>
      <c r="J1070">
        <f t="shared" si="65"/>
        <v>15600</v>
      </c>
      <c r="K1070" t="str">
        <f t="shared" si="64"/>
        <v>35+</v>
      </c>
      <c r="L1070" t="str">
        <f t="shared" ca="1" si="66"/>
        <v>Safe</v>
      </c>
      <c r="M1070" t="str">
        <f t="shared" si="67"/>
        <v>Apr-2025</v>
      </c>
    </row>
    <row r="1071" spans="1:13" x14ac:dyDescent="0.35">
      <c r="A1071">
        <v>11070</v>
      </c>
      <c r="B1071">
        <v>32</v>
      </c>
      <c r="C1071" t="s">
        <v>9</v>
      </c>
      <c r="D1071" t="s">
        <v>13</v>
      </c>
      <c r="E1071" s="2">
        <v>45410</v>
      </c>
      <c r="F1071" s="2">
        <v>46010</v>
      </c>
      <c r="G1071">
        <v>1000</v>
      </c>
      <c r="H1071" t="s">
        <v>14</v>
      </c>
      <c r="I1071" t="s">
        <v>16</v>
      </c>
      <c r="J1071">
        <f t="shared" si="65"/>
        <v>3000</v>
      </c>
      <c r="K1071" t="str">
        <f t="shared" si="64"/>
        <v>25-34</v>
      </c>
      <c r="L1071" t="str">
        <f t="shared" ca="1" si="66"/>
        <v>Safe</v>
      </c>
      <c r="M1071" t="str">
        <f t="shared" si="67"/>
        <v>Apr-2024</v>
      </c>
    </row>
    <row r="1072" spans="1:13" x14ac:dyDescent="0.35">
      <c r="A1072">
        <v>11071</v>
      </c>
      <c r="B1072">
        <v>32</v>
      </c>
      <c r="C1072" t="s">
        <v>9</v>
      </c>
      <c r="D1072" t="s">
        <v>11</v>
      </c>
      <c r="E1072" s="2">
        <v>45155</v>
      </c>
      <c r="F1072" s="2">
        <v>46011</v>
      </c>
      <c r="G1072">
        <v>1200</v>
      </c>
      <c r="H1072" t="s">
        <v>14</v>
      </c>
      <c r="I1072" t="s">
        <v>16</v>
      </c>
      <c r="J1072">
        <f t="shared" si="65"/>
        <v>1200</v>
      </c>
      <c r="K1072" t="str">
        <f t="shared" si="64"/>
        <v>25-34</v>
      </c>
      <c r="L1072" t="str">
        <f t="shared" ca="1" si="66"/>
        <v>Safe</v>
      </c>
      <c r="M1072" t="str">
        <f t="shared" si="67"/>
        <v>Aug-2023</v>
      </c>
    </row>
    <row r="1073" spans="1:13" x14ac:dyDescent="0.35">
      <c r="A1073">
        <v>11072</v>
      </c>
      <c r="B1073">
        <v>41</v>
      </c>
      <c r="C1073" t="s">
        <v>9</v>
      </c>
      <c r="D1073" t="s">
        <v>11</v>
      </c>
      <c r="E1073" s="2">
        <v>45581</v>
      </c>
      <c r="F1073" s="2">
        <v>46027</v>
      </c>
      <c r="G1073">
        <v>1700</v>
      </c>
      <c r="H1073" t="s">
        <v>15</v>
      </c>
      <c r="I1073" t="s">
        <v>16</v>
      </c>
      <c r="J1073">
        <f t="shared" si="65"/>
        <v>1700</v>
      </c>
      <c r="K1073" t="str">
        <f t="shared" si="64"/>
        <v>35+</v>
      </c>
      <c r="L1073" t="str">
        <f t="shared" ca="1" si="66"/>
        <v>Safe</v>
      </c>
      <c r="M1073" t="str">
        <f t="shared" si="67"/>
        <v>Oct-2024</v>
      </c>
    </row>
    <row r="1074" spans="1:13" x14ac:dyDescent="0.35">
      <c r="A1074">
        <v>11073</v>
      </c>
      <c r="B1074">
        <v>39</v>
      </c>
      <c r="C1074" t="s">
        <v>9</v>
      </c>
      <c r="D1074" t="s">
        <v>13</v>
      </c>
      <c r="E1074" s="2">
        <v>45450</v>
      </c>
      <c r="F1074" s="2">
        <v>45938</v>
      </c>
      <c r="G1074">
        <v>1000</v>
      </c>
      <c r="H1074" t="s">
        <v>14</v>
      </c>
      <c r="I1074" t="s">
        <v>17</v>
      </c>
      <c r="J1074">
        <f t="shared" si="65"/>
        <v>3000</v>
      </c>
      <c r="K1074" t="str">
        <f t="shared" si="64"/>
        <v>35+</v>
      </c>
      <c r="L1074" t="str">
        <f t="shared" ca="1" si="66"/>
        <v>High Risk</v>
      </c>
      <c r="M1074" t="str">
        <f t="shared" si="67"/>
        <v>Jun-2024</v>
      </c>
    </row>
    <row r="1075" spans="1:13" x14ac:dyDescent="0.35">
      <c r="A1075">
        <v>11074</v>
      </c>
      <c r="B1075">
        <v>31</v>
      </c>
      <c r="C1075" t="s">
        <v>9</v>
      </c>
      <c r="D1075" t="s">
        <v>13</v>
      </c>
      <c r="E1075" s="2">
        <v>45293</v>
      </c>
      <c r="F1075" s="2">
        <v>46013</v>
      </c>
      <c r="G1075">
        <v>1000</v>
      </c>
      <c r="H1075" t="s">
        <v>14</v>
      </c>
      <c r="I1075" t="s">
        <v>16</v>
      </c>
      <c r="J1075">
        <f t="shared" si="65"/>
        <v>3000</v>
      </c>
      <c r="K1075" t="str">
        <f t="shared" si="64"/>
        <v>25-34</v>
      </c>
      <c r="L1075" t="str">
        <f t="shared" ca="1" si="66"/>
        <v>Safe</v>
      </c>
      <c r="M1075" t="str">
        <f t="shared" si="67"/>
        <v>Jan-2024</v>
      </c>
    </row>
    <row r="1076" spans="1:13" x14ac:dyDescent="0.35">
      <c r="A1076">
        <v>11075</v>
      </c>
      <c r="B1076">
        <v>43</v>
      </c>
      <c r="C1076" t="s">
        <v>9</v>
      </c>
      <c r="D1076" t="s">
        <v>11</v>
      </c>
      <c r="E1076" s="2">
        <v>45297</v>
      </c>
      <c r="F1076" s="2">
        <v>46024</v>
      </c>
      <c r="G1076">
        <v>1200</v>
      </c>
      <c r="H1076" t="s">
        <v>14</v>
      </c>
      <c r="I1076" t="s">
        <v>16</v>
      </c>
      <c r="J1076">
        <f t="shared" si="65"/>
        <v>1200</v>
      </c>
      <c r="K1076" t="str">
        <f t="shared" si="64"/>
        <v>35+</v>
      </c>
      <c r="L1076" t="str">
        <f t="shared" ca="1" si="66"/>
        <v>Safe</v>
      </c>
      <c r="M1076" t="str">
        <f t="shared" si="67"/>
        <v>Jan-2024</v>
      </c>
    </row>
    <row r="1077" spans="1:13" x14ac:dyDescent="0.35">
      <c r="A1077">
        <v>11076</v>
      </c>
      <c r="B1077">
        <v>45</v>
      </c>
      <c r="C1077" t="s">
        <v>9</v>
      </c>
      <c r="D1077" t="s">
        <v>12</v>
      </c>
      <c r="E1077" s="2">
        <v>45478</v>
      </c>
      <c r="F1077" s="2">
        <v>45974</v>
      </c>
      <c r="G1077">
        <v>800</v>
      </c>
      <c r="H1077" t="s">
        <v>14</v>
      </c>
      <c r="I1077" t="s">
        <v>17</v>
      </c>
      <c r="J1077">
        <f t="shared" si="65"/>
        <v>9600</v>
      </c>
      <c r="K1077" t="str">
        <f t="shared" si="64"/>
        <v>35+</v>
      </c>
      <c r="L1077" t="str">
        <f t="shared" ca="1" si="66"/>
        <v>High Risk</v>
      </c>
      <c r="M1077" t="str">
        <f t="shared" si="67"/>
        <v>Jul-2024</v>
      </c>
    </row>
    <row r="1078" spans="1:13" x14ac:dyDescent="0.35">
      <c r="A1078">
        <v>11077</v>
      </c>
      <c r="B1078">
        <v>40</v>
      </c>
      <c r="C1078" t="s">
        <v>9</v>
      </c>
      <c r="D1078" t="s">
        <v>13</v>
      </c>
      <c r="E1078" s="2">
        <v>45573</v>
      </c>
      <c r="F1078" s="2">
        <v>46026</v>
      </c>
      <c r="G1078">
        <v>1000</v>
      </c>
      <c r="H1078" t="s">
        <v>14</v>
      </c>
      <c r="I1078" t="s">
        <v>16</v>
      </c>
      <c r="J1078">
        <f t="shared" si="65"/>
        <v>3000</v>
      </c>
      <c r="K1078" t="str">
        <f t="shared" si="64"/>
        <v>35+</v>
      </c>
      <c r="L1078" t="str">
        <f t="shared" ca="1" si="66"/>
        <v>Safe</v>
      </c>
      <c r="M1078" t="str">
        <f t="shared" si="67"/>
        <v>Oct-2024</v>
      </c>
    </row>
    <row r="1079" spans="1:13" x14ac:dyDescent="0.35">
      <c r="A1079">
        <v>11078</v>
      </c>
      <c r="B1079">
        <v>31</v>
      </c>
      <c r="C1079" t="s">
        <v>9</v>
      </c>
      <c r="D1079" t="s">
        <v>11</v>
      </c>
      <c r="E1079" s="2">
        <v>45750</v>
      </c>
      <c r="F1079" s="2">
        <v>45920</v>
      </c>
      <c r="G1079">
        <v>1700</v>
      </c>
      <c r="H1079" t="s">
        <v>15</v>
      </c>
      <c r="I1079" t="s">
        <v>17</v>
      </c>
      <c r="J1079">
        <f t="shared" si="65"/>
        <v>1700</v>
      </c>
      <c r="K1079" t="str">
        <f t="shared" si="64"/>
        <v>25-34</v>
      </c>
      <c r="L1079" t="str">
        <f t="shared" ca="1" si="66"/>
        <v>High Risk</v>
      </c>
      <c r="M1079" t="str">
        <f t="shared" si="67"/>
        <v>Apr-2025</v>
      </c>
    </row>
    <row r="1080" spans="1:13" x14ac:dyDescent="0.35">
      <c r="A1080">
        <v>11079</v>
      </c>
      <c r="B1080">
        <v>41</v>
      </c>
      <c r="C1080" t="s">
        <v>9</v>
      </c>
      <c r="D1080" t="s">
        <v>12</v>
      </c>
      <c r="E1080" s="2">
        <v>45432</v>
      </c>
      <c r="F1080" s="2">
        <v>46024</v>
      </c>
      <c r="G1080">
        <v>1300</v>
      </c>
      <c r="H1080" t="s">
        <v>15</v>
      </c>
      <c r="I1080" t="s">
        <v>16</v>
      </c>
      <c r="J1080">
        <f t="shared" si="65"/>
        <v>15600</v>
      </c>
      <c r="K1080" t="str">
        <f t="shared" si="64"/>
        <v>35+</v>
      </c>
      <c r="L1080" t="str">
        <f t="shared" ca="1" si="66"/>
        <v>Safe</v>
      </c>
      <c r="M1080" t="str">
        <f t="shared" si="67"/>
        <v>May-2024</v>
      </c>
    </row>
    <row r="1081" spans="1:13" x14ac:dyDescent="0.35">
      <c r="A1081">
        <v>11080</v>
      </c>
      <c r="B1081">
        <v>19</v>
      </c>
      <c r="C1081" t="s">
        <v>10</v>
      </c>
      <c r="D1081" t="s">
        <v>11</v>
      </c>
      <c r="E1081" s="2">
        <v>45199</v>
      </c>
      <c r="F1081" s="2">
        <v>46024</v>
      </c>
      <c r="G1081">
        <v>1200</v>
      </c>
      <c r="H1081" t="s">
        <v>14</v>
      </c>
      <c r="I1081" t="s">
        <v>16</v>
      </c>
      <c r="J1081">
        <f t="shared" si="65"/>
        <v>1200</v>
      </c>
      <c r="K1081" t="str">
        <f t="shared" si="64"/>
        <v>18-24</v>
      </c>
      <c r="L1081" t="str">
        <f t="shared" ca="1" si="66"/>
        <v>Safe</v>
      </c>
      <c r="M1081" t="str">
        <f t="shared" si="67"/>
        <v>Sep-2023</v>
      </c>
    </row>
    <row r="1082" spans="1:13" x14ac:dyDescent="0.35">
      <c r="A1082">
        <v>11081</v>
      </c>
      <c r="B1082">
        <v>30</v>
      </c>
      <c r="C1082" t="s">
        <v>9</v>
      </c>
      <c r="D1082" t="s">
        <v>12</v>
      </c>
      <c r="E1082" s="2">
        <v>45780</v>
      </c>
      <c r="F1082" s="2">
        <v>46027</v>
      </c>
      <c r="G1082">
        <v>1300</v>
      </c>
      <c r="H1082" t="s">
        <v>15</v>
      </c>
      <c r="I1082" t="s">
        <v>16</v>
      </c>
      <c r="J1082">
        <f t="shared" si="65"/>
        <v>15600</v>
      </c>
      <c r="K1082" t="str">
        <f t="shared" si="64"/>
        <v>25-34</v>
      </c>
      <c r="L1082" t="str">
        <f t="shared" ca="1" si="66"/>
        <v>Safe</v>
      </c>
      <c r="M1082" t="str">
        <f t="shared" si="67"/>
        <v>May-2025</v>
      </c>
    </row>
    <row r="1083" spans="1:13" x14ac:dyDescent="0.35">
      <c r="A1083">
        <v>11082</v>
      </c>
      <c r="B1083">
        <v>43</v>
      </c>
      <c r="C1083" t="s">
        <v>9</v>
      </c>
      <c r="D1083" t="s">
        <v>12</v>
      </c>
      <c r="E1083" s="2">
        <v>45284</v>
      </c>
      <c r="F1083" s="2">
        <v>46021</v>
      </c>
      <c r="G1083">
        <v>800</v>
      </c>
      <c r="H1083" t="s">
        <v>14</v>
      </c>
      <c r="I1083" t="s">
        <v>16</v>
      </c>
      <c r="J1083">
        <f t="shared" si="65"/>
        <v>9600</v>
      </c>
      <c r="K1083" t="str">
        <f t="shared" si="64"/>
        <v>35+</v>
      </c>
      <c r="L1083" t="str">
        <f t="shared" ca="1" si="66"/>
        <v>Safe</v>
      </c>
      <c r="M1083" t="str">
        <f t="shared" si="67"/>
        <v>Dec-2023</v>
      </c>
    </row>
    <row r="1084" spans="1:13" x14ac:dyDescent="0.35">
      <c r="A1084">
        <v>11083</v>
      </c>
      <c r="B1084">
        <v>31</v>
      </c>
      <c r="C1084" t="s">
        <v>10</v>
      </c>
      <c r="D1084" t="s">
        <v>13</v>
      </c>
      <c r="E1084" s="2">
        <v>45760</v>
      </c>
      <c r="F1084" s="2">
        <v>46018</v>
      </c>
      <c r="G1084">
        <v>1000</v>
      </c>
      <c r="H1084" t="s">
        <v>14</v>
      </c>
      <c r="I1084" t="s">
        <v>16</v>
      </c>
      <c r="J1084">
        <f t="shared" si="65"/>
        <v>3000</v>
      </c>
      <c r="K1084" t="str">
        <f t="shared" si="64"/>
        <v>25-34</v>
      </c>
      <c r="L1084" t="str">
        <f t="shared" ca="1" si="66"/>
        <v>Safe</v>
      </c>
      <c r="M1084" t="str">
        <f t="shared" si="67"/>
        <v>Apr-2025</v>
      </c>
    </row>
    <row r="1085" spans="1:13" x14ac:dyDescent="0.35">
      <c r="A1085">
        <v>11084</v>
      </c>
      <c r="B1085">
        <v>44</v>
      </c>
      <c r="C1085" t="s">
        <v>9</v>
      </c>
      <c r="D1085" t="s">
        <v>12</v>
      </c>
      <c r="E1085" s="2">
        <v>45794</v>
      </c>
      <c r="F1085" s="2">
        <v>46031</v>
      </c>
      <c r="G1085">
        <v>800</v>
      </c>
      <c r="H1085" t="s">
        <v>14</v>
      </c>
      <c r="I1085" t="s">
        <v>16</v>
      </c>
      <c r="J1085">
        <f t="shared" si="65"/>
        <v>9600</v>
      </c>
      <c r="K1085" t="str">
        <f t="shared" si="64"/>
        <v>35+</v>
      </c>
      <c r="L1085" t="str">
        <f t="shared" ca="1" si="66"/>
        <v>Safe</v>
      </c>
      <c r="M1085" t="str">
        <f t="shared" si="67"/>
        <v>May-2025</v>
      </c>
    </row>
    <row r="1086" spans="1:13" x14ac:dyDescent="0.35">
      <c r="A1086">
        <v>11085</v>
      </c>
      <c r="B1086">
        <v>41</v>
      </c>
      <c r="C1086" t="s">
        <v>9</v>
      </c>
      <c r="D1086" t="s">
        <v>11</v>
      </c>
      <c r="E1086" s="2">
        <v>45449</v>
      </c>
      <c r="F1086" s="2">
        <v>45944</v>
      </c>
      <c r="G1086">
        <v>1700</v>
      </c>
      <c r="H1086" t="s">
        <v>15</v>
      </c>
      <c r="I1086" t="s">
        <v>17</v>
      </c>
      <c r="J1086">
        <f t="shared" si="65"/>
        <v>1700</v>
      </c>
      <c r="K1086" t="str">
        <f t="shared" si="64"/>
        <v>35+</v>
      </c>
      <c r="L1086" t="str">
        <f t="shared" ca="1" si="66"/>
        <v>High Risk</v>
      </c>
      <c r="M1086" t="str">
        <f t="shared" si="67"/>
        <v>Jun-2024</v>
      </c>
    </row>
    <row r="1087" spans="1:13" x14ac:dyDescent="0.35">
      <c r="A1087">
        <v>11086</v>
      </c>
      <c r="B1087">
        <v>36</v>
      </c>
      <c r="C1087" t="s">
        <v>10</v>
      </c>
      <c r="D1087" t="s">
        <v>12</v>
      </c>
      <c r="E1087" s="2">
        <v>45617</v>
      </c>
      <c r="F1087" s="2">
        <v>46023</v>
      </c>
      <c r="G1087">
        <v>800</v>
      </c>
      <c r="H1087" t="s">
        <v>14</v>
      </c>
      <c r="I1087" t="s">
        <v>16</v>
      </c>
      <c r="J1087">
        <f t="shared" si="65"/>
        <v>9600</v>
      </c>
      <c r="K1087" t="str">
        <f t="shared" si="64"/>
        <v>35+</v>
      </c>
      <c r="L1087" t="str">
        <f t="shared" ca="1" si="66"/>
        <v>Safe</v>
      </c>
      <c r="M1087" t="str">
        <f t="shared" si="67"/>
        <v>Nov-2024</v>
      </c>
    </row>
    <row r="1088" spans="1:13" x14ac:dyDescent="0.35">
      <c r="A1088">
        <v>11087</v>
      </c>
      <c r="B1088">
        <v>24</v>
      </c>
      <c r="C1088" t="s">
        <v>10</v>
      </c>
      <c r="D1088" t="s">
        <v>13</v>
      </c>
      <c r="E1088" s="2">
        <v>45296</v>
      </c>
      <c r="F1088" s="2">
        <v>45982</v>
      </c>
      <c r="G1088">
        <v>1000</v>
      </c>
      <c r="H1088" t="s">
        <v>14</v>
      </c>
      <c r="I1088" t="s">
        <v>17</v>
      </c>
      <c r="J1088">
        <f t="shared" si="65"/>
        <v>3000</v>
      </c>
      <c r="K1088" t="str">
        <f t="shared" si="64"/>
        <v>18-24</v>
      </c>
      <c r="L1088" t="str">
        <f t="shared" ca="1" si="66"/>
        <v>High Risk</v>
      </c>
      <c r="M1088" t="str">
        <f t="shared" si="67"/>
        <v>Jan-2024</v>
      </c>
    </row>
    <row r="1089" spans="1:13" x14ac:dyDescent="0.35">
      <c r="A1089">
        <v>11088</v>
      </c>
      <c r="B1089">
        <v>20</v>
      </c>
      <c r="C1089" t="s">
        <v>9</v>
      </c>
      <c r="D1089" t="s">
        <v>13</v>
      </c>
      <c r="E1089" s="2">
        <v>45137</v>
      </c>
      <c r="F1089" s="2">
        <v>45967</v>
      </c>
      <c r="G1089">
        <v>1000</v>
      </c>
      <c r="H1089" t="s">
        <v>14</v>
      </c>
      <c r="I1089" t="s">
        <v>17</v>
      </c>
      <c r="J1089">
        <f t="shared" si="65"/>
        <v>3000</v>
      </c>
      <c r="K1089" t="str">
        <f t="shared" si="64"/>
        <v>18-24</v>
      </c>
      <c r="L1089" t="str">
        <f t="shared" ca="1" si="66"/>
        <v>High Risk</v>
      </c>
      <c r="M1089" t="str">
        <f t="shared" si="67"/>
        <v>Jul-2023</v>
      </c>
    </row>
    <row r="1090" spans="1:13" x14ac:dyDescent="0.35">
      <c r="A1090">
        <v>11089</v>
      </c>
      <c r="B1090">
        <v>32</v>
      </c>
      <c r="C1090" t="s">
        <v>9</v>
      </c>
      <c r="D1090" t="s">
        <v>12</v>
      </c>
      <c r="E1090" s="2">
        <v>45340</v>
      </c>
      <c r="F1090" s="2">
        <v>46025</v>
      </c>
      <c r="G1090">
        <v>1300</v>
      </c>
      <c r="H1090" t="s">
        <v>15</v>
      </c>
      <c r="I1090" t="s">
        <v>16</v>
      </c>
      <c r="J1090">
        <f t="shared" si="65"/>
        <v>15600</v>
      </c>
      <c r="K1090" t="str">
        <f t="shared" ref="K1090:K1153" si="68">IF(B1090&lt;25,"18-24",IF(B1090&lt;35,"25-34","35+"))</f>
        <v>25-34</v>
      </c>
      <c r="L1090" t="str">
        <f t="shared" ca="1" si="66"/>
        <v>Safe</v>
      </c>
      <c r="M1090" t="str">
        <f t="shared" si="67"/>
        <v>Feb-2024</v>
      </c>
    </row>
    <row r="1091" spans="1:13" x14ac:dyDescent="0.35">
      <c r="A1091">
        <v>11090</v>
      </c>
      <c r="B1091">
        <v>40</v>
      </c>
      <c r="C1091" t="s">
        <v>10</v>
      </c>
      <c r="D1091" t="s">
        <v>12</v>
      </c>
      <c r="E1091" s="2">
        <v>45334</v>
      </c>
      <c r="F1091" s="2">
        <v>46026</v>
      </c>
      <c r="G1091">
        <v>800</v>
      </c>
      <c r="H1091" t="s">
        <v>14</v>
      </c>
      <c r="I1091" t="s">
        <v>16</v>
      </c>
      <c r="J1091">
        <f t="shared" ref="J1091:J1154" si="69">IF(D1091="Monthly",G1091,IF(D1091="Quarterly",G1091*3,G1091*12))</f>
        <v>9600</v>
      </c>
      <c r="K1091" t="str">
        <f t="shared" si="68"/>
        <v>35+</v>
      </c>
      <c r="L1091" t="str">
        <f t="shared" ref="L1091:L1154" ca="1" si="70">IF(F1091&lt;TODAY()-30,"High Risk","Safe")</f>
        <v>Safe</v>
      </c>
      <c r="M1091" t="str">
        <f t="shared" ref="M1091:M1154" si="71">TEXT(E1091,"mmm-yyyy")</f>
        <v>Feb-2024</v>
      </c>
    </row>
    <row r="1092" spans="1:13" x14ac:dyDescent="0.35">
      <c r="A1092">
        <v>11091</v>
      </c>
      <c r="B1092">
        <v>31</v>
      </c>
      <c r="C1092" t="s">
        <v>9</v>
      </c>
      <c r="D1092" t="s">
        <v>12</v>
      </c>
      <c r="E1092" s="2">
        <v>45800</v>
      </c>
      <c r="F1092" s="2">
        <v>46030</v>
      </c>
      <c r="G1092">
        <v>800</v>
      </c>
      <c r="H1092" t="s">
        <v>14</v>
      </c>
      <c r="I1092" t="s">
        <v>16</v>
      </c>
      <c r="J1092">
        <f t="shared" si="69"/>
        <v>9600</v>
      </c>
      <c r="K1092" t="str">
        <f t="shared" si="68"/>
        <v>25-34</v>
      </c>
      <c r="L1092" t="str">
        <f t="shared" ca="1" si="70"/>
        <v>Safe</v>
      </c>
      <c r="M1092" t="str">
        <f t="shared" si="71"/>
        <v>May-2025</v>
      </c>
    </row>
    <row r="1093" spans="1:13" x14ac:dyDescent="0.35">
      <c r="A1093">
        <v>11092</v>
      </c>
      <c r="B1093">
        <v>28</v>
      </c>
      <c r="C1093" t="s">
        <v>9</v>
      </c>
      <c r="D1093" t="s">
        <v>11</v>
      </c>
      <c r="E1093" s="2">
        <v>45394</v>
      </c>
      <c r="F1093" s="2">
        <v>46013</v>
      </c>
      <c r="G1093">
        <v>1200</v>
      </c>
      <c r="H1093" t="s">
        <v>14</v>
      </c>
      <c r="I1093" t="s">
        <v>16</v>
      </c>
      <c r="J1093">
        <f t="shared" si="69"/>
        <v>1200</v>
      </c>
      <c r="K1093" t="str">
        <f t="shared" si="68"/>
        <v>25-34</v>
      </c>
      <c r="L1093" t="str">
        <f t="shared" ca="1" si="70"/>
        <v>Safe</v>
      </c>
      <c r="M1093" t="str">
        <f t="shared" si="71"/>
        <v>Apr-2024</v>
      </c>
    </row>
    <row r="1094" spans="1:13" x14ac:dyDescent="0.35">
      <c r="A1094">
        <v>11093</v>
      </c>
      <c r="B1094">
        <v>32</v>
      </c>
      <c r="C1094" t="s">
        <v>10</v>
      </c>
      <c r="D1094" t="s">
        <v>12</v>
      </c>
      <c r="E1094" s="2">
        <v>45813</v>
      </c>
      <c r="F1094" s="2">
        <v>46027</v>
      </c>
      <c r="G1094">
        <v>800</v>
      </c>
      <c r="H1094" t="s">
        <v>14</v>
      </c>
      <c r="I1094" t="s">
        <v>16</v>
      </c>
      <c r="J1094">
        <f t="shared" si="69"/>
        <v>9600</v>
      </c>
      <c r="K1094" t="str">
        <f t="shared" si="68"/>
        <v>25-34</v>
      </c>
      <c r="L1094" t="str">
        <f t="shared" ca="1" si="70"/>
        <v>Safe</v>
      </c>
      <c r="M1094" t="str">
        <f t="shared" si="71"/>
        <v>Jun-2025</v>
      </c>
    </row>
    <row r="1095" spans="1:13" x14ac:dyDescent="0.35">
      <c r="A1095">
        <v>11094</v>
      </c>
      <c r="B1095">
        <v>45</v>
      </c>
      <c r="C1095" t="s">
        <v>9</v>
      </c>
      <c r="D1095" t="s">
        <v>13</v>
      </c>
      <c r="E1095" s="2">
        <v>45168</v>
      </c>
      <c r="F1095" s="2">
        <v>46024</v>
      </c>
      <c r="G1095">
        <v>1500</v>
      </c>
      <c r="H1095" t="s">
        <v>15</v>
      </c>
      <c r="I1095" t="s">
        <v>16</v>
      </c>
      <c r="J1095">
        <f t="shared" si="69"/>
        <v>4500</v>
      </c>
      <c r="K1095" t="str">
        <f t="shared" si="68"/>
        <v>35+</v>
      </c>
      <c r="L1095" t="str">
        <f t="shared" ca="1" si="70"/>
        <v>Safe</v>
      </c>
      <c r="M1095" t="str">
        <f t="shared" si="71"/>
        <v>Aug-2023</v>
      </c>
    </row>
    <row r="1096" spans="1:13" x14ac:dyDescent="0.35">
      <c r="A1096">
        <v>11095</v>
      </c>
      <c r="B1096">
        <v>30</v>
      </c>
      <c r="C1096" t="s">
        <v>9</v>
      </c>
      <c r="D1096" t="s">
        <v>12</v>
      </c>
      <c r="E1096" s="2">
        <v>45505</v>
      </c>
      <c r="F1096" s="2">
        <v>46012</v>
      </c>
      <c r="G1096">
        <v>1300</v>
      </c>
      <c r="H1096" t="s">
        <v>15</v>
      </c>
      <c r="I1096" t="s">
        <v>16</v>
      </c>
      <c r="J1096">
        <f t="shared" si="69"/>
        <v>15600</v>
      </c>
      <c r="K1096" t="str">
        <f t="shared" si="68"/>
        <v>25-34</v>
      </c>
      <c r="L1096" t="str">
        <f t="shared" ca="1" si="70"/>
        <v>Safe</v>
      </c>
      <c r="M1096" t="str">
        <f t="shared" si="71"/>
        <v>Aug-2024</v>
      </c>
    </row>
    <row r="1097" spans="1:13" x14ac:dyDescent="0.35">
      <c r="A1097">
        <v>11096</v>
      </c>
      <c r="B1097">
        <v>35</v>
      </c>
      <c r="C1097" t="s">
        <v>9</v>
      </c>
      <c r="D1097" t="s">
        <v>13</v>
      </c>
      <c r="E1097" s="2">
        <v>45368</v>
      </c>
      <c r="F1097" s="2">
        <v>46023</v>
      </c>
      <c r="G1097">
        <v>1000</v>
      </c>
      <c r="H1097" t="s">
        <v>14</v>
      </c>
      <c r="I1097" t="s">
        <v>16</v>
      </c>
      <c r="J1097">
        <f t="shared" si="69"/>
        <v>3000</v>
      </c>
      <c r="K1097" t="str">
        <f t="shared" si="68"/>
        <v>35+</v>
      </c>
      <c r="L1097" t="str">
        <f t="shared" ca="1" si="70"/>
        <v>Safe</v>
      </c>
      <c r="M1097" t="str">
        <f t="shared" si="71"/>
        <v>Mar-2024</v>
      </c>
    </row>
    <row r="1098" spans="1:13" x14ac:dyDescent="0.35">
      <c r="A1098">
        <v>11097</v>
      </c>
      <c r="B1098">
        <v>43</v>
      </c>
      <c r="C1098" t="s">
        <v>10</v>
      </c>
      <c r="D1098" t="s">
        <v>11</v>
      </c>
      <c r="E1098" s="2">
        <v>45731</v>
      </c>
      <c r="F1098" s="2">
        <v>46024</v>
      </c>
      <c r="G1098">
        <v>1200</v>
      </c>
      <c r="H1098" t="s">
        <v>14</v>
      </c>
      <c r="I1098" t="s">
        <v>16</v>
      </c>
      <c r="J1098">
        <f t="shared" si="69"/>
        <v>1200</v>
      </c>
      <c r="K1098" t="str">
        <f t="shared" si="68"/>
        <v>35+</v>
      </c>
      <c r="L1098" t="str">
        <f t="shared" ca="1" si="70"/>
        <v>Safe</v>
      </c>
      <c r="M1098" t="str">
        <f t="shared" si="71"/>
        <v>Mar-2025</v>
      </c>
    </row>
    <row r="1099" spans="1:13" x14ac:dyDescent="0.35">
      <c r="A1099">
        <v>11098</v>
      </c>
      <c r="B1099">
        <v>23</v>
      </c>
      <c r="C1099" t="s">
        <v>9</v>
      </c>
      <c r="D1099" t="s">
        <v>11</v>
      </c>
      <c r="E1099" s="2">
        <v>45181</v>
      </c>
      <c r="F1099" s="2">
        <v>46016</v>
      </c>
      <c r="G1099">
        <v>1200</v>
      </c>
      <c r="H1099" t="s">
        <v>14</v>
      </c>
      <c r="I1099" t="s">
        <v>16</v>
      </c>
      <c r="J1099">
        <f t="shared" si="69"/>
        <v>1200</v>
      </c>
      <c r="K1099" t="str">
        <f t="shared" si="68"/>
        <v>18-24</v>
      </c>
      <c r="L1099" t="str">
        <f t="shared" ca="1" si="70"/>
        <v>Safe</v>
      </c>
      <c r="M1099" t="str">
        <f t="shared" si="71"/>
        <v>Sep-2023</v>
      </c>
    </row>
    <row r="1100" spans="1:13" x14ac:dyDescent="0.35">
      <c r="A1100">
        <v>11099</v>
      </c>
      <c r="B1100">
        <v>20</v>
      </c>
      <c r="C1100" t="s">
        <v>9</v>
      </c>
      <c r="D1100" t="s">
        <v>13</v>
      </c>
      <c r="E1100" s="2">
        <v>45758</v>
      </c>
      <c r="F1100" s="2">
        <v>46024</v>
      </c>
      <c r="G1100">
        <v>1500</v>
      </c>
      <c r="H1100" t="s">
        <v>15</v>
      </c>
      <c r="I1100" t="s">
        <v>16</v>
      </c>
      <c r="J1100">
        <f t="shared" si="69"/>
        <v>4500</v>
      </c>
      <c r="K1100" t="str">
        <f t="shared" si="68"/>
        <v>18-24</v>
      </c>
      <c r="L1100" t="str">
        <f t="shared" ca="1" si="70"/>
        <v>Safe</v>
      </c>
      <c r="M1100" t="str">
        <f t="shared" si="71"/>
        <v>Apr-2025</v>
      </c>
    </row>
    <row r="1101" spans="1:13" x14ac:dyDescent="0.35">
      <c r="A1101">
        <v>11100</v>
      </c>
      <c r="B1101">
        <v>36</v>
      </c>
      <c r="C1101" t="s">
        <v>9</v>
      </c>
      <c r="D1101" t="s">
        <v>12</v>
      </c>
      <c r="E1101" s="2">
        <v>45176</v>
      </c>
      <c r="F1101" s="2">
        <v>46012</v>
      </c>
      <c r="G1101">
        <v>1300</v>
      </c>
      <c r="H1101" t="s">
        <v>15</v>
      </c>
      <c r="I1101" t="s">
        <v>16</v>
      </c>
      <c r="J1101">
        <f t="shared" si="69"/>
        <v>15600</v>
      </c>
      <c r="K1101" t="str">
        <f t="shared" si="68"/>
        <v>35+</v>
      </c>
      <c r="L1101" t="str">
        <f t="shared" ca="1" si="70"/>
        <v>Safe</v>
      </c>
      <c r="M1101" t="str">
        <f t="shared" si="71"/>
        <v>Sep-2023</v>
      </c>
    </row>
    <row r="1102" spans="1:13" x14ac:dyDescent="0.35">
      <c r="A1102">
        <v>11101</v>
      </c>
      <c r="B1102">
        <v>32</v>
      </c>
      <c r="C1102" t="s">
        <v>9</v>
      </c>
      <c r="D1102" t="s">
        <v>11</v>
      </c>
      <c r="E1102" s="2">
        <v>45448</v>
      </c>
      <c r="F1102" s="2">
        <v>46012</v>
      </c>
      <c r="G1102">
        <v>1700</v>
      </c>
      <c r="H1102" t="s">
        <v>15</v>
      </c>
      <c r="I1102" t="s">
        <v>16</v>
      </c>
      <c r="J1102">
        <f t="shared" si="69"/>
        <v>1700</v>
      </c>
      <c r="K1102" t="str">
        <f t="shared" si="68"/>
        <v>25-34</v>
      </c>
      <c r="L1102" t="str">
        <f t="shared" ca="1" si="70"/>
        <v>Safe</v>
      </c>
      <c r="M1102" t="str">
        <f t="shared" si="71"/>
        <v>Jun-2024</v>
      </c>
    </row>
    <row r="1103" spans="1:13" x14ac:dyDescent="0.35">
      <c r="A1103">
        <v>11102</v>
      </c>
      <c r="B1103">
        <v>42</v>
      </c>
      <c r="C1103" t="s">
        <v>9</v>
      </c>
      <c r="D1103" t="s">
        <v>13</v>
      </c>
      <c r="E1103" s="2">
        <v>45976</v>
      </c>
      <c r="F1103" s="2">
        <v>46026</v>
      </c>
      <c r="G1103">
        <v>1500</v>
      </c>
      <c r="H1103" t="s">
        <v>15</v>
      </c>
      <c r="I1103" t="s">
        <v>16</v>
      </c>
      <c r="J1103">
        <f t="shared" si="69"/>
        <v>4500</v>
      </c>
      <c r="K1103" t="str">
        <f t="shared" si="68"/>
        <v>35+</v>
      </c>
      <c r="L1103" t="str">
        <f t="shared" ca="1" si="70"/>
        <v>Safe</v>
      </c>
      <c r="M1103" t="str">
        <f t="shared" si="71"/>
        <v>Nov-2025</v>
      </c>
    </row>
    <row r="1104" spans="1:13" x14ac:dyDescent="0.35">
      <c r="A1104">
        <v>11103</v>
      </c>
      <c r="B1104">
        <v>40</v>
      </c>
      <c r="C1104" t="s">
        <v>10</v>
      </c>
      <c r="D1104" t="s">
        <v>11</v>
      </c>
      <c r="E1104" s="2">
        <v>45480</v>
      </c>
      <c r="F1104" s="2">
        <v>46025</v>
      </c>
      <c r="G1104">
        <v>1200</v>
      </c>
      <c r="H1104" t="s">
        <v>14</v>
      </c>
      <c r="I1104" t="s">
        <v>16</v>
      </c>
      <c r="J1104">
        <f t="shared" si="69"/>
        <v>1200</v>
      </c>
      <c r="K1104" t="str">
        <f t="shared" si="68"/>
        <v>35+</v>
      </c>
      <c r="L1104" t="str">
        <f t="shared" ca="1" si="70"/>
        <v>Safe</v>
      </c>
      <c r="M1104" t="str">
        <f t="shared" si="71"/>
        <v>Jul-2024</v>
      </c>
    </row>
    <row r="1105" spans="1:13" x14ac:dyDescent="0.35">
      <c r="A1105">
        <v>11104</v>
      </c>
      <c r="B1105">
        <v>22</v>
      </c>
      <c r="C1105" t="s">
        <v>9</v>
      </c>
      <c r="D1105" t="s">
        <v>12</v>
      </c>
      <c r="E1105" s="2">
        <v>45590</v>
      </c>
      <c r="F1105" s="2">
        <v>46010</v>
      </c>
      <c r="G1105">
        <v>800</v>
      </c>
      <c r="H1105" t="s">
        <v>14</v>
      </c>
      <c r="I1105" t="s">
        <v>16</v>
      </c>
      <c r="J1105">
        <f t="shared" si="69"/>
        <v>9600</v>
      </c>
      <c r="K1105" t="str">
        <f t="shared" si="68"/>
        <v>18-24</v>
      </c>
      <c r="L1105" t="str">
        <f t="shared" ca="1" si="70"/>
        <v>Safe</v>
      </c>
      <c r="M1105" t="str">
        <f t="shared" si="71"/>
        <v>Oct-2024</v>
      </c>
    </row>
    <row r="1106" spans="1:13" x14ac:dyDescent="0.35">
      <c r="A1106">
        <v>11105</v>
      </c>
      <c r="B1106">
        <v>45</v>
      </c>
      <c r="C1106" t="s">
        <v>9</v>
      </c>
      <c r="D1106" t="s">
        <v>13</v>
      </c>
      <c r="E1106" s="2">
        <v>45504</v>
      </c>
      <c r="F1106" s="2">
        <v>45923</v>
      </c>
      <c r="G1106">
        <v>1500</v>
      </c>
      <c r="H1106" t="s">
        <v>15</v>
      </c>
      <c r="I1106" t="s">
        <v>17</v>
      </c>
      <c r="J1106">
        <f t="shared" si="69"/>
        <v>4500</v>
      </c>
      <c r="K1106" t="str">
        <f t="shared" si="68"/>
        <v>35+</v>
      </c>
      <c r="L1106" t="str">
        <f t="shared" ca="1" si="70"/>
        <v>High Risk</v>
      </c>
      <c r="M1106" t="str">
        <f t="shared" si="71"/>
        <v>Jul-2024</v>
      </c>
    </row>
    <row r="1107" spans="1:13" x14ac:dyDescent="0.35">
      <c r="A1107">
        <v>11106</v>
      </c>
      <c r="B1107">
        <v>27</v>
      </c>
      <c r="C1107" t="s">
        <v>10</v>
      </c>
      <c r="D1107" t="s">
        <v>11</v>
      </c>
      <c r="E1107" s="2">
        <v>45483</v>
      </c>
      <c r="F1107" s="2">
        <v>46014</v>
      </c>
      <c r="G1107">
        <v>1700</v>
      </c>
      <c r="H1107" t="s">
        <v>15</v>
      </c>
      <c r="I1107" t="s">
        <v>16</v>
      </c>
      <c r="J1107">
        <f t="shared" si="69"/>
        <v>1700</v>
      </c>
      <c r="K1107" t="str">
        <f t="shared" si="68"/>
        <v>25-34</v>
      </c>
      <c r="L1107" t="str">
        <f t="shared" ca="1" si="70"/>
        <v>Safe</v>
      </c>
      <c r="M1107" t="str">
        <f t="shared" si="71"/>
        <v>Jul-2024</v>
      </c>
    </row>
    <row r="1108" spans="1:13" x14ac:dyDescent="0.35">
      <c r="A1108">
        <v>11107</v>
      </c>
      <c r="B1108">
        <v>24</v>
      </c>
      <c r="C1108" t="s">
        <v>9</v>
      </c>
      <c r="D1108" t="s">
        <v>11</v>
      </c>
      <c r="E1108" s="2">
        <v>45555</v>
      </c>
      <c r="F1108" s="2">
        <v>46017</v>
      </c>
      <c r="G1108">
        <v>1700</v>
      </c>
      <c r="H1108" t="s">
        <v>15</v>
      </c>
      <c r="I1108" t="s">
        <v>16</v>
      </c>
      <c r="J1108">
        <f t="shared" si="69"/>
        <v>1700</v>
      </c>
      <c r="K1108" t="str">
        <f t="shared" si="68"/>
        <v>18-24</v>
      </c>
      <c r="L1108" t="str">
        <f t="shared" ca="1" si="70"/>
        <v>Safe</v>
      </c>
      <c r="M1108" t="str">
        <f t="shared" si="71"/>
        <v>Sep-2024</v>
      </c>
    </row>
    <row r="1109" spans="1:13" x14ac:dyDescent="0.35">
      <c r="A1109">
        <v>11108</v>
      </c>
      <c r="B1109">
        <v>42</v>
      </c>
      <c r="C1109" t="s">
        <v>10</v>
      </c>
      <c r="D1109" t="s">
        <v>11</v>
      </c>
      <c r="E1109" s="2">
        <v>45315</v>
      </c>
      <c r="F1109" s="2">
        <v>46012</v>
      </c>
      <c r="G1109">
        <v>1200</v>
      </c>
      <c r="H1109" t="s">
        <v>14</v>
      </c>
      <c r="I1109" t="s">
        <v>16</v>
      </c>
      <c r="J1109">
        <f t="shared" si="69"/>
        <v>1200</v>
      </c>
      <c r="K1109" t="str">
        <f t="shared" si="68"/>
        <v>35+</v>
      </c>
      <c r="L1109" t="str">
        <f t="shared" ca="1" si="70"/>
        <v>Safe</v>
      </c>
      <c r="M1109" t="str">
        <f t="shared" si="71"/>
        <v>Jan-2024</v>
      </c>
    </row>
    <row r="1110" spans="1:13" x14ac:dyDescent="0.35">
      <c r="A1110">
        <v>11109</v>
      </c>
      <c r="B1110">
        <v>34</v>
      </c>
      <c r="C1110" t="s">
        <v>9</v>
      </c>
      <c r="D1110" t="s">
        <v>13</v>
      </c>
      <c r="E1110" s="2">
        <v>45170</v>
      </c>
      <c r="F1110" s="2">
        <v>46018</v>
      </c>
      <c r="G1110">
        <v>1500</v>
      </c>
      <c r="H1110" t="s">
        <v>15</v>
      </c>
      <c r="I1110" t="s">
        <v>16</v>
      </c>
      <c r="J1110">
        <f t="shared" si="69"/>
        <v>4500</v>
      </c>
      <c r="K1110" t="str">
        <f t="shared" si="68"/>
        <v>25-34</v>
      </c>
      <c r="L1110" t="str">
        <f t="shared" ca="1" si="70"/>
        <v>Safe</v>
      </c>
      <c r="M1110" t="str">
        <f t="shared" si="71"/>
        <v>Sep-2023</v>
      </c>
    </row>
    <row r="1111" spans="1:13" x14ac:dyDescent="0.35">
      <c r="A1111">
        <v>11110</v>
      </c>
      <c r="B1111">
        <v>24</v>
      </c>
      <c r="C1111" t="s">
        <v>9</v>
      </c>
      <c r="D1111" t="s">
        <v>11</v>
      </c>
      <c r="E1111" s="2">
        <v>45742</v>
      </c>
      <c r="F1111" s="2">
        <v>46015</v>
      </c>
      <c r="G1111">
        <v>1200</v>
      </c>
      <c r="H1111" t="s">
        <v>14</v>
      </c>
      <c r="I1111" t="s">
        <v>16</v>
      </c>
      <c r="J1111">
        <f t="shared" si="69"/>
        <v>1200</v>
      </c>
      <c r="K1111" t="str">
        <f t="shared" si="68"/>
        <v>18-24</v>
      </c>
      <c r="L1111" t="str">
        <f t="shared" ca="1" si="70"/>
        <v>Safe</v>
      </c>
      <c r="M1111" t="str">
        <f t="shared" si="71"/>
        <v>Mar-2025</v>
      </c>
    </row>
    <row r="1112" spans="1:13" x14ac:dyDescent="0.35">
      <c r="A1112">
        <v>11111</v>
      </c>
      <c r="B1112">
        <v>39</v>
      </c>
      <c r="C1112" t="s">
        <v>9</v>
      </c>
      <c r="D1112" t="s">
        <v>11</v>
      </c>
      <c r="E1112" s="2">
        <v>45990</v>
      </c>
      <c r="F1112" s="2">
        <v>46016</v>
      </c>
      <c r="G1112">
        <v>1200</v>
      </c>
      <c r="H1112" t="s">
        <v>14</v>
      </c>
      <c r="I1112" t="s">
        <v>16</v>
      </c>
      <c r="J1112">
        <f t="shared" si="69"/>
        <v>1200</v>
      </c>
      <c r="K1112" t="str">
        <f t="shared" si="68"/>
        <v>35+</v>
      </c>
      <c r="L1112" t="str">
        <f t="shared" ca="1" si="70"/>
        <v>Safe</v>
      </c>
      <c r="M1112" t="str">
        <f t="shared" si="71"/>
        <v>Nov-2025</v>
      </c>
    </row>
    <row r="1113" spans="1:13" x14ac:dyDescent="0.35">
      <c r="A1113">
        <v>11112</v>
      </c>
      <c r="B1113">
        <v>43</v>
      </c>
      <c r="C1113" t="s">
        <v>10</v>
      </c>
      <c r="D1113" t="s">
        <v>12</v>
      </c>
      <c r="E1113" s="2">
        <v>45921</v>
      </c>
      <c r="F1113" s="2">
        <v>46009</v>
      </c>
      <c r="G1113">
        <v>800</v>
      </c>
      <c r="H1113" t="s">
        <v>14</v>
      </c>
      <c r="I1113" t="s">
        <v>16</v>
      </c>
      <c r="J1113">
        <f t="shared" si="69"/>
        <v>9600</v>
      </c>
      <c r="K1113" t="str">
        <f t="shared" si="68"/>
        <v>35+</v>
      </c>
      <c r="L1113" t="str">
        <f t="shared" ca="1" si="70"/>
        <v>Safe</v>
      </c>
      <c r="M1113" t="str">
        <f t="shared" si="71"/>
        <v>Sep-2025</v>
      </c>
    </row>
    <row r="1114" spans="1:13" x14ac:dyDescent="0.35">
      <c r="A1114">
        <v>11113</v>
      </c>
      <c r="B1114">
        <v>29</v>
      </c>
      <c r="C1114" t="s">
        <v>9</v>
      </c>
      <c r="D1114" t="s">
        <v>12</v>
      </c>
      <c r="E1114" s="2">
        <v>45980</v>
      </c>
      <c r="F1114" s="2">
        <v>46031</v>
      </c>
      <c r="G1114">
        <v>800</v>
      </c>
      <c r="H1114" t="s">
        <v>14</v>
      </c>
      <c r="I1114" t="s">
        <v>16</v>
      </c>
      <c r="J1114">
        <f t="shared" si="69"/>
        <v>9600</v>
      </c>
      <c r="K1114" t="str">
        <f t="shared" si="68"/>
        <v>25-34</v>
      </c>
      <c r="L1114" t="str">
        <f t="shared" ca="1" si="70"/>
        <v>Safe</v>
      </c>
      <c r="M1114" t="str">
        <f t="shared" si="71"/>
        <v>Nov-2025</v>
      </c>
    </row>
    <row r="1115" spans="1:13" x14ac:dyDescent="0.35">
      <c r="A1115">
        <v>11114</v>
      </c>
      <c r="B1115">
        <v>42</v>
      </c>
      <c r="C1115" t="s">
        <v>9</v>
      </c>
      <c r="D1115" t="s">
        <v>13</v>
      </c>
      <c r="E1115" s="2">
        <v>45455</v>
      </c>
      <c r="F1115" s="2">
        <v>46021</v>
      </c>
      <c r="G1115">
        <v>1000</v>
      </c>
      <c r="H1115" t="s">
        <v>14</v>
      </c>
      <c r="I1115" t="s">
        <v>16</v>
      </c>
      <c r="J1115">
        <f t="shared" si="69"/>
        <v>3000</v>
      </c>
      <c r="K1115" t="str">
        <f t="shared" si="68"/>
        <v>35+</v>
      </c>
      <c r="L1115" t="str">
        <f t="shared" ca="1" si="70"/>
        <v>Safe</v>
      </c>
      <c r="M1115" t="str">
        <f t="shared" si="71"/>
        <v>Jun-2024</v>
      </c>
    </row>
    <row r="1116" spans="1:13" x14ac:dyDescent="0.35">
      <c r="A1116">
        <v>11115</v>
      </c>
      <c r="B1116">
        <v>34</v>
      </c>
      <c r="C1116" t="s">
        <v>9</v>
      </c>
      <c r="D1116" t="s">
        <v>12</v>
      </c>
      <c r="E1116" s="2">
        <v>45139</v>
      </c>
      <c r="F1116" s="2">
        <v>46016</v>
      </c>
      <c r="G1116">
        <v>800</v>
      </c>
      <c r="H1116" t="s">
        <v>14</v>
      </c>
      <c r="I1116" t="s">
        <v>16</v>
      </c>
      <c r="J1116">
        <f t="shared" si="69"/>
        <v>9600</v>
      </c>
      <c r="K1116" t="str">
        <f t="shared" si="68"/>
        <v>25-34</v>
      </c>
      <c r="L1116" t="str">
        <f t="shared" ca="1" si="70"/>
        <v>Safe</v>
      </c>
      <c r="M1116" t="str">
        <f t="shared" si="71"/>
        <v>Aug-2023</v>
      </c>
    </row>
    <row r="1117" spans="1:13" x14ac:dyDescent="0.35">
      <c r="A1117">
        <v>11116</v>
      </c>
      <c r="B1117">
        <v>30</v>
      </c>
      <c r="C1117" t="s">
        <v>9</v>
      </c>
      <c r="D1117" t="s">
        <v>11</v>
      </c>
      <c r="E1117" s="2">
        <v>45591</v>
      </c>
      <c r="F1117" s="2">
        <v>45965</v>
      </c>
      <c r="G1117">
        <v>1700</v>
      </c>
      <c r="H1117" t="s">
        <v>15</v>
      </c>
      <c r="I1117" t="s">
        <v>17</v>
      </c>
      <c r="J1117">
        <f t="shared" si="69"/>
        <v>1700</v>
      </c>
      <c r="K1117" t="str">
        <f t="shared" si="68"/>
        <v>25-34</v>
      </c>
      <c r="L1117" t="str">
        <f t="shared" ca="1" si="70"/>
        <v>High Risk</v>
      </c>
      <c r="M1117" t="str">
        <f t="shared" si="71"/>
        <v>Oct-2024</v>
      </c>
    </row>
    <row r="1118" spans="1:13" x14ac:dyDescent="0.35">
      <c r="A1118">
        <v>11117</v>
      </c>
      <c r="B1118">
        <v>37</v>
      </c>
      <c r="C1118" t="s">
        <v>9</v>
      </c>
      <c r="D1118" t="s">
        <v>13</v>
      </c>
      <c r="E1118" s="2">
        <v>45137</v>
      </c>
      <c r="F1118" s="2">
        <v>46021</v>
      </c>
      <c r="G1118">
        <v>1000</v>
      </c>
      <c r="H1118" t="s">
        <v>14</v>
      </c>
      <c r="I1118" t="s">
        <v>16</v>
      </c>
      <c r="J1118">
        <f t="shared" si="69"/>
        <v>3000</v>
      </c>
      <c r="K1118" t="str">
        <f t="shared" si="68"/>
        <v>35+</v>
      </c>
      <c r="L1118" t="str">
        <f t="shared" ca="1" si="70"/>
        <v>Safe</v>
      </c>
      <c r="M1118" t="str">
        <f t="shared" si="71"/>
        <v>Jul-2023</v>
      </c>
    </row>
    <row r="1119" spans="1:13" x14ac:dyDescent="0.35">
      <c r="A1119">
        <v>11118</v>
      </c>
      <c r="B1119">
        <v>42</v>
      </c>
      <c r="C1119" t="s">
        <v>10</v>
      </c>
      <c r="D1119" t="s">
        <v>13</v>
      </c>
      <c r="E1119" s="2">
        <v>45264</v>
      </c>
      <c r="F1119" s="2">
        <v>45920</v>
      </c>
      <c r="G1119">
        <v>1000</v>
      </c>
      <c r="H1119" t="s">
        <v>14</v>
      </c>
      <c r="I1119" t="s">
        <v>17</v>
      </c>
      <c r="J1119">
        <f t="shared" si="69"/>
        <v>3000</v>
      </c>
      <c r="K1119" t="str">
        <f t="shared" si="68"/>
        <v>35+</v>
      </c>
      <c r="L1119" t="str">
        <f t="shared" ca="1" si="70"/>
        <v>High Risk</v>
      </c>
      <c r="M1119" t="str">
        <f t="shared" si="71"/>
        <v>Dec-2023</v>
      </c>
    </row>
    <row r="1120" spans="1:13" x14ac:dyDescent="0.35">
      <c r="A1120">
        <v>11119</v>
      </c>
      <c r="B1120">
        <v>21</v>
      </c>
      <c r="C1120" t="s">
        <v>9</v>
      </c>
      <c r="D1120" t="s">
        <v>13</v>
      </c>
      <c r="E1120" s="2">
        <v>45740</v>
      </c>
      <c r="F1120" s="2">
        <v>46031</v>
      </c>
      <c r="G1120">
        <v>1500</v>
      </c>
      <c r="H1120" t="s">
        <v>15</v>
      </c>
      <c r="I1120" t="s">
        <v>16</v>
      </c>
      <c r="J1120">
        <f t="shared" si="69"/>
        <v>4500</v>
      </c>
      <c r="K1120" t="str">
        <f t="shared" si="68"/>
        <v>18-24</v>
      </c>
      <c r="L1120" t="str">
        <f t="shared" ca="1" si="70"/>
        <v>Safe</v>
      </c>
      <c r="M1120" t="str">
        <f t="shared" si="71"/>
        <v>Mar-2025</v>
      </c>
    </row>
    <row r="1121" spans="1:13" x14ac:dyDescent="0.35">
      <c r="A1121">
        <v>11120</v>
      </c>
      <c r="B1121">
        <v>27</v>
      </c>
      <c r="C1121" t="s">
        <v>10</v>
      </c>
      <c r="D1121" t="s">
        <v>11</v>
      </c>
      <c r="E1121" s="2">
        <v>45965</v>
      </c>
      <c r="F1121" s="2">
        <v>46013</v>
      </c>
      <c r="G1121">
        <v>1200</v>
      </c>
      <c r="H1121" t="s">
        <v>14</v>
      </c>
      <c r="I1121" t="s">
        <v>16</v>
      </c>
      <c r="J1121">
        <f t="shared" si="69"/>
        <v>1200</v>
      </c>
      <c r="K1121" t="str">
        <f t="shared" si="68"/>
        <v>25-34</v>
      </c>
      <c r="L1121" t="str">
        <f t="shared" ca="1" si="70"/>
        <v>Safe</v>
      </c>
      <c r="M1121" t="str">
        <f t="shared" si="71"/>
        <v>Nov-2025</v>
      </c>
    </row>
    <row r="1122" spans="1:13" x14ac:dyDescent="0.35">
      <c r="A1122">
        <v>11121</v>
      </c>
      <c r="B1122">
        <v>20</v>
      </c>
      <c r="C1122" t="s">
        <v>9</v>
      </c>
      <c r="D1122" t="s">
        <v>13</v>
      </c>
      <c r="E1122" s="2">
        <v>45737</v>
      </c>
      <c r="F1122" s="2">
        <v>46011</v>
      </c>
      <c r="G1122">
        <v>1500</v>
      </c>
      <c r="H1122" t="s">
        <v>15</v>
      </c>
      <c r="I1122" t="s">
        <v>16</v>
      </c>
      <c r="J1122">
        <f t="shared" si="69"/>
        <v>4500</v>
      </c>
      <c r="K1122" t="str">
        <f t="shared" si="68"/>
        <v>18-24</v>
      </c>
      <c r="L1122" t="str">
        <f t="shared" ca="1" si="70"/>
        <v>Safe</v>
      </c>
      <c r="M1122" t="str">
        <f t="shared" si="71"/>
        <v>Mar-2025</v>
      </c>
    </row>
    <row r="1123" spans="1:13" x14ac:dyDescent="0.35">
      <c r="A1123">
        <v>11122</v>
      </c>
      <c r="B1123">
        <v>26</v>
      </c>
      <c r="C1123" t="s">
        <v>9</v>
      </c>
      <c r="D1123" t="s">
        <v>11</v>
      </c>
      <c r="E1123" s="2">
        <v>45988</v>
      </c>
      <c r="F1123" s="2">
        <v>46027</v>
      </c>
      <c r="G1123">
        <v>1200</v>
      </c>
      <c r="H1123" t="s">
        <v>14</v>
      </c>
      <c r="I1123" t="s">
        <v>16</v>
      </c>
      <c r="J1123">
        <f t="shared" si="69"/>
        <v>1200</v>
      </c>
      <c r="K1123" t="str">
        <f t="shared" si="68"/>
        <v>25-34</v>
      </c>
      <c r="L1123" t="str">
        <f t="shared" ca="1" si="70"/>
        <v>Safe</v>
      </c>
      <c r="M1123" t="str">
        <f t="shared" si="71"/>
        <v>Nov-2025</v>
      </c>
    </row>
    <row r="1124" spans="1:13" x14ac:dyDescent="0.35">
      <c r="A1124">
        <v>11123</v>
      </c>
      <c r="B1124">
        <v>30</v>
      </c>
      <c r="C1124" t="s">
        <v>9</v>
      </c>
      <c r="D1124" t="s">
        <v>13</v>
      </c>
      <c r="E1124" s="2">
        <v>45661</v>
      </c>
      <c r="F1124" s="2">
        <v>46018</v>
      </c>
      <c r="G1124">
        <v>1000</v>
      </c>
      <c r="H1124" t="s">
        <v>14</v>
      </c>
      <c r="I1124" t="s">
        <v>16</v>
      </c>
      <c r="J1124">
        <f t="shared" si="69"/>
        <v>3000</v>
      </c>
      <c r="K1124" t="str">
        <f t="shared" si="68"/>
        <v>25-34</v>
      </c>
      <c r="L1124" t="str">
        <f t="shared" ca="1" si="70"/>
        <v>Safe</v>
      </c>
      <c r="M1124" t="str">
        <f t="shared" si="71"/>
        <v>Jan-2025</v>
      </c>
    </row>
    <row r="1125" spans="1:13" x14ac:dyDescent="0.35">
      <c r="A1125">
        <v>11124</v>
      </c>
      <c r="B1125">
        <v>35</v>
      </c>
      <c r="C1125" t="s">
        <v>9</v>
      </c>
      <c r="D1125" t="s">
        <v>11</v>
      </c>
      <c r="E1125" s="2">
        <v>45823</v>
      </c>
      <c r="F1125" s="2">
        <v>46023</v>
      </c>
      <c r="G1125">
        <v>1200</v>
      </c>
      <c r="H1125" t="s">
        <v>14</v>
      </c>
      <c r="I1125" t="s">
        <v>16</v>
      </c>
      <c r="J1125">
        <f t="shared" si="69"/>
        <v>1200</v>
      </c>
      <c r="K1125" t="str">
        <f t="shared" si="68"/>
        <v>35+</v>
      </c>
      <c r="L1125" t="str">
        <f t="shared" ca="1" si="70"/>
        <v>Safe</v>
      </c>
      <c r="M1125" t="str">
        <f t="shared" si="71"/>
        <v>Jun-2025</v>
      </c>
    </row>
    <row r="1126" spans="1:13" x14ac:dyDescent="0.35">
      <c r="A1126">
        <v>11125</v>
      </c>
      <c r="B1126">
        <v>32</v>
      </c>
      <c r="C1126" t="s">
        <v>10</v>
      </c>
      <c r="D1126" t="s">
        <v>11</v>
      </c>
      <c r="E1126" s="2">
        <v>45554</v>
      </c>
      <c r="F1126" s="2">
        <v>45981</v>
      </c>
      <c r="G1126">
        <v>1200</v>
      </c>
      <c r="H1126" t="s">
        <v>14</v>
      </c>
      <c r="I1126" t="s">
        <v>17</v>
      </c>
      <c r="J1126">
        <f t="shared" si="69"/>
        <v>1200</v>
      </c>
      <c r="K1126" t="str">
        <f t="shared" si="68"/>
        <v>25-34</v>
      </c>
      <c r="L1126" t="str">
        <f t="shared" ca="1" si="70"/>
        <v>High Risk</v>
      </c>
      <c r="M1126" t="str">
        <f t="shared" si="71"/>
        <v>Sep-2024</v>
      </c>
    </row>
    <row r="1127" spans="1:13" x14ac:dyDescent="0.35">
      <c r="A1127">
        <v>11126</v>
      </c>
      <c r="B1127">
        <v>21</v>
      </c>
      <c r="C1127" t="s">
        <v>10</v>
      </c>
      <c r="D1127" t="s">
        <v>11</v>
      </c>
      <c r="E1127" s="2">
        <v>45833</v>
      </c>
      <c r="F1127" s="2">
        <v>46032</v>
      </c>
      <c r="G1127">
        <v>1200</v>
      </c>
      <c r="H1127" t="s">
        <v>14</v>
      </c>
      <c r="I1127" t="s">
        <v>16</v>
      </c>
      <c r="J1127">
        <f t="shared" si="69"/>
        <v>1200</v>
      </c>
      <c r="K1127" t="str">
        <f t="shared" si="68"/>
        <v>18-24</v>
      </c>
      <c r="L1127" t="str">
        <f t="shared" ca="1" si="70"/>
        <v>Safe</v>
      </c>
      <c r="M1127" t="str">
        <f t="shared" si="71"/>
        <v>Jun-2025</v>
      </c>
    </row>
    <row r="1128" spans="1:13" x14ac:dyDescent="0.35">
      <c r="A1128">
        <v>11127</v>
      </c>
      <c r="B1128">
        <v>32</v>
      </c>
      <c r="C1128" t="s">
        <v>9</v>
      </c>
      <c r="D1128" t="s">
        <v>11</v>
      </c>
      <c r="E1128" s="2">
        <v>45456</v>
      </c>
      <c r="F1128" s="2">
        <v>45979</v>
      </c>
      <c r="G1128">
        <v>1200</v>
      </c>
      <c r="H1128" t="s">
        <v>14</v>
      </c>
      <c r="I1128" t="s">
        <v>17</v>
      </c>
      <c r="J1128">
        <f t="shared" si="69"/>
        <v>1200</v>
      </c>
      <c r="K1128" t="str">
        <f t="shared" si="68"/>
        <v>25-34</v>
      </c>
      <c r="L1128" t="str">
        <f t="shared" ca="1" si="70"/>
        <v>High Risk</v>
      </c>
      <c r="M1128" t="str">
        <f t="shared" si="71"/>
        <v>Jun-2024</v>
      </c>
    </row>
    <row r="1129" spans="1:13" x14ac:dyDescent="0.35">
      <c r="A1129">
        <v>11128</v>
      </c>
      <c r="B1129">
        <v>39</v>
      </c>
      <c r="C1129" t="s">
        <v>9</v>
      </c>
      <c r="D1129" t="s">
        <v>13</v>
      </c>
      <c r="E1129" s="2">
        <v>45196</v>
      </c>
      <c r="F1129" s="2">
        <v>45914</v>
      </c>
      <c r="G1129">
        <v>1000</v>
      </c>
      <c r="H1129" t="s">
        <v>14</v>
      </c>
      <c r="I1129" t="s">
        <v>17</v>
      </c>
      <c r="J1129">
        <f t="shared" si="69"/>
        <v>3000</v>
      </c>
      <c r="K1129" t="str">
        <f t="shared" si="68"/>
        <v>35+</v>
      </c>
      <c r="L1129" t="str">
        <f t="shared" ca="1" si="70"/>
        <v>High Risk</v>
      </c>
      <c r="M1129" t="str">
        <f t="shared" si="71"/>
        <v>Sep-2023</v>
      </c>
    </row>
    <row r="1130" spans="1:13" x14ac:dyDescent="0.35">
      <c r="A1130">
        <v>11129</v>
      </c>
      <c r="B1130">
        <v>19</v>
      </c>
      <c r="C1130" t="s">
        <v>9</v>
      </c>
      <c r="D1130" t="s">
        <v>11</v>
      </c>
      <c r="E1130" s="2">
        <v>45367</v>
      </c>
      <c r="F1130" s="2">
        <v>46009</v>
      </c>
      <c r="G1130">
        <v>1200</v>
      </c>
      <c r="H1130" t="s">
        <v>14</v>
      </c>
      <c r="I1130" t="s">
        <v>16</v>
      </c>
      <c r="J1130">
        <f t="shared" si="69"/>
        <v>1200</v>
      </c>
      <c r="K1130" t="str">
        <f t="shared" si="68"/>
        <v>18-24</v>
      </c>
      <c r="L1130" t="str">
        <f t="shared" ca="1" si="70"/>
        <v>Safe</v>
      </c>
      <c r="M1130" t="str">
        <f t="shared" si="71"/>
        <v>Mar-2024</v>
      </c>
    </row>
    <row r="1131" spans="1:13" x14ac:dyDescent="0.35">
      <c r="A1131">
        <v>11130</v>
      </c>
      <c r="B1131">
        <v>32</v>
      </c>
      <c r="C1131" t="s">
        <v>10</v>
      </c>
      <c r="D1131" t="s">
        <v>12</v>
      </c>
      <c r="E1131" s="2">
        <v>45728</v>
      </c>
      <c r="F1131" s="2">
        <v>45919</v>
      </c>
      <c r="G1131">
        <v>800</v>
      </c>
      <c r="H1131" t="s">
        <v>14</v>
      </c>
      <c r="I1131" t="s">
        <v>17</v>
      </c>
      <c r="J1131">
        <f t="shared" si="69"/>
        <v>9600</v>
      </c>
      <c r="K1131" t="str">
        <f t="shared" si="68"/>
        <v>25-34</v>
      </c>
      <c r="L1131" t="str">
        <f t="shared" ca="1" si="70"/>
        <v>High Risk</v>
      </c>
      <c r="M1131" t="str">
        <f t="shared" si="71"/>
        <v>Mar-2025</v>
      </c>
    </row>
    <row r="1132" spans="1:13" x14ac:dyDescent="0.35">
      <c r="A1132">
        <v>11131</v>
      </c>
      <c r="B1132">
        <v>25</v>
      </c>
      <c r="C1132" t="s">
        <v>9</v>
      </c>
      <c r="D1132" t="s">
        <v>11</v>
      </c>
      <c r="E1132" s="2">
        <v>45192</v>
      </c>
      <c r="F1132" s="2">
        <v>46018</v>
      </c>
      <c r="G1132">
        <v>1200</v>
      </c>
      <c r="H1132" t="s">
        <v>14</v>
      </c>
      <c r="I1132" t="s">
        <v>16</v>
      </c>
      <c r="J1132">
        <f t="shared" si="69"/>
        <v>1200</v>
      </c>
      <c r="K1132" t="str">
        <f t="shared" si="68"/>
        <v>25-34</v>
      </c>
      <c r="L1132" t="str">
        <f t="shared" ca="1" si="70"/>
        <v>Safe</v>
      </c>
      <c r="M1132" t="str">
        <f t="shared" si="71"/>
        <v>Sep-2023</v>
      </c>
    </row>
    <row r="1133" spans="1:13" x14ac:dyDescent="0.35">
      <c r="A1133">
        <v>11132</v>
      </c>
      <c r="B1133">
        <v>25</v>
      </c>
      <c r="C1133" t="s">
        <v>9</v>
      </c>
      <c r="D1133" t="s">
        <v>11</v>
      </c>
      <c r="E1133" s="2">
        <v>45478</v>
      </c>
      <c r="F1133" s="2">
        <v>46025</v>
      </c>
      <c r="G1133">
        <v>1200</v>
      </c>
      <c r="H1133" t="s">
        <v>14</v>
      </c>
      <c r="I1133" t="s">
        <v>16</v>
      </c>
      <c r="J1133">
        <f t="shared" si="69"/>
        <v>1200</v>
      </c>
      <c r="K1133" t="str">
        <f t="shared" si="68"/>
        <v>25-34</v>
      </c>
      <c r="L1133" t="str">
        <f t="shared" ca="1" si="70"/>
        <v>Safe</v>
      </c>
      <c r="M1133" t="str">
        <f t="shared" si="71"/>
        <v>Jul-2024</v>
      </c>
    </row>
    <row r="1134" spans="1:13" x14ac:dyDescent="0.35">
      <c r="A1134">
        <v>11133</v>
      </c>
      <c r="B1134">
        <v>34</v>
      </c>
      <c r="C1134" t="s">
        <v>10</v>
      </c>
      <c r="D1134" t="s">
        <v>13</v>
      </c>
      <c r="E1134" s="2">
        <v>45532</v>
      </c>
      <c r="F1134" s="2">
        <v>46028</v>
      </c>
      <c r="G1134">
        <v>1000</v>
      </c>
      <c r="H1134" t="s">
        <v>14</v>
      </c>
      <c r="I1134" t="s">
        <v>16</v>
      </c>
      <c r="J1134">
        <f t="shared" si="69"/>
        <v>3000</v>
      </c>
      <c r="K1134" t="str">
        <f t="shared" si="68"/>
        <v>25-34</v>
      </c>
      <c r="L1134" t="str">
        <f t="shared" ca="1" si="70"/>
        <v>Safe</v>
      </c>
      <c r="M1134" t="str">
        <f t="shared" si="71"/>
        <v>Aug-2024</v>
      </c>
    </row>
    <row r="1135" spans="1:13" x14ac:dyDescent="0.35">
      <c r="A1135">
        <v>11134</v>
      </c>
      <c r="B1135">
        <v>29</v>
      </c>
      <c r="C1135" t="s">
        <v>9</v>
      </c>
      <c r="D1135" t="s">
        <v>11</v>
      </c>
      <c r="E1135" s="2">
        <v>45795</v>
      </c>
      <c r="F1135" s="2">
        <v>46011</v>
      </c>
      <c r="G1135">
        <v>1200</v>
      </c>
      <c r="H1135" t="s">
        <v>14</v>
      </c>
      <c r="I1135" t="s">
        <v>16</v>
      </c>
      <c r="J1135">
        <f t="shared" si="69"/>
        <v>1200</v>
      </c>
      <c r="K1135" t="str">
        <f t="shared" si="68"/>
        <v>25-34</v>
      </c>
      <c r="L1135" t="str">
        <f t="shared" ca="1" si="70"/>
        <v>Safe</v>
      </c>
      <c r="M1135" t="str">
        <f t="shared" si="71"/>
        <v>May-2025</v>
      </c>
    </row>
    <row r="1136" spans="1:13" x14ac:dyDescent="0.35">
      <c r="A1136">
        <v>11135</v>
      </c>
      <c r="B1136">
        <v>36</v>
      </c>
      <c r="C1136" t="s">
        <v>9</v>
      </c>
      <c r="D1136" t="s">
        <v>13</v>
      </c>
      <c r="E1136" s="2">
        <v>45469</v>
      </c>
      <c r="F1136" s="2">
        <v>46014</v>
      </c>
      <c r="G1136">
        <v>1000</v>
      </c>
      <c r="H1136" t="s">
        <v>14</v>
      </c>
      <c r="I1136" t="s">
        <v>16</v>
      </c>
      <c r="J1136">
        <f t="shared" si="69"/>
        <v>3000</v>
      </c>
      <c r="K1136" t="str">
        <f t="shared" si="68"/>
        <v>35+</v>
      </c>
      <c r="L1136" t="str">
        <f t="shared" ca="1" si="70"/>
        <v>Safe</v>
      </c>
      <c r="M1136" t="str">
        <f t="shared" si="71"/>
        <v>Jun-2024</v>
      </c>
    </row>
    <row r="1137" spans="1:13" x14ac:dyDescent="0.35">
      <c r="A1137">
        <v>11136</v>
      </c>
      <c r="B1137">
        <v>27</v>
      </c>
      <c r="C1137" t="s">
        <v>9</v>
      </c>
      <c r="D1137" t="s">
        <v>13</v>
      </c>
      <c r="E1137" s="2">
        <v>45638</v>
      </c>
      <c r="F1137" s="2">
        <v>46014</v>
      </c>
      <c r="G1137">
        <v>1500</v>
      </c>
      <c r="H1137" t="s">
        <v>15</v>
      </c>
      <c r="I1137" t="s">
        <v>16</v>
      </c>
      <c r="J1137">
        <f t="shared" si="69"/>
        <v>4500</v>
      </c>
      <c r="K1137" t="str">
        <f t="shared" si="68"/>
        <v>25-34</v>
      </c>
      <c r="L1137" t="str">
        <f t="shared" ca="1" si="70"/>
        <v>Safe</v>
      </c>
      <c r="M1137" t="str">
        <f t="shared" si="71"/>
        <v>Dec-2024</v>
      </c>
    </row>
    <row r="1138" spans="1:13" x14ac:dyDescent="0.35">
      <c r="A1138">
        <v>11137</v>
      </c>
      <c r="B1138">
        <v>26</v>
      </c>
      <c r="C1138" t="s">
        <v>10</v>
      </c>
      <c r="D1138" t="s">
        <v>11</v>
      </c>
      <c r="E1138" s="2">
        <v>45294</v>
      </c>
      <c r="F1138" s="2">
        <v>46018</v>
      </c>
      <c r="G1138">
        <v>1200</v>
      </c>
      <c r="H1138" t="s">
        <v>14</v>
      </c>
      <c r="I1138" t="s">
        <v>16</v>
      </c>
      <c r="J1138">
        <f t="shared" si="69"/>
        <v>1200</v>
      </c>
      <c r="K1138" t="str">
        <f t="shared" si="68"/>
        <v>25-34</v>
      </c>
      <c r="L1138" t="str">
        <f t="shared" ca="1" si="70"/>
        <v>Safe</v>
      </c>
      <c r="M1138" t="str">
        <f t="shared" si="71"/>
        <v>Jan-2024</v>
      </c>
    </row>
    <row r="1139" spans="1:13" x14ac:dyDescent="0.35">
      <c r="A1139">
        <v>11138</v>
      </c>
      <c r="B1139">
        <v>22</v>
      </c>
      <c r="C1139" t="s">
        <v>9</v>
      </c>
      <c r="D1139" t="s">
        <v>11</v>
      </c>
      <c r="E1139" s="2">
        <v>45773</v>
      </c>
      <c r="F1139" s="2">
        <v>46010</v>
      </c>
      <c r="G1139">
        <v>1200</v>
      </c>
      <c r="H1139" t="s">
        <v>14</v>
      </c>
      <c r="I1139" t="s">
        <v>16</v>
      </c>
      <c r="J1139">
        <f t="shared" si="69"/>
        <v>1200</v>
      </c>
      <c r="K1139" t="str">
        <f t="shared" si="68"/>
        <v>18-24</v>
      </c>
      <c r="L1139" t="str">
        <f t="shared" ca="1" si="70"/>
        <v>Safe</v>
      </c>
      <c r="M1139" t="str">
        <f t="shared" si="71"/>
        <v>Apr-2025</v>
      </c>
    </row>
    <row r="1140" spans="1:13" x14ac:dyDescent="0.35">
      <c r="A1140">
        <v>11139</v>
      </c>
      <c r="B1140">
        <v>23</v>
      </c>
      <c r="C1140" t="s">
        <v>9</v>
      </c>
      <c r="D1140" t="s">
        <v>11</v>
      </c>
      <c r="E1140" s="2">
        <v>45209</v>
      </c>
      <c r="F1140" s="2">
        <v>46020</v>
      </c>
      <c r="G1140">
        <v>1700</v>
      </c>
      <c r="H1140" t="s">
        <v>15</v>
      </c>
      <c r="I1140" t="s">
        <v>16</v>
      </c>
      <c r="J1140">
        <f t="shared" si="69"/>
        <v>1700</v>
      </c>
      <c r="K1140" t="str">
        <f t="shared" si="68"/>
        <v>18-24</v>
      </c>
      <c r="L1140" t="str">
        <f t="shared" ca="1" si="70"/>
        <v>Safe</v>
      </c>
      <c r="M1140" t="str">
        <f t="shared" si="71"/>
        <v>Oct-2023</v>
      </c>
    </row>
    <row r="1141" spans="1:13" x14ac:dyDescent="0.35">
      <c r="A1141">
        <v>11140</v>
      </c>
      <c r="B1141">
        <v>37</v>
      </c>
      <c r="C1141" t="s">
        <v>9</v>
      </c>
      <c r="D1141" t="s">
        <v>11</v>
      </c>
      <c r="E1141" s="2">
        <v>45341</v>
      </c>
      <c r="F1141" s="2">
        <v>45935</v>
      </c>
      <c r="G1141">
        <v>1700</v>
      </c>
      <c r="H1141" t="s">
        <v>15</v>
      </c>
      <c r="I1141" t="s">
        <v>17</v>
      </c>
      <c r="J1141">
        <f t="shared" si="69"/>
        <v>1700</v>
      </c>
      <c r="K1141" t="str">
        <f t="shared" si="68"/>
        <v>35+</v>
      </c>
      <c r="L1141" t="str">
        <f t="shared" ca="1" si="70"/>
        <v>High Risk</v>
      </c>
      <c r="M1141" t="str">
        <f t="shared" si="71"/>
        <v>Feb-2024</v>
      </c>
    </row>
    <row r="1142" spans="1:13" x14ac:dyDescent="0.35">
      <c r="A1142">
        <v>11141</v>
      </c>
      <c r="B1142">
        <v>43</v>
      </c>
      <c r="C1142" t="s">
        <v>9</v>
      </c>
      <c r="D1142" t="s">
        <v>11</v>
      </c>
      <c r="E1142" s="2">
        <v>45772</v>
      </c>
      <c r="F1142" s="2">
        <v>46008</v>
      </c>
      <c r="G1142">
        <v>1200</v>
      </c>
      <c r="H1142" t="s">
        <v>14</v>
      </c>
      <c r="I1142" t="s">
        <v>16</v>
      </c>
      <c r="J1142">
        <f t="shared" si="69"/>
        <v>1200</v>
      </c>
      <c r="K1142" t="str">
        <f t="shared" si="68"/>
        <v>35+</v>
      </c>
      <c r="L1142" t="str">
        <f t="shared" ca="1" si="70"/>
        <v>Safe</v>
      </c>
      <c r="M1142" t="str">
        <f t="shared" si="71"/>
        <v>Apr-2025</v>
      </c>
    </row>
    <row r="1143" spans="1:13" x14ac:dyDescent="0.35">
      <c r="A1143">
        <v>11142</v>
      </c>
      <c r="B1143">
        <v>19</v>
      </c>
      <c r="C1143" t="s">
        <v>9</v>
      </c>
      <c r="D1143" t="s">
        <v>11</v>
      </c>
      <c r="E1143" s="2">
        <v>45969</v>
      </c>
      <c r="F1143" s="2">
        <v>46026</v>
      </c>
      <c r="G1143">
        <v>1700</v>
      </c>
      <c r="H1143" t="s">
        <v>15</v>
      </c>
      <c r="I1143" t="s">
        <v>16</v>
      </c>
      <c r="J1143">
        <f t="shared" si="69"/>
        <v>1700</v>
      </c>
      <c r="K1143" t="str">
        <f t="shared" si="68"/>
        <v>18-24</v>
      </c>
      <c r="L1143" t="str">
        <f t="shared" ca="1" si="70"/>
        <v>Safe</v>
      </c>
      <c r="M1143" t="str">
        <f t="shared" si="71"/>
        <v>Nov-2025</v>
      </c>
    </row>
    <row r="1144" spans="1:13" x14ac:dyDescent="0.35">
      <c r="A1144">
        <v>11143</v>
      </c>
      <c r="B1144">
        <v>44</v>
      </c>
      <c r="C1144" t="s">
        <v>9</v>
      </c>
      <c r="D1144" t="s">
        <v>11</v>
      </c>
      <c r="E1144" s="2">
        <v>45424</v>
      </c>
      <c r="F1144" s="2">
        <v>46015</v>
      </c>
      <c r="G1144">
        <v>1700</v>
      </c>
      <c r="H1144" t="s">
        <v>15</v>
      </c>
      <c r="I1144" t="s">
        <v>16</v>
      </c>
      <c r="J1144">
        <f t="shared" si="69"/>
        <v>1700</v>
      </c>
      <c r="K1144" t="str">
        <f t="shared" si="68"/>
        <v>35+</v>
      </c>
      <c r="L1144" t="str">
        <f t="shared" ca="1" si="70"/>
        <v>Safe</v>
      </c>
      <c r="M1144" t="str">
        <f t="shared" si="71"/>
        <v>May-2024</v>
      </c>
    </row>
    <row r="1145" spans="1:13" x14ac:dyDescent="0.35">
      <c r="A1145">
        <v>11144</v>
      </c>
      <c r="B1145">
        <v>41</v>
      </c>
      <c r="C1145" t="s">
        <v>9</v>
      </c>
      <c r="D1145" t="s">
        <v>13</v>
      </c>
      <c r="E1145" s="2">
        <v>45901</v>
      </c>
      <c r="F1145" s="2">
        <v>45987</v>
      </c>
      <c r="G1145">
        <v>1000</v>
      </c>
      <c r="H1145" t="s">
        <v>14</v>
      </c>
      <c r="I1145" t="s">
        <v>17</v>
      </c>
      <c r="J1145">
        <f t="shared" si="69"/>
        <v>3000</v>
      </c>
      <c r="K1145" t="str">
        <f t="shared" si="68"/>
        <v>35+</v>
      </c>
      <c r="L1145" t="str">
        <f t="shared" ca="1" si="70"/>
        <v>High Risk</v>
      </c>
      <c r="M1145" t="str">
        <f t="shared" si="71"/>
        <v>Sep-2025</v>
      </c>
    </row>
    <row r="1146" spans="1:13" x14ac:dyDescent="0.35">
      <c r="A1146">
        <v>11145</v>
      </c>
      <c r="B1146">
        <v>44</v>
      </c>
      <c r="C1146" t="s">
        <v>9</v>
      </c>
      <c r="D1146" t="s">
        <v>13</v>
      </c>
      <c r="E1146" s="2">
        <v>45135</v>
      </c>
      <c r="F1146" s="2">
        <v>46032</v>
      </c>
      <c r="G1146">
        <v>1000</v>
      </c>
      <c r="H1146" t="s">
        <v>14</v>
      </c>
      <c r="I1146" t="s">
        <v>16</v>
      </c>
      <c r="J1146">
        <f t="shared" si="69"/>
        <v>3000</v>
      </c>
      <c r="K1146" t="str">
        <f t="shared" si="68"/>
        <v>35+</v>
      </c>
      <c r="L1146" t="str">
        <f t="shared" ca="1" si="70"/>
        <v>Safe</v>
      </c>
      <c r="M1146" t="str">
        <f t="shared" si="71"/>
        <v>Jul-2023</v>
      </c>
    </row>
    <row r="1147" spans="1:13" x14ac:dyDescent="0.35">
      <c r="A1147">
        <v>11146</v>
      </c>
      <c r="B1147">
        <v>30</v>
      </c>
      <c r="C1147" t="s">
        <v>9</v>
      </c>
      <c r="D1147" t="s">
        <v>13</v>
      </c>
      <c r="E1147" s="2">
        <v>45415</v>
      </c>
      <c r="F1147" s="2">
        <v>46032</v>
      </c>
      <c r="G1147">
        <v>1000</v>
      </c>
      <c r="H1147" t="s">
        <v>14</v>
      </c>
      <c r="I1147" t="s">
        <v>16</v>
      </c>
      <c r="J1147">
        <f t="shared" si="69"/>
        <v>3000</v>
      </c>
      <c r="K1147" t="str">
        <f t="shared" si="68"/>
        <v>25-34</v>
      </c>
      <c r="L1147" t="str">
        <f t="shared" ca="1" si="70"/>
        <v>Safe</v>
      </c>
      <c r="M1147" t="str">
        <f t="shared" si="71"/>
        <v>May-2024</v>
      </c>
    </row>
    <row r="1148" spans="1:13" x14ac:dyDescent="0.35">
      <c r="A1148">
        <v>11147</v>
      </c>
      <c r="B1148">
        <v>23</v>
      </c>
      <c r="C1148" t="s">
        <v>9</v>
      </c>
      <c r="D1148" t="s">
        <v>11</v>
      </c>
      <c r="E1148" s="2">
        <v>45997</v>
      </c>
      <c r="F1148" s="2">
        <v>46015</v>
      </c>
      <c r="G1148">
        <v>1200</v>
      </c>
      <c r="H1148" t="s">
        <v>14</v>
      </c>
      <c r="I1148" t="s">
        <v>16</v>
      </c>
      <c r="J1148">
        <f t="shared" si="69"/>
        <v>1200</v>
      </c>
      <c r="K1148" t="str">
        <f t="shared" si="68"/>
        <v>18-24</v>
      </c>
      <c r="L1148" t="str">
        <f t="shared" ca="1" si="70"/>
        <v>Safe</v>
      </c>
      <c r="M1148" t="str">
        <f t="shared" si="71"/>
        <v>Dec-2025</v>
      </c>
    </row>
    <row r="1149" spans="1:13" x14ac:dyDescent="0.35">
      <c r="A1149">
        <v>11148</v>
      </c>
      <c r="B1149">
        <v>22</v>
      </c>
      <c r="C1149" t="s">
        <v>10</v>
      </c>
      <c r="D1149" t="s">
        <v>11</v>
      </c>
      <c r="E1149" s="2">
        <v>45629</v>
      </c>
      <c r="F1149" s="2">
        <v>46015</v>
      </c>
      <c r="G1149">
        <v>1200</v>
      </c>
      <c r="H1149" t="s">
        <v>14</v>
      </c>
      <c r="I1149" t="s">
        <v>16</v>
      </c>
      <c r="J1149">
        <f t="shared" si="69"/>
        <v>1200</v>
      </c>
      <c r="K1149" t="str">
        <f t="shared" si="68"/>
        <v>18-24</v>
      </c>
      <c r="L1149" t="str">
        <f t="shared" ca="1" si="70"/>
        <v>Safe</v>
      </c>
      <c r="M1149" t="str">
        <f t="shared" si="71"/>
        <v>Dec-2024</v>
      </c>
    </row>
    <row r="1150" spans="1:13" x14ac:dyDescent="0.35">
      <c r="A1150">
        <v>11149</v>
      </c>
      <c r="B1150">
        <v>42</v>
      </c>
      <c r="C1150" t="s">
        <v>9</v>
      </c>
      <c r="D1150" t="s">
        <v>12</v>
      </c>
      <c r="E1150" s="2">
        <v>45814</v>
      </c>
      <c r="F1150" s="2">
        <v>46018</v>
      </c>
      <c r="G1150">
        <v>1300</v>
      </c>
      <c r="H1150" t="s">
        <v>15</v>
      </c>
      <c r="I1150" t="s">
        <v>16</v>
      </c>
      <c r="J1150">
        <f t="shared" si="69"/>
        <v>15600</v>
      </c>
      <c r="K1150" t="str">
        <f t="shared" si="68"/>
        <v>35+</v>
      </c>
      <c r="L1150" t="str">
        <f t="shared" ca="1" si="70"/>
        <v>Safe</v>
      </c>
      <c r="M1150" t="str">
        <f t="shared" si="71"/>
        <v>Jun-2025</v>
      </c>
    </row>
    <row r="1151" spans="1:13" x14ac:dyDescent="0.35">
      <c r="A1151">
        <v>11150</v>
      </c>
      <c r="B1151">
        <v>18</v>
      </c>
      <c r="C1151" t="s">
        <v>10</v>
      </c>
      <c r="D1151" t="s">
        <v>13</v>
      </c>
      <c r="E1151" s="2">
        <v>45699</v>
      </c>
      <c r="F1151" s="2">
        <v>45947</v>
      </c>
      <c r="G1151">
        <v>1000</v>
      </c>
      <c r="H1151" t="s">
        <v>14</v>
      </c>
      <c r="I1151" t="s">
        <v>17</v>
      </c>
      <c r="J1151">
        <f t="shared" si="69"/>
        <v>3000</v>
      </c>
      <c r="K1151" t="str">
        <f t="shared" si="68"/>
        <v>18-24</v>
      </c>
      <c r="L1151" t="str">
        <f t="shared" ca="1" si="70"/>
        <v>High Risk</v>
      </c>
      <c r="M1151" t="str">
        <f t="shared" si="71"/>
        <v>Feb-2025</v>
      </c>
    </row>
    <row r="1152" spans="1:13" x14ac:dyDescent="0.35">
      <c r="A1152">
        <v>11151</v>
      </c>
      <c r="B1152">
        <v>38</v>
      </c>
      <c r="C1152" t="s">
        <v>10</v>
      </c>
      <c r="D1152" t="s">
        <v>12</v>
      </c>
      <c r="E1152" s="2">
        <v>45924</v>
      </c>
      <c r="F1152" s="2">
        <v>46011</v>
      </c>
      <c r="G1152">
        <v>800</v>
      </c>
      <c r="H1152" t="s">
        <v>14</v>
      </c>
      <c r="I1152" t="s">
        <v>16</v>
      </c>
      <c r="J1152">
        <f t="shared" si="69"/>
        <v>9600</v>
      </c>
      <c r="K1152" t="str">
        <f t="shared" si="68"/>
        <v>35+</v>
      </c>
      <c r="L1152" t="str">
        <f t="shared" ca="1" si="70"/>
        <v>Safe</v>
      </c>
      <c r="M1152" t="str">
        <f t="shared" si="71"/>
        <v>Sep-2025</v>
      </c>
    </row>
    <row r="1153" spans="1:13" x14ac:dyDescent="0.35">
      <c r="A1153">
        <v>11152</v>
      </c>
      <c r="B1153">
        <v>39</v>
      </c>
      <c r="C1153" t="s">
        <v>9</v>
      </c>
      <c r="D1153" t="s">
        <v>11</v>
      </c>
      <c r="E1153" s="2">
        <v>45531</v>
      </c>
      <c r="F1153" s="2">
        <v>46022</v>
      </c>
      <c r="G1153">
        <v>1200</v>
      </c>
      <c r="H1153" t="s">
        <v>14</v>
      </c>
      <c r="I1153" t="s">
        <v>16</v>
      </c>
      <c r="J1153">
        <f t="shared" si="69"/>
        <v>1200</v>
      </c>
      <c r="K1153" t="str">
        <f t="shared" si="68"/>
        <v>35+</v>
      </c>
      <c r="L1153" t="str">
        <f t="shared" ca="1" si="70"/>
        <v>Safe</v>
      </c>
      <c r="M1153" t="str">
        <f t="shared" si="71"/>
        <v>Aug-2024</v>
      </c>
    </row>
    <row r="1154" spans="1:13" x14ac:dyDescent="0.35">
      <c r="A1154">
        <v>11153</v>
      </c>
      <c r="B1154">
        <v>38</v>
      </c>
      <c r="C1154" t="s">
        <v>9</v>
      </c>
      <c r="D1154" t="s">
        <v>13</v>
      </c>
      <c r="E1154" s="2">
        <v>45498</v>
      </c>
      <c r="F1154" s="2">
        <v>46023</v>
      </c>
      <c r="G1154">
        <v>1500</v>
      </c>
      <c r="H1154" t="s">
        <v>15</v>
      </c>
      <c r="I1154" t="s">
        <v>16</v>
      </c>
      <c r="J1154">
        <f t="shared" si="69"/>
        <v>4500</v>
      </c>
      <c r="K1154" t="str">
        <f t="shared" ref="K1154:K1217" si="72">IF(B1154&lt;25,"18-24",IF(B1154&lt;35,"25-34","35+"))</f>
        <v>35+</v>
      </c>
      <c r="L1154" t="str">
        <f t="shared" ca="1" si="70"/>
        <v>Safe</v>
      </c>
      <c r="M1154" t="str">
        <f t="shared" si="71"/>
        <v>Jul-2024</v>
      </c>
    </row>
    <row r="1155" spans="1:13" x14ac:dyDescent="0.35">
      <c r="A1155">
        <v>11154</v>
      </c>
      <c r="B1155">
        <v>23</v>
      </c>
      <c r="C1155" t="s">
        <v>9</v>
      </c>
      <c r="D1155" t="s">
        <v>13</v>
      </c>
      <c r="E1155" s="2">
        <v>45620</v>
      </c>
      <c r="F1155" s="2">
        <v>45954</v>
      </c>
      <c r="G1155">
        <v>1000</v>
      </c>
      <c r="H1155" t="s">
        <v>14</v>
      </c>
      <c r="I1155" t="s">
        <v>17</v>
      </c>
      <c r="J1155">
        <f t="shared" ref="J1155:J1218" si="73">IF(D1155="Monthly",G1155,IF(D1155="Quarterly",G1155*3,G1155*12))</f>
        <v>3000</v>
      </c>
      <c r="K1155" t="str">
        <f t="shared" si="72"/>
        <v>18-24</v>
      </c>
      <c r="L1155" t="str">
        <f t="shared" ref="L1155:L1218" ca="1" si="74">IF(F1155&lt;TODAY()-30,"High Risk","Safe")</f>
        <v>High Risk</v>
      </c>
      <c r="M1155" t="str">
        <f t="shared" ref="M1155:M1218" si="75">TEXT(E1155,"mmm-yyyy")</f>
        <v>Nov-2024</v>
      </c>
    </row>
    <row r="1156" spans="1:13" x14ac:dyDescent="0.35">
      <c r="A1156">
        <v>11155</v>
      </c>
      <c r="B1156">
        <v>23</v>
      </c>
      <c r="C1156" t="s">
        <v>9</v>
      </c>
      <c r="D1156" t="s">
        <v>11</v>
      </c>
      <c r="E1156" s="2">
        <v>45656</v>
      </c>
      <c r="F1156" s="2">
        <v>46015</v>
      </c>
      <c r="G1156">
        <v>1700</v>
      </c>
      <c r="H1156" t="s">
        <v>15</v>
      </c>
      <c r="I1156" t="s">
        <v>16</v>
      </c>
      <c r="J1156">
        <f t="shared" si="73"/>
        <v>1700</v>
      </c>
      <c r="K1156" t="str">
        <f t="shared" si="72"/>
        <v>18-24</v>
      </c>
      <c r="L1156" t="str">
        <f t="shared" ca="1" si="74"/>
        <v>Safe</v>
      </c>
      <c r="M1156" t="str">
        <f t="shared" si="75"/>
        <v>Dec-2024</v>
      </c>
    </row>
    <row r="1157" spans="1:13" x14ac:dyDescent="0.35">
      <c r="A1157">
        <v>11156</v>
      </c>
      <c r="B1157">
        <v>40</v>
      </c>
      <c r="C1157" t="s">
        <v>9</v>
      </c>
      <c r="D1157" t="s">
        <v>13</v>
      </c>
      <c r="E1157" s="2">
        <v>45288</v>
      </c>
      <c r="F1157" s="2">
        <v>46020</v>
      </c>
      <c r="G1157">
        <v>1000</v>
      </c>
      <c r="H1157" t="s">
        <v>14</v>
      </c>
      <c r="I1157" t="s">
        <v>16</v>
      </c>
      <c r="J1157">
        <f t="shared" si="73"/>
        <v>3000</v>
      </c>
      <c r="K1157" t="str">
        <f t="shared" si="72"/>
        <v>35+</v>
      </c>
      <c r="L1157" t="str">
        <f t="shared" ca="1" si="74"/>
        <v>Safe</v>
      </c>
      <c r="M1157" t="str">
        <f t="shared" si="75"/>
        <v>Dec-2023</v>
      </c>
    </row>
    <row r="1158" spans="1:13" x14ac:dyDescent="0.35">
      <c r="A1158">
        <v>11157</v>
      </c>
      <c r="B1158">
        <v>33</v>
      </c>
      <c r="C1158" t="s">
        <v>9</v>
      </c>
      <c r="D1158" t="s">
        <v>13</v>
      </c>
      <c r="E1158" s="2">
        <v>45942</v>
      </c>
      <c r="F1158" s="2">
        <v>46014</v>
      </c>
      <c r="G1158">
        <v>1500</v>
      </c>
      <c r="H1158" t="s">
        <v>15</v>
      </c>
      <c r="I1158" t="s">
        <v>16</v>
      </c>
      <c r="J1158">
        <f t="shared" si="73"/>
        <v>4500</v>
      </c>
      <c r="K1158" t="str">
        <f t="shared" si="72"/>
        <v>25-34</v>
      </c>
      <c r="L1158" t="str">
        <f t="shared" ca="1" si="74"/>
        <v>Safe</v>
      </c>
      <c r="M1158" t="str">
        <f t="shared" si="75"/>
        <v>Oct-2025</v>
      </c>
    </row>
    <row r="1159" spans="1:13" x14ac:dyDescent="0.35">
      <c r="A1159">
        <v>11158</v>
      </c>
      <c r="B1159">
        <v>21</v>
      </c>
      <c r="C1159" t="s">
        <v>9</v>
      </c>
      <c r="D1159" t="s">
        <v>11</v>
      </c>
      <c r="E1159" s="2">
        <v>45349</v>
      </c>
      <c r="F1159" s="2">
        <v>46032</v>
      </c>
      <c r="G1159">
        <v>1200</v>
      </c>
      <c r="H1159" t="s">
        <v>14</v>
      </c>
      <c r="I1159" t="s">
        <v>16</v>
      </c>
      <c r="J1159">
        <f t="shared" si="73"/>
        <v>1200</v>
      </c>
      <c r="K1159" t="str">
        <f t="shared" si="72"/>
        <v>18-24</v>
      </c>
      <c r="L1159" t="str">
        <f t="shared" ca="1" si="74"/>
        <v>Safe</v>
      </c>
      <c r="M1159" t="str">
        <f t="shared" si="75"/>
        <v>Feb-2024</v>
      </c>
    </row>
    <row r="1160" spans="1:13" x14ac:dyDescent="0.35">
      <c r="A1160">
        <v>11159</v>
      </c>
      <c r="B1160">
        <v>28</v>
      </c>
      <c r="C1160" t="s">
        <v>10</v>
      </c>
      <c r="D1160" t="s">
        <v>11</v>
      </c>
      <c r="E1160" s="2">
        <v>45945</v>
      </c>
      <c r="F1160" s="2">
        <v>46012</v>
      </c>
      <c r="G1160">
        <v>1200</v>
      </c>
      <c r="H1160" t="s">
        <v>14</v>
      </c>
      <c r="I1160" t="s">
        <v>16</v>
      </c>
      <c r="J1160">
        <f t="shared" si="73"/>
        <v>1200</v>
      </c>
      <c r="K1160" t="str">
        <f t="shared" si="72"/>
        <v>25-34</v>
      </c>
      <c r="L1160" t="str">
        <f t="shared" ca="1" si="74"/>
        <v>Safe</v>
      </c>
      <c r="M1160" t="str">
        <f t="shared" si="75"/>
        <v>Oct-2025</v>
      </c>
    </row>
    <row r="1161" spans="1:13" x14ac:dyDescent="0.35">
      <c r="A1161">
        <v>11160</v>
      </c>
      <c r="B1161">
        <v>41</v>
      </c>
      <c r="C1161" t="s">
        <v>9</v>
      </c>
      <c r="D1161" t="s">
        <v>12</v>
      </c>
      <c r="E1161" s="2">
        <v>45736</v>
      </c>
      <c r="F1161" s="2">
        <v>46022</v>
      </c>
      <c r="G1161">
        <v>1300</v>
      </c>
      <c r="H1161" t="s">
        <v>15</v>
      </c>
      <c r="I1161" t="s">
        <v>16</v>
      </c>
      <c r="J1161">
        <f t="shared" si="73"/>
        <v>15600</v>
      </c>
      <c r="K1161" t="str">
        <f t="shared" si="72"/>
        <v>35+</v>
      </c>
      <c r="L1161" t="str">
        <f t="shared" ca="1" si="74"/>
        <v>Safe</v>
      </c>
      <c r="M1161" t="str">
        <f t="shared" si="75"/>
        <v>Mar-2025</v>
      </c>
    </row>
    <row r="1162" spans="1:13" x14ac:dyDescent="0.35">
      <c r="A1162">
        <v>11161</v>
      </c>
      <c r="B1162">
        <v>40</v>
      </c>
      <c r="C1162" t="s">
        <v>10</v>
      </c>
      <c r="D1162" t="s">
        <v>12</v>
      </c>
      <c r="E1162" s="2">
        <v>45579</v>
      </c>
      <c r="F1162" s="2">
        <v>46019</v>
      </c>
      <c r="G1162">
        <v>800</v>
      </c>
      <c r="H1162" t="s">
        <v>14</v>
      </c>
      <c r="I1162" t="s">
        <v>16</v>
      </c>
      <c r="J1162">
        <f t="shared" si="73"/>
        <v>9600</v>
      </c>
      <c r="K1162" t="str">
        <f t="shared" si="72"/>
        <v>35+</v>
      </c>
      <c r="L1162" t="str">
        <f t="shared" ca="1" si="74"/>
        <v>Safe</v>
      </c>
      <c r="M1162" t="str">
        <f t="shared" si="75"/>
        <v>Oct-2024</v>
      </c>
    </row>
    <row r="1163" spans="1:13" x14ac:dyDescent="0.35">
      <c r="A1163">
        <v>11162</v>
      </c>
      <c r="B1163">
        <v>26</v>
      </c>
      <c r="C1163" t="s">
        <v>9</v>
      </c>
      <c r="D1163" t="s">
        <v>11</v>
      </c>
      <c r="E1163" s="2">
        <v>45611</v>
      </c>
      <c r="F1163" s="2">
        <v>45978</v>
      </c>
      <c r="G1163">
        <v>1200</v>
      </c>
      <c r="H1163" t="s">
        <v>14</v>
      </c>
      <c r="I1163" t="s">
        <v>17</v>
      </c>
      <c r="J1163">
        <f t="shared" si="73"/>
        <v>1200</v>
      </c>
      <c r="K1163" t="str">
        <f t="shared" si="72"/>
        <v>25-34</v>
      </c>
      <c r="L1163" t="str">
        <f t="shared" ca="1" si="74"/>
        <v>High Risk</v>
      </c>
      <c r="M1163" t="str">
        <f t="shared" si="75"/>
        <v>Nov-2024</v>
      </c>
    </row>
    <row r="1164" spans="1:13" x14ac:dyDescent="0.35">
      <c r="A1164">
        <v>11163</v>
      </c>
      <c r="B1164">
        <v>40</v>
      </c>
      <c r="C1164" t="s">
        <v>10</v>
      </c>
      <c r="D1164" t="s">
        <v>11</v>
      </c>
      <c r="E1164" s="2">
        <v>45440</v>
      </c>
      <c r="F1164" s="2">
        <v>46021</v>
      </c>
      <c r="G1164">
        <v>1200</v>
      </c>
      <c r="H1164" t="s">
        <v>14</v>
      </c>
      <c r="I1164" t="s">
        <v>16</v>
      </c>
      <c r="J1164">
        <f t="shared" si="73"/>
        <v>1200</v>
      </c>
      <c r="K1164" t="str">
        <f t="shared" si="72"/>
        <v>35+</v>
      </c>
      <c r="L1164" t="str">
        <f t="shared" ca="1" si="74"/>
        <v>Safe</v>
      </c>
      <c r="M1164" t="str">
        <f t="shared" si="75"/>
        <v>May-2024</v>
      </c>
    </row>
    <row r="1165" spans="1:13" x14ac:dyDescent="0.35">
      <c r="A1165">
        <v>11164</v>
      </c>
      <c r="B1165">
        <v>20</v>
      </c>
      <c r="C1165" t="s">
        <v>9</v>
      </c>
      <c r="D1165" t="s">
        <v>11</v>
      </c>
      <c r="E1165" s="2">
        <v>45505</v>
      </c>
      <c r="F1165" s="2">
        <v>46021</v>
      </c>
      <c r="G1165">
        <v>1200</v>
      </c>
      <c r="H1165" t="s">
        <v>14</v>
      </c>
      <c r="I1165" t="s">
        <v>16</v>
      </c>
      <c r="J1165">
        <f t="shared" si="73"/>
        <v>1200</v>
      </c>
      <c r="K1165" t="str">
        <f t="shared" si="72"/>
        <v>18-24</v>
      </c>
      <c r="L1165" t="str">
        <f t="shared" ca="1" si="74"/>
        <v>Safe</v>
      </c>
      <c r="M1165" t="str">
        <f t="shared" si="75"/>
        <v>Aug-2024</v>
      </c>
    </row>
    <row r="1166" spans="1:13" x14ac:dyDescent="0.35">
      <c r="A1166">
        <v>11165</v>
      </c>
      <c r="B1166">
        <v>36</v>
      </c>
      <c r="C1166" t="s">
        <v>9</v>
      </c>
      <c r="D1166" t="s">
        <v>13</v>
      </c>
      <c r="E1166" s="2">
        <v>45574</v>
      </c>
      <c r="F1166" s="2">
        <v>46014</v>
      </c>
      <c r="G1166">
        <v>1000</v>
      </c>
      <c r="H1166" t="s">
        <v>14</v>
      </c>
      <c r="I1166" t="s">
        <v>16</v>
      </c>
      <c r="J1166">
        <f t="shared" si="73"/>
        <v>3000</v>
      </c>
      <c r="K1166" t="str">
        <f t="shared" si="72"/>
        <v>35+</v>
      </c>
      <c r="L1166" t="str">
        <f t="shared" ca="1" si="74"/>
        <v>Safe</v>
      </c>
      <c r="M1166" t="str">
        <f t="shared" si="75"/>
        <v>Oct-2024</v>
      </c>
    </row>
    <row r="1167" spans="1:13" x14ac:dyDescent="0.35">
      <c r="A1167">
        <v>11166</v>
      </c>
      <c r="B1167">
        <v>25</v>
      </c>
      <c r="C1167" t="s">
        <v>9</v>
      </c>
      <c r="D1167" t="s">
        <v>11</v>
      </c>
      <c r="E1167" s="2">
        <v>45430</v>
      </c>
      <c r="F1167" s="2">
        <v>45918</v>
      </c>
      <c r="G1167">
        <v>1200</v>
      </c>
      <c r="H1167" t="s">
        <v>14</v>
      </c>
      <c r="I1167" t="s">
        <v>17</v>
      </c>
      <c r="J1167">
        <f t="shared" si="73"/>
        <v>1200</v>
      </c>
      <c r="K1167" t="str">
        <f t="shared" si="72"/>
        <v>25-34</v>
      </c>
      <c r="L1167" t="str">
        <f t="shared" ca="1" si="74"/>
        <v>High Risk</v>
      </c>
      <c r="M1167" t="str">
        <f t="shared" si="75"/>
        <v>May-2024</v>
      </c>
    </row>
    <row r="1168" spans="1:13" x14ac:dyDescent="0.35">
      <c r="A1168">
        <v>11167</v>
      </c>
      <c r="B1168">
        <v>22</v>
      </c>
      <c r="C1168" t="s">
        <v>9</v>
      </c>
      <c r="D1168" t="s">
        <v>12</v>
      </c>
      <c r="E1168" s="2">
        <v>45336</v>
      </c>
      <c r="F1168" s="2">
        <v>45942</v>
      </c>
      <c r="G1168">
        <v>1300</v>
      </c>
      <c r="H1168" t="s">
        <v>15</v>
      </c>
      <c r="I1168" t="s">
        <v>17</v>
      </c>
      <c r="J1168">
        <f t="shared" si="73"/>
        <v>15600</v>
      </c>
      <c r="K1168" t="str">
        <f t="shared" si="72"/>
        <v>18-24</v>
      </c>
      <c r="L1168" t="str">
        <f t="shared" ca="1" si="74"/>
        <v>High Risk</v>
      </c>
      <c r="M1168" t="str">
        <f t="shared" si="75"/>
        <v>Feb-2024</v>
      </c>
    </row>
    <row r="1169" spans="1:13" x14ac:dyDescent="0.35">
      <c r="A1169">
        <v>11168</v>
      </c>
      <c r="B1169">
        <v>21</v>
      </c>
      <c r="C1169" t="s">
        <v>9</v>
      </c>
      <c r="D1169" t="s">
        <v>11</v>
      </c>
      <c r="E1169" s="2">
        <v>45264</v>
      </c>
      <c r="F1169" s="2">
        <v>46015</v>
      </c>
      <c r="G1169">
        <v>1700</v>
      </c>
      <c r="H1169" t="s">
        <v>15</v>
      </c>
      <c r="I1169" t="s">
        <v>16</v>
      </c>
      <c r="J1169">
        <f t="shared" si="73"/>
        <v>1700</v>
      </c>
      <c r="K1169" t="str">
        <f t="shared" si="72"/>
        <v>18-24</v>
      </c>
      <c r="L1169" t="str">
        <f t="shared" ca="1" si="74"/>
        <v>Safe</v>
      </c>
      <c r="M1169" t="str">
        <f t="shared" si="75"/>
        <v>Dec-2023</v>
      </c>
    </row>
    <row r="1170" spans="1:13" x14ac:dyDescent="0.35">
      <c r="A1170">
        <v>11169</v>
      </c>
      <c r="B1170">
        <v>41</v>
      </c>
      <c r="C1170" t="s">
        <v>10</v>
      </c>
      <c r="D1170" t="s">
        <v>11</v>
      </c>
      <c r="E1170" s="2">
        <v>45388</v>
      </c>
      <c r="F1170" s="2">
        <v>46022</v>
      </c>
      <c r="G1170">
        <v>1700</v>
      </c>
      <c r="H1170" t="s">
        <v>15</v>
      </c>
      <c r="I1170" t="s">
        <v>16</v>
      </c>
      <c r="J1170">
        <f t="shared" si="73"/>
        <v>1700</v>
      </c>
      <c r="K1170" t="str">
        <f t="shared" si="72"/>
        <v>35+</v>
      </c>
      <c r="L1170" t="str">
        <f t="shared" ca="1" si="74"/>
        <v>Safe</v>
      </c>
      <c r="M1170" t="str">
        <f t="shared" si="75"/>
        <v>Apr-2024</v>
      </c>
    </row>
    <row r="1171" spans="1:13" x14ac:dyDescent="0.35">
      <c r="A1171">
        <v>11170</v>
      </c>
      <c r="B1171">
        <v>23</v>
      </c>
      <c r="C1171" t="s">
        <v>9</v>
      </c>
      <c r="D1171" t="s">
        <v>13</v>
      </c>
      <c r="E1171" s="2">
        <v>45944</v>
      </c>
      <c r="F1171" s="2">
        <v>46011</v>
      </c>
      <c r="G1171">
        <v>1000</v>
      </c>
      <c r="H1171" t="s">
        <v>14</v>
      </c>
      <c r="I1171" t="s">
        <v>16</v>
      </c>
      <c r="J1171">
        <f t="shared" si="73"/>
        <v>3000</v>
      </c>
      <c r="K1171" t="str">
        <f t="shared" si="72"/>
        <v>18-24</v>
      </c>
      <c r="L1171" t="str">
        <f t="shared" ca="1" si="74"/>
        <v>Safe</v>
      </c>
      <c r="M1171" t="str">
        <f t="shared" si="75"/>
        <v>Oct-2025</v>
      </c>
    </row>
    <row r="1172" spans="1:13" x14ac:dyDescent="0.35">
      <c r="A1172">
        <v>11171</v>
      </c>
      <c r="B1172">
        <v>19</v>
      </c>
      <c r="C1172" t="s">
        <v>9</v>
      </c>
      <c r="D1172" t="s">
        <v>12</v>
      </c>
      <c r="E1172" s="2">
        <v>45518</v>
      </c>
      <c r="F1172" s="2">
        <v>46022</v>
      </c>
      <c r="G1172">
        <v>1300</v>
      </c>
      <c r="H1172" t="s">
        <v>15</v>
      </c>
      <c r="I1172" t="s">
        <v>16</v>
      </c>
      <c r="J1172">
        <f t="shared" si="73"/>
        <v>15600</v>
      </c>
      <c r="K1172" t="str">
        <f t="shared" si="72"/>
        <v>18-24</v>
      </c>
      <c r="L1172" t="str">
        <f t="shared" ca="1" si="74"/>
        <v>Safe</v>
      </c>
      <c r="M1172" t="str">
        <f t="shared" si="75"/>
        <v>Aug-2024</v>
      </c>
    </row>
    <row r="1173" spans="1:13" x14ac:dyDescent="0.35">
      <c r="A1173">
        <v>11172</v>
      </c>
      <c r="B1173">
        <v>37</v>
      </c>
      <c r="C1173" t="s">
        <v>10</v>
      </c>
      <c r="D1173" t="s">
        <v>13</v>
      </c>
      <c r="E1173" s="2">
        <v>45198</v>
      </c>
      <c r="F1173" s="2">
        <v>46013</v>
      </c>
      <c r="G1173">
        <v>1500</v>
      </c>
      <c r="H1173" t="s">
        <v>15</v>
      </c>
      <c r="I1173" t="s">
        <v>16</v>
      </c>
      <c r="J1173">
        <f t="shared" si="73"/>
        <v>4500</v>
      </c>
      <c r="K1173" t="str">
        <f t="shared" si="72"/>
        <v>35+</v>
      </c>
      <c r="L1173" t="str">
        <f t="shared" ca="1" si="74"/>
        <v>Safe</v>
      </c>
      <c r="M1173" t="str">
        <f t="shared" si="75"/>
        <v>Sep-2023</v>
      </c>
    </row>
    <row r="1174" spans="1:13" x14ac:dyDescent="0.35">
      <c r="A1174">
        <v>11173</v>
      </c>
      <c r="B1174">
        <v>45</v>
      </c>
      <c r="C1174" t="s">
        <v>10</v>
      </c>
      <c r="D1174" t="s">
        <v>11</v>
      </c>
      <c r="E1174" s="2">
        <v>45719</v>
      </c>
      <c r="F1174" s="2">
        <v>46023</v>
      </c>
      <c r="G1174">
        <v>1200</v>
      </c>
      <c r="H1174" t="s">
        <v>14</v>
      </c>
      <c r="I1174" t="s">
        <v>16</v>
      </c>
      <c r="J1174">
        <f t="shared" si="73"/>
        <v>1200</v>
      </c>
      <c r="K1174" t="str">
        <f t="shared" si="72"/>
        <v>35+</v>
      </c>
      <c r="L1174" t="str">
        <f t="shared" ca="1" si="74"/>
        <v>Safe</v>
      </c>
      <c r="M1174" t="str">
        <f t="shared" si="75"/>
        <v>Mar-2025</v>
      </c>
    </row>
    <row r="1175" spans="1:13" x14ac:dyDescent="0.35">
      <c r="A1175">
        <v>11174</v>
      </c>
      <c r="B1175">
        <v>28</v>
      </c>
      <c r="C1175" t="s">
        <v>9</v>
      </c>
      <c r="D1175" t="s">
        <v>12</v>
      </c>
      <c r="E1175" s="2">
        <v>45443</v>
      </c>
      <c r="F1175" s="2">
        <v>46014</v>
      </c>
      <c r="G1175">
        <v>800</v>
      </c>
      <c r="H1175" t="s">
        <v>14</v>
      </c>
      <c r="I1175" t="s">
        <v>16</v>
      </c>
      <c r="J1175">
        <f t="shared" si="73"/>
        <v>9600</v>
      </c>
      <c r="K1175" t="str">
        <f t="shared" si="72"/>
        <v>25-34</v>
      </c>
      <c r="L1175" t="str">
        <f t="shared" ca="1" si="74"/>
        <v>Safe</v>
      </c>
      <c r="M1175" t="str">
        <f t="shared" si="75"/>
        <v>May-2024</v>
      </c>
    </row>
    <row r="1176" spans="1:13" x14ac:dyDescent="0.35">
      <c r="A1176">
        <v>11175</v>
      </c>
      <c r="B1176">
        <v>21</v>
      </c>
      <c r="C1176" t="s">
        <v>9</v>
      </c>
      <c r="D1176" t="s">
        <v>11</v>
      </c>
      <c r="E1176" s="2">
        <v>45450</v>
      </c>
      <c r="F1176" s="2">
        <v>46016</v>
      </c>
      <c r="G1176">
        <v>1200</v>
      </c>
      <c r="H1176" t="s">
        <v>14</v>
      </c>
      <c r="I1176" t="s">
        <v>16</v>
      </c>
      <c r="J1176">
        <f t="shared" si="73"/>
        <v>1200</v>
      </c>
      <c r="K1176" t="str">
        <f t="shared" si="72"/>
        <v>18-24</v>
      </c>
      <c r="L1176" t="str">
        <f t="shared" ca="1" si="74"/>
        <v>Safe</v>
      </c>
      <c r="M1176" t="str">
        <f t="shared" si="75"/>
        <v>Jun-2024</v>
      </c>
    </row>
    <row r="1177" spans="1:13" x14ac:dyDescent="0.35">
      <c r="A1177">
        <v>11176</v>
      </c>
      <c r="B1177">
        <v>32</v>
      </c>
      <c r="C1177" t="s">
        <v>9</v>
      </c>
      <c r="D1177" t="s">
        <v>12</v>
      </c>
      <c r="E1177" s="2">
        <v>45382</v>
      </c>
      <c r="F1177" s="2">
        <v>46021</v>
      </c>
      <c r="G1177">
        <v>1300</v>
      </c>
      <c r="H1177" t="s">
        <v>15</v>
      </c>
      <c r="I1177" t="s">
        <v>16</v>
      </c>
      <c r="J1177">
        <f t="shared" si="73"/>
        <v>15600</v>
      </c>
      <c r="K1177" t="str">
        <f t="shared" si="72"/>
        <v>25-34</v>
      </c>
      <c r="L1177" t="str">
        <f t="shared" ca="1" si="74"/>
        <v>Safe</v>
      </c>
      <c r="M1177" t="str">
        <f t="shared" si="75"/>
        <v>Mar-2024</v>
      </c>
    </row>
    <row r="1178" spans="1:13" x14ac:dyDescent="0.35">
      <c r="A1178">
        <v>11177</v>
      </c>
      <c r="B1178">
        <v>23</v>
      </c>
      <c r="C1178" t="s">
        <v>9</v>
      </c>
      <c r="D1178" t="s">
        <v>11</v>
      </c>
      <c r="E1178" s="2">
        <v>45162</v>
      </c>
      <c r="F1178" s="2">
        <v>45983</v>
      </c>
      <c r="G1178">
        <v>1200</v>
      </c>
      <c r="H1178" t="s">
        <v>14</v>
      </c>
      <c r="I1178" t="s">
        <v>17</v>
      </c>
      <c r="J1178">
        <f t="shared" si="73"/>
        <v>1200</v>
      </c>
      <c r="K1178" t="str">
        <f t="shared" si="72"/>
        <v>18-24</v>
      </c>
      <c r="L1178" t="str">
        <f t="shared" ca="1" si="74"/>
        <v>High Risk</v>
      </c>
      <c r="M1178" t="str">
        <f t="shared" si="75"/>
        <v>Aug-2023</v>
      </c>
    </row>
    <row r="1179" spans="1:13" x14ac:dyDescent="0.35">
      <c r="A1179">
        <v>11178</v>
      </c>
      <c r="B1179">
        <v>39</v>
      </c>
      <c r="C1179" t="s">
        <v>10</v>
      </c>
      <c r="D1179" t="s">
        <v>12</v>
      </c>
      <c r="E1179" s="2">
        <v>45961</v>
      </c>
      <c r="F1179" s="2">
        <v>46016</v>
      </c>
      <c r="G1179">
        <v>800</v>
      </c>
      <c r="H1179" t="s">
        <v>14</v>
      </c>
      <c r="I1179" t="s">
        <v>16</v>
      </c>
      <c r="J1179">
        <f t="shared" si="73"/>
        <v>9600</v>
      </c>
      <c r="K1179" t="str">
        <f t="shared" si="72"/>
        <v>35+</v>
      </c>
      <c r="L1179" t="str">
        <f t="shared" ca="1" si="74"/>
        <v>Safe</v>
      </c>
      <c r="M1179" t="str">
        <f t="shared" si="75"/>
        <v>Oct-2025</v>
      </c>
    </row>
    <row r="1180" spans="1:13" x14ac:dyDescent="0.35">
      <c r="A1180">
        <v>11179</v>
      </c>
      <c r="B1180">
        <v>34</v>
      </c>
      <c r="C1180" t="s">
        <v>10</v>
      </c>
      <c r="D1180" t="s">
        <v>13</v>
      </c>
      <c r="E1180" s="2">
        <v>45342</v>
      </c>
      <c r="F1180" s="2">
        <v>46002</v>
      </c>
      <c r="G1180">
        <v>1000</v>
      </c>
      <c r="H1180" t="s">
        <v>14</v>
      </c>
      <c r="I1180" t="s">
        <v>17</v>
      </c>
      <c r="J1180">
        <f t="shared" si="73"/>
        <v>3000</v>
      </c>
      <c r="K1180" t="str">
        <f t="shared" si="72"/>
        <v>25-34</v>
      </c>
      <c r="L1180" t="str">
        <f t="shared" ca="1" si="74"/>
        <v>High Risk</v>
      </c>
      <c r="M1180" t="str">
        <f t="shared" si="75"/>
        <v>Feb-2024</v>
      </c>
    </row>
    <row r="1181" spans="1:13" x14ac:dyDescent="0.35">
      <c r="A1181">
        <v>11180</v>
      </c>
      <c r="B1181">
        <v>41</v>
      </c>
      <c r="C1181" t="s">
        <v>10</v>
      </c>
      <c r="D1181" t="s">
        <v>11</v>
      </c>
      <c r="E1181" s="2">
        <v>45678</v>
      </c>
      <c r="F1181" s="2">
        <v>45954</v>
      </c>
      <c r="G1181">
        <v>1700</v>
      </c>
      <c r="H1181" t="s">
        <v>15</v>
      </c>
      <c r="I1181" t="s">
        <v>17</v>
      </c>
      <c r="J1181">
        <f t="shared" si="73"/>
        <v>1700</v>
      </c>
      <c r="K1181" t="str">
        <f t="shared" si="72"/>
        <v>35+</v>
      </c>
      <c r="L1181" t="str">
        <f t="shared" ca="1" si="74"/>
        <v>High Risk</v>
      </c>
      <c r="M1181" t="str">
        <f t="shared" si="75"/>
        <v>Jan-2025</v>
      </c>
    </row>
    <row r="1182" spans="1:13" x14ac:dyDescent="0.35">
      <c r="A1182">
        <v>11181</v>
      </c>
      <c r="B1182">
        <v>23</v>
      </c>
      <c r="C1182" t="s">
        <v>10</v>
      </c>
      <c r="D1182" t="s">
        <v>12</v>
      </c>
      <c r="E1182" s="2">
        <v>45596</v>
      </c>
      <c r="F1182" s="2">
        <v>46027</v>
      </c>
      <c r="G1182">
        <v>800</v>
      </c>
      <c r="H1182" t="s">
        <v>14</v>
      </c>
      <c r="I1182" t="s">
        <v>16</v>
      </c>
      <c r="J1182">
        <f t="shared" si="73"/>
        <v>9600</v>
      </c>
      <c r="K1182" t="str">
        <f t="shared" si="72"/>
        <v>18-24</v>
      </c>
      <c r="L1182" t="str">
        <f t="shared" ca="1" si="74"/>
        <v>Safe</v>
      </c>
      <c r="M1182" t="str">
        <f t="shared" si="75"/>
        <v>Oct-2024</v>
      </c>
    </row>
    <row r="1183" spans="1:13" x14ac:dyDescent="0.35">
      <c r="A1183">
        <v>11182</v>
      </c>
      <c r="B1183">
        <v>36</v>
      </c>
      <c r="C1183" t="s">
        <v>9</v>
      </c>
      <c r="D1183" t="s">
        <v>11</v>
      </c>
      <c r="E1183" s="2">
        <v>45313</v>
      </c>
      <c r="F1183" s="2">
        <v>45955</v>
      </c>
      <c r="G1183">
        <v>1200</v>
      </c>
      <c r="H1183" t="s">
        <v>14</v>
      </c>
      <c r="I1183" t="s">
        <v>17</v>
      </c>
      <c r="J1183">
        <f t="shared" si="73"/>
        <v>1200</v>
      </c>
      <c r="K1183" t="str">
        <f t="shared" si="72"/>
        <v>35+</v>
      </c>
      <c r="L1183" t="str">
        <f t="shared" ca="1" si="74"/>
        <v>High Risk</v>
      </c>
      <c r="M1183" t="str">
        <f t="shared" si="75"/>
        <v>Jan-2024</v>
      </c>
    </row>
    <row r="1184" spans="1:13" x14ac:dyDescent="0.35">
      <c r="A1184">
        <v>11183</v>
      </c>
      <c r="B1184">
        <v>42</v>
      </c>
      <c r="C1184" t="s">
        <v>10</v>
      </c>
      <c r="D1184" t="s">
        <v>11</v>
      </c>
      <c r="E1184" s="2">
        <v>45693</v>
      </c>
      <c r="F1184" s="2">
        <v>45927</v>
      </c>
      <c r="G1184">
        <v>1700</v>
      </c>
      <c r="H1184" t="s">
        <v>15</v>
      </c>
      <c r="I1184" t="s">
        <v>17</v>
      </c>
      <c r="J1184">
        <f t="shared" si="73"/>
        <v>1700</v>
      </c>
      <c r="K1184" t="str">
        <f t="shared" si="72"/>
        <v>35+</v>
      </c>
      <c r="L1184" t="str">
        <f t="shared" ca="1" si="74"/>
        <v>High Risk</v>
      </c>
      <c r="M1184" t="str">
        <f t="shared" si="75"/>
        <v>Feb-2025</v>
      </c>
    </row>
    <row r="1185" spans="1:13" x14ac:dyDescent="0.35">
      <c r="A1185">
        <v>11184</v>
      </c>
      <c r="B1185">
        <v>19</v>
      </c>
      <c r="C1185" t="s">
        <v>10</v>
      </c>
      <c r="D1185" t="s">
        <v>13</v>
      </c>
      <c r="E1185" s="2">
        <v>45312</v>
      </c>
      <c r="F1185" s="2">
        <v>46021</v>
      </c>
      <c r="G1185">
        <v>1000</v>
      </c>
      <c r="H1185" t="s">
        <v>14</v>
      </c>
      <c r="I1185" t="s">
        <v>16</v>
      </c>
      <c r="J1185">
        <f t="shared" si="73"/>
        <v>3000</v>
      </c>
      <c r="K1185" t="str">
        <f t="shared" si="72"/>
        <v>18-24</v>
      </c>
      <c r="L1185" t="str">
        <f t="shared" ca="1" si="74"/>
        <v>Safe</v>
      </c>
      <c r="M1185" t="str">
        <f t="shared" si="75"/>
        <v>Jan-2024</v>
      </c>
    </row>
    <row r="1186" spans="1:13" x14ac:dyDescent="0.35">
      <c r="A1186">
        <v>11185</v>
      </c>
      <c r="B1186">
        <v>32</v>
      </c>
      <c r="C1186" t="s">
        <v>9</v>
      </c>
      <c r="D1186" t="s">
        <v>11</v>
      </c>
      <c r="E1186" s="2">
        <v>45427</v>
      </c>
      <c r="F1186" s="2">
        <v>46030</v>
      </c>
      <c r="G1186">
        <v>1200</v>
      </c>
      <c r="H1186" t="s">
        <v>14</v>
      </c>
      <c r="I1186" t="s">
        <v>16</v>
      </c>
      <c r="J1186">
        <f t="shared" si="73"/>
        <v>1200</v>
      </c>
      <c r="K1186" t="str">
        <f t="shared" si="72"/>
        <v>25-34</v>
      </c>
      <c r="L1186" t="str">
        <f t="shared" ca="1" si="74"/>
        <v>Safe</v>
      </c>
      <c r="M1186" t="str">
        <f t="shared" si="75"/>
        <v>May-2024</v>
      </c>
    </row>
    <row r="1187" spans="1:13" x14ac:dyDescent="0.35">
      <c r="A1187">
        <v>11186</v>
      </c>
      <c r="B1187">
        <v>28</v>
      </c>
      <c r="C1187" t="s">
        <v>10</v>
      </c>
      <c r="D1187" t="s">
        <v>13</v>
      </c>
      <c r="E1187" s="2">
        <v>45239</v>
      </c>
      <c r="F1187" s="2">
        <v>46011</v>
      </c>
      <c r="G1187">
        <v>1500</v>
      </c>
      <c r="H1187" t="s">
        <v>15</v>
      </c>
      <c r="I1187" t="s">
        <v>16</v>
      </c>
      <c r="J1187">
        <f t="shared" si="73"/>
        <v>4500</v>
      </c>
      <c r="K1187" t="str">
        <f t="shared" si="72"/>
        <v>25-34</v>
      </c>
      <c r="L1187" t="str">
        <f t="shared" ca="1" si="74"/>
        <v>Safe</v>
      </c>
      <c r="M1187" t="str">
        <f t="shared" si="75"/>
        <v>Nov-2023</v>
      </c>
    </row>
    <row r="1188" spans="1:13" x14ac:dyDescent="0.35">
      <c r="A1188">
        <v>11187</v>
      </c>
      <c r="B1188">
        <v>25</v>
      </c>
      <c r="C1188" t="s">
        <v>9</v>
      </c>
      <c r="D1188" t="s">
        <v>11</v>
      </c>
      <c r="E1188" s="2">
        <v>45929</v>
      </c>
      <c r="F1188" s="2">
        <v>45935</v>
      </c>
      <c r="G1188">
        <v>1200</v>
      </c>
      <c r="H1188" t="s">
        <v>14</v>
      </c>
      <c r="I1188" t="s">
        <v>17</v>
      </c>
      <c r="J1188">
        <f t="shared" si="73"/>
        <v>1200</v>
      </c>
      <c r="K1188" t="str">
        <f t="shared" si="72"/>
        <v>25-34</v>
      </c>
      <c r="L1188" t="str">
        <f t="shared" ca="1" si="74"/>
        <v>High Risk</v>
      </c>
      <c r="M1188" t="str">
        <f t="shared" si="75"/>
        <v>Sep-2025</v>
      </c>
    </row>
    <row r="1189" spans="1:13" x14ac:dyDescent="0.35">
      <c r="A1189">
        <v>11188</v>
      </c>
      <c r="B1189">
        <v>43</v>
      </c>
      <c r="C1189" t="s">
        <v>9</v>
      </c>
      <c r="D1189" t="s">
        <v>11</v>
      </c>
      <c r="E1189" s="2">
        <v>45248</v>
      </c>
      <c r="F1189" s="2">
        <v>46019</v>
      </c>
      <c r="G1189">
        <v>1700</v>
      </c>
      <c r="H1189" t="s">
        <v>15</v>
      </c>
      <c r="I1189" t="s">
        <v>16</v>
      </c>
      <c r="J1189">
        <f t="shared" si="73"/>
        <v>1700</v>
      </c>
      <c r="K1189" t="str">
        <f t="shared" si="72"/>
        <v>35+</v>
      </c>
      <c r="L1189" t="str">
        <f t="shared" ca="1" si="74"/>
        <v>Safe</v>
      </c>
      <c r="M1189" t="str">
        <f t="shared" si="75"/>
        <v>Nov-2023</v>
      </c>
    </row>
    <row r="1190" spans="1:13" x14ac:dyDescent="0.35">
      <c r="A1190">
        <v>11189</v>
      </c>
      <c r="B1190">
        <v>36</v>
      </c>
      <c r="C1190" t="s">
        <v>10</v>
      </c>
      <c r="D1190" t="s">
        <v>11</v>
      </c>
      <c r="E1190" s="2">
        <v>45745</v>
      </c>
      <c r="F1190" s="2">
        <v>46020</v>
      </c>
      <c r="G1190">
        <v>1700</v>
      </c>
      <c r="H1190" t="s">
        <v>15</v>
      </c>
      <c r="I1190" t="s">
        <v>16</v>
      </c>
      <c r="J1190">
        <f t="shared" si="73"/>
        <v>1700</v>
      </c>
      <c r="K1190" t="str">
        <f t="shared" si="72"/>
        <v>35+</v>
      </c>
      <c r="L1190" t="str">
        <f t="shared" ca="1" si="74"/>
        <v>Safe</v>
      </c>
      <c r="M1190" t="str">
        <f t="shared" si="75"/>
        <v>Mar-2025</v>
      </c>
    </row>
    <row r="1191" spans="1:13" x14ac:dyDescent="0.35">
      <c r="A1191">
        <v>11190</v>
      </c>
      <c r="B1191">
        <v>30</v>
      </c>
      <c r="C1191" t="s">
        <v>9</v>
      </c>
      <c r="D1191" t="s">
        <v>11</v>
      </c>
      <c r="E1191" s="2">
        <v>45596</v>
      </c>
      <c r="F1191" s="2">
        <v>46031</v>
      </c>
      <c r="G1191">
        <v>1200</v>
      </c>
      <c r="H1191" t="s">
        <v>14</v>
      </c>
      <c r="I1191" t="s">
        <v>16</v>
      </c>
      <c r="J1191">
        <f t="shared" si="73"/>
        <v>1200</v>
      </c>
      <c r="K1191" t="str">
        <f t="shared" si="72"/>
        <v>25-34</v>
      </c>
      <c r="L1191" t="str">
        <f t="shared" ca="1" si="74"/>
        <v>Safe</v>
      </c>
      <c r="M1191" t="str">
        <f t="shared" si="75"/>
        <v>Oct-2024</v>
      </c>
    </row>
    <row r="1192" spans="1:13" x14ac:dyDescent="0.35">
      <c r="A1192">
        <v>11191</v>
      </c>
      <c r="B1192">
        <v>29</v>
      </c>
      <c r="C1192" t="s">
        <v>9</v>
      </c>
      <c r="D1192" t="s">
        <v>13</v>
      </c>
      <c r="E1192" s="2">
        <v>45621</v>
      </c>
      <c r="F1192" s="2">
        <v>45929</v>
      </c>
      <c r="G1192">
        <v>1000</v>
      </c>
      <c r="H1192" t="s">
        <v>14</v>
      </c>
      <c r="I1192" t="s">
        <v>17</v>
      </c>
      <c r="J1192">
        <f t="shared" si="73"/>
        <v>3000</v>
      </c>
      <c r="K1192" t="str">
        <f t="shared" si="72"/>
        <v>25-34</v>
      </c>
      <c r="L1192" t="str">
        <f t="shared" ca="1" si="74"/>
        <v>High Risk</v>
      </c>
      <c r="M1192" t="str">
        <f t="shared" si="75"/>
        <v>Nov-2024</v>
      </c>
    </row>
    <row r="1193" spans="1:13" x14ac:dyDescent="0.35">
      <c r="A1193">
        <v>11192</v>
      </c>
      <c r="B1193">
        <v>22</v>
      </c>
      <c r="C1193" t="s">
        <v>9</v>
      </c>
      <c r="D1193" t="s">
        <v>12</v>
      </c>
      <c r="E1193" s="2">
        <v>45909</v>
      </c>
      <c r="F1193" s="2">
        <v>46025</v>
      </c>
      <c r="G1193">
        <v>800</v>
      </c>
      <c r="H1193" t="s">
        <v>14</v>
      </c>
      <c r="I1193" t="s">
        <v>16</v>
      </c>
      <c r="J1193">
        <f t="shared" si="73"/>
        <v>9600</v>
      </c>
      <c r="K1193" t="str">
        <f t="shared" si="72"/>
        <v>18-24</v>
      </c>
      <c r="L1193" t="str">
        <f t="shared" ca="1" si="74"/>
        <v>Safe</v>
      </c>
      <c r="M1193" t="str">
        <f t="shared" si="75"/>
        <v>Sep-2025</v>
      </c>
    </row>
    <row r="1194" spans="1:13" x14ac:dyDescent="0.35">
      <c r="A1194">
        <v>11193</v>
      </c>
      <c r="B1194">
        <v>23</v>
      </c>
      <c r="C1194" t="s">
        <v>9</v>
      </c>
      <c r="D1194" t="s">
        <v>12</v>
      </c>
      <c r="E1194" s="2">
        <v>45505</v>
      </c>
      <c r="F1194" s="2">
        <v>46025</v>
      </c>
      <c r="G1194">
        <v>800</v>
      </c>
      <c r="H1194" t="s">
        <v>14</v>
      </c>
      <c r="I1194" t="s">
        <v>16</v>
      </c>
      <c r="J1194">
        <f t="shared" si="73"/>
        <v>9600</v>
      </c>
      <c r="K1194" t="str">
        <f t="shared" si="72"/>
        <v>18-24</v>
      </c>
      <c r="L1194" t="str">
        <f t="shared" ca="1" si="74"/>
        <v>Safe</v>
      </c>
      <c r="M1194" t="str">
        <f t="shared" si="75"/>
        <v>Aug-2024</v>
      </c>
    </row>
    <row r="1195" spans="1:13" x14ac:dyDescent="0.35">
      <c r="A1195">
        <v>11194</v>
      </c>
      <c r="B1195">
        <v>43</v>
      </c>
      <c r="C1195" t="s">
        <v>10</v>
      </c>
      <c r="D1195" t="s">
        <v>12</v>
      </c>
      <c r="E1195" s="2">
        <v>45816</v>
      </c>
      <c r="F1195" s="2">
        <v>45933</v>
      </c>
      <c r="G1195">
        <v>1300</v>
      </c>
      <c r="H1195" t="s">
        <v>15</v>
      </c>
      <c r="I1195" t="s">
        <v>17</v>
      </c>
      <c r="J1195">
        <f t="shared" si="73"/>
        <v>15600</v>
      </c>
      <c r="K1195" t="str">
        <f t="shared" si="72"/>
        <v>35+</v>
      </c>
      <c r="L1195" t="str">
        <f t="shared" ca="1" si="74"/>
        <v>High Risk</v>
      </c>
      <c r="M1195" t="str">
        <f t="shared" si="75"/>
        <v>Jun-2025</v>
      </c>
    </row>
    <row r="1196" spans="1:13" x14ac:dyDescent="0.35">
      <c r="A1196">
        <v>11195</v>
      </c>
      <c r="B1196">
        <v>39</v>
      </c>
      <c r="C1196" t="s">
        <v>9</v>
      </c>
      <c r="D1196" t="s">
        <v>11</v>
      </c>
      <c r="E1196" s="2">
        <v>45922</v>
      </c>
      <c r="F1196" s="2">
        <v>46025</v>
      </c>
      <c r="G1196">
        <v>1200</v>
      </c>
      <c r="H1196" t="s">
        <v>14</v>
      </c>
      <c r="I1196" t="s">
        <v>16</v>
      </c>
      <c r="J1196">
        <f t="shared" si="73"/>
        <v>1200</v>
      </c>
      <c r="K1196" t="str">
        <f t="shared" si="72"/>
        <v>35+</v>
      </c>
      <c r="L1196" t="str">
        <f t="shared" ca="1" si="74"/>
        <v>Safe</v>
      </c>
      <c r="M1196" t="str">
        <f t="shared" si="75"/>
        <v>Sep-2025</v>
      </c>
    </row>
    <row r="1197" spans="1:13" x14ac:dyDescent="0.35">
      <c r="A1197">
        <v>11196</v>
      </c>
      <c r="B1197">
        <v>21</v>
      </c>
      <c r="C1197" t="s">
        <v>9</v>
      </c>
      <c r="D1197" t="s">
        <v>11</v>
      </c>
      <c r="E1197" s="2">
        <v>45529</v>
      </c>
      <c r="F1197" s="2">
        <v>46029</v>
      </c>
      <c r="G1197">
        <v>1200</v>
      </c>
      <c r="H1197" t="s">
        <v>14</v>
      </c>
      <c r="I1197" t="s">
        <v>16</v>
      </c>
      <c r="J1197">
        <f t="shared" si="73"/>
        <v>1200</v>
      </c>
      <c r="K1197" t="str">
        <f t="shared" si="72"/>
        <v>18-24</v>
      </c>
      <c r="L1197" t="str">
        <f t="shared" ca="1" si="74"/>
        <v>Safe</v>
      </c>
      <c r="M1197" t="str">
        <f t="shared" si="75"/>
        <v>Aug-2024</v>
      </c>
    </row>
    <row r="1198" spans="1:13" x14ac:dyDescent="0.35">
      <c r="A1198">
        <v>11197</v>
      </c>
      <c r="B1198">
        <v>36</v>
      </c>
      <c r="C1198" t="s">
        <v>10</v>
      </c>
      <c r="D1198" t="s">
        <v>11</v>
      </c>
      <c r="E1198" s="2">
        <v>45297</v>
      </c>
      <c r="F1198" s="2">
        <v>45977</v>
      </c>
      <c r="G1198">
        <v>1200</v>
      </c>
      <c r="H1198" t="s">
        <v>14</v>
      </c>
      <c r="I1198" t="s">
        <v>17</v>
      </c>
      <c r="J1198">
        <f t="shared" si="73"/>
        <v>1200</v>
      </c>
      <c r="K1198" t="str">
        <f t="shared" si="72"/>
        <v>35+</v>
      </c>
      <c r="L1198" t="str">
        <f t="shared" ca="1" si="74"/>
        <v>High Risk</v>
      </c>
      <c r="M1198" t="str">
        <f t="shared" si="75"/>
        <v>Jan-2024</v>
      </c>
    </row>
    <row r="1199" spans="1:13" x14ac:dyDescent="0.35">
      <c r="A1199">
        <v>11198</v>
      </c>
      <c r="B1199">
        <v>37</v>
      </c>
      <c r="C1199" t="s">
        <v>9</v>
      </c>
      <c r="D1199" t="s">
        <v>11</v>
      </c>
      <c r="E1199" s="2">
        <v>45826</v>
      </c>
      <c r="F1199" s="2">
        <v>45945</v>
      </c>
      <c r="G1199">
        <v>1200</v>
      </c>
      <c r="H1199" t="s">
        <v>14</v>
      </c>
      <c r="I1199" t="s">
        <v>17</v>
      </c>
      <c r="J1199">
        <f t="shared" si="73"/>
        <v>1200</v>
      </c>
      <c r="K1199" t="str">
        <f t="shared" si="72"/>
        <v>35+</v>
      </c>
      <c r="L1199" t="str">
        <f t="shared" ca="1" si="74"/>
        <v>High Risk</v>
      </c>
      <c r="M1199" t="str">
        <f t="shared" si="75"/>
        <v>Jun-2025</v>
      </c>
    </row>
    <row r="1200" spans="1:13" x14ac:dyDescent="0.35">
      <c r="A1200">
        <v>11199</v>
      </c>
      <c r="B1200">
        <v>18</v>
      </c>
      <c r="C1200" t="s">
        <v>9</v>
      </c>
      <c r="D1200" t="s">
        <v>13</v>
      </c>
      <c r="E1200" s="2">
        <v>45942</v>
      </c>
      <c r="F1200" s="2">
        <v>46017</v>
      </c>
      <c r="G1200">
        <v>1000</v>
      </c>
      <c r="H1200" t="s">
        <v>14</v>
      </c>
      <c r="I1200" t="s">
        <v>16</v>
      </c>
      <c r="J1200">
        <f t="shared" si="73"/>
        <v>3000</v>
      </c>
      <c r="K1200" t="str">
        <f t="shared" si="72"/>
        <v>18-24</v>
      </c>
      <c r="L1200" t="str">
        <f t="shared" ca="1" si="74"/>
        <v>Safe</v>
      </c>
      <c r="M1200" t="str">
        <f t="shared" si="75"/>
        <v>Oct-2025</v>
      </c>
    </row>
    <row r="1201" spans="1:13" x14ac:dyDescent="0.35">
      <c r="A1201">
        <v>11200</v>
      </c>
      <c r="B1201">
        <v>37</v>
      </c>
      <c r="C1201" t="s">
        <v>9</v>
      </c>
      <c r="D1201" t="s">
        <v>11</v>
      </c>
      <c r="E1201" s="2">
        <v>45496</v>
      </c>
      <c r="F1201" s="2">
        <v>46021</v>
      </c>
      <c r="G1201">
        <v>1200</v>
      </c>
      <c r="H1201" t="s">
        <v>14</v>
      </c>
      <c r="I1201" t="s">
        <v>16</v>
      </c>
      <c r="J1201">
        <f t="shared" si="73"/>
        <v>1200</v>
      </c>
      <c r="K1201" t="str">
        <f t="shared" si="72"/>
        <v>35+</v>
      </c>
      <c r="L1201" t="str">
        <f t="shared" ca="1" si="74"/>
        <v>Safe</v>
      </c>
      <c r="M1201" t="str">
        <f t="shared" si="75"/>
        <v>Jul-2024</v>
      </c>
    </row>
    <row r="1202" spans="1:13" x14ac:dyDescent="0.35">
      <c r="A1202">
        <v>11201</v>
      </c>
      <c r="B1202">
        <v>34</v>
      </c>
      <c r="C1202" t="s">
        <v>10</v>
      </c>
      <c r="D1202" t="s">
        <v>11</v>
      </c>
      <c r="E1202" s="2">
        <v>45364</v>
      </c>
      <c r="F1202" s="2">
        <v>46011</v>
      </c>
      <c r="G1202">
        <v>1200</v>
      </c>
      <c r="H1202" t="s">
        <v>14</v>
      </c>
      <c r="I1202" t="s">
        <v>16</v>
      </c>
      <c r="J1202">
        <f t="shared" si="73"/>
        <v>1200</v>
      </c>
      <c r="K1202" t="str">
        <f t="shared" si="72"/>
        <v>25-34</v>
      </c>
      <c r="L1202" t="str">
        <f t="shared" ca="1" si="74"/>
        <v>Safe</v>
      </c>
      <c r="M1202" t="str">
        <f t="shared" si="75"/>
        <v>Mar-2024</v>
      </c>
    </row>
    <row r="1203" spans="1:13" x14ac:dyDescent="0.35">
      <c r="A1203">
        <v>11202</v>
      </c>
      <c r="B1203">
        <v>29</v>
      </c>
      <c r="C1203" t="s">
        <v>9</v>
      </c>
      <c r="D1203" t="s">
        <v>12</v>
      </c>
      <c r="E1203" s="2">
        <v>45418</v>
      </c>
      <c r="F1203" s="2">
        <v>45985</v>
      </c>
      <c r="G1203">
        <v>1300</v>
      </c>
      <c r="H1203" t="s">
        <v>15</v>
      </c>
      <c r="I1203" t="s">
        <v>17</v>
      </c>
      <c r="J1203">
        <f t="shared" si="73"/>
        <v>15600</v>
      </c>
      <c r="K1203" t="str">
        <f t="shared" si="72"/>
        <v>25-34</v>
      </c>
      <c r="L1203" t="str">
        <f t="shared" ca="1" si="74"/>
        <v>High Risk</v>
      </c>
      <c r="M1203" t="str">
        <f t="shared" si="75"/>
        <v>May-2024</v>
      </c>
    </row>
    <row r="1204" spans="1:13" x14ac:dyDescent="0.35">
      <c r="A1204">
        <v>11203</v>
      </c>
      <c r="B1204">
        <v>32</v>
      </c>
      <c r="C1204" t="s">
        <v>9</v>
      </c>
      <c r="D1204" t="s">
        <v>13</v>
      </c>
      <c r="E1204" s="2">
        <v>45302</v>
      </c>
      <c r="F1204" s="2">
        <v>45974</v>
      </c>
      <c r="G1204">
        <v>1000</v>
      </c>
      <c r="H1204" t="s">
        <v>14</v>
      </c>
      <c r="I1204" t="s">
        <v>17</v>
      </c>
      <c r="J1204">
        <f t="shared" si="73"/>
        <v>3000</v>
      </c>
      <c r="K1204" t="str">
        <f t="shared" si="72"/>
        <v>25-34</v>
      </c>
      <c r="L1204" t="str">
        <f t="shared" ca="1" si="74"/>
        <v>High Risk</v>
      </c>
      <c r="M1204" t="str">
        <f t="shared" si="75"/>
        <v>Jan-2024</v>
      </c>
    </row>
    <row r="1205" spans="1:13" x14ac:dyDescent="0.35">
      <c r="A1205">
        <v>11204</v>
      </c>
      <c r="B1205">
        <v>18</v>
      </c>
      <c r="C1205" t="s">
        <v>9</v>
      </c>
      <c r="D1205" t="s">
        <v>11</v>
      </c>
      <c r="E1205" s="2">
        <v>45433</v>
      </c>
      <c r="F1205" s="2">
        <v>46019</v>
      </c>
      <c r="G1205">
        <v>1700</v>
      </c>
      <c r="H1205" t="s">
        <v>15</v>
      </c>
      <c r="I1205" t="s">
        <v>16</v>
      </c>
      <c r="J1205">
        <f t="shared" si="73"/>
        <v>1700</v>
      </c>
      <c r="K1205" t="str">
        <f t="shared" si="72"/>
        <v>18-24</v>
      </c>
      <c r="L1205" t="str">
        <f t="shared" ca="1" si="74"/>
        <v>Safe</v>
      </c>
      <c r="M1205" t="str">
        <f t="shared" si="75"/>
        <v>May-2024</v>
      </c>
    </row>
    <row r="1206" spans="1:13" x14ac:dyDescent="0.35">
      <c r="A1206">
        <v>11205</v>
      </c>
      <c r="B1206">
        <v>43</v>
      </c>
      <c r="C1206" t="s">
        <v>9</v>
      </c>
      <c r="D1206" t="s">
        <v>11</v>
      </c>
      <c r="E1206" s="2">
        <v>45660</v>
      </c>
      <c r="F1206" s="2">
        <v>46014</v>
      </c>
      <c r="G1206">
        <v>1700</v>
      </c>
      <c r="H1206" t="s">
        <v>15</v>
      </c>
      <c r="I1206" t="s">
        <v>16</v>
      </c>
      <c r="J1206">
        <f t="shared" si="73"/>
        <v>1700</v>
      </c>
      <c r="K1206" t="str">
        <f t="shared" si="72"/>
        <v>35+</v>
      </c>
      <c r="L1206" t="str">
        <f t="shared" ca="1" si="74"/>
        <v>Safe</v>
      </c>
      <c r="M1206" t="str">
        <f t="shared" si="75"/>
        <v>Jan-2025</v>
      </c>
    </row>
    <row r="1207" spans="1:13" x14ac:dyDescent="0.35">
      <c r="A1207">
        <v>11206</v>
      </c>
      <c r="B1207">
        <v>31</v>
      </c>
      <c r="C1207" t="s">
        <v>9</v>
      </c>
      <c r="D1207" t="s">
        <v>11</v>
      </c>
      <c r="E1207" s="2">
        <v>45301</v>
      </c>
      <c r="F1207" s="2">
        <v>46027</v>
      </c>
      <c r="G1207">
        <v>1700</v>
      </c>
      <c r="H1207" t="s">
        <v>15</v>
      </c>
      <c r="I1207" t="s">
        <v>16</v>
      </c>
      <c r="J1207">
        <f t="shared" si="73"/>
        <v>1700</v>
      </c>
      <c r="K1207" t="str">
        <f t="shared" si="72"/>
        <v>25-34</v>
      </c>
      <c r="L1207" t="str">
        <f t="shared" ca="1" si="74"/>
        <v>Safe</v>
      </c>
      <c r="M1207" t="str">
        <f t="shared" si="75"/>
        <v>Jan-2024</v>
      </c>
    </row>
    <row r="1208" spans="1:13" x14ac:dyDescent="0.35">
      <c r="A1208">
        <v>11207</v>
      </c>
      <c r="B1208">
        <v>23</v>
      </c>
      <c r="C1208" t="s">
        <v>9</v>
      </c>
      <c r="D1208" t="s">
        <v>12</v>
      </c>
      <c r="E1208" s="2">
        <v>45437</v>
      </c>
      <c r="F1208" s="2">
        <v>46012</v>
      </c>
      <c r="G1208">
        <v>800</v>
      </c>
      <c r="H1208" t="s">
        <v>14</v>
      </c>
      <c r="I1208" t="s">
        <v>16</v>
      </c>
      <c r="J1208">
        <f t="shared" si="73"/>
        <v>9600</v>
      </c>
      <c r="K1208" t="str">
        <f t="shared" si="72"/>
        <v>18-24</v>
      </c>
      <c r="L1208" t="str">
        <f t="shared" ca="1" si="74"/>
        <v>Safe</v>
      </c>
      <c r="M1208" t="str">
        <f t="shared" si="75"/>
        <v>May-2024</v>
      </c>
    </row>
    <row r="1209" spans="1:13" x14ac:dyDescent="0.35">
      <c r="A1209">
        <v>11208</v>
      </c>
      <c r="B1209">
        <v>22</v>
      </c>
      <c r="C1209" t="s">
        <v>9</v>
      </c>
      <c r="D1209" t="s">
        <v>11</v>
      </c>
      <c r="E1209" s="2">
        <v>45424</v>
      </c>
      <c r="F1209" s="2">
        <v>46029</v>
      </c>
      <c r="G1209">
        <v>1200</v>
      </c>
      <c r="H1209" t="s">
        <v>14</v>
      </c>
      <c r="I1209" t="s">
        <v>16</v>
      </c>
      <c r="J1209">
        <f t="shared" si="73"/>
        <v>1200</v>
      </c>
      <c r="K1209" t="str">
        <f t="shared" si="72"/>
        <v>18-24</v>
      </c>
      <c r="L1209" t="str">
        <f t="shared" ca="1" si="74"/>
        <v>Safe</v>
      </c>
      <c r="M1209" t="str">
        <f t="shared" si="75"/>
        <v>May-2024</v>
      </c>
    </row>
    <row r="1210" spans="1:13" x14ac:dyDescent="0.35">
      <c r="A1210">
        <v>11209</v>
      </c>
      <c r="B1210">
        <v>28</v>
      </c>
      <c r="C1210" t="s">
        <v>10</v>
      </c>
      <c r="D1210" t="s">
        <v>11</v>
      </c>
      <c r="E1210" s="2">
        <v>45995</v>
      </c>
      <c r="F1210" s="2">
        <v>45968</v>
      </c>
      <c r="G1210">
        <v>1200</v>
      </c>
      <c r="H1210" t="s">
        <v>14</v>
      </c>
      <c r="I1210" t="s">
        <v>17</v>
      </c>
      <c r="J1210">
        <f t="shared" si="73"/>
        <v>1200</v>
      </c>
      <c r="K1210" t="str">
        <f t="shared" si="72"/>
        <v>25-34</v>
      </c>
      <c r="L1210" t="str">
        <f t="shared" ca="1" si="74"/>
        <v>High Risk</v>
      </c>
      <c r="M1210" t="str">
        <f t="shared" si="75"/>
        <v>Dec-2025</v>
      </c>
    </row>
    <row r="1211" spans="1:13" x14ac:dyDescent="0.35">
      <c r="A1211">
        <v>11210</v>
      </c>
      <c r="B1211">
        <v>21</v>
      </c>
      <c r="C1211" t="s">
        <v>9</v>
      </c>
      <c r="D1211" t="s">
        <v>11</v>
      </c>
      <c r="E1211" s="2">
        <v>45162</v>
      </c>
      <c r="F1211" s="2">
        <v>45996</v>
      </c>
      <c r="G1211">
        <v>1200</v>
      </c>
      <c r="H1211" t="s">
        <v>14</v>
      </c>
      <c r="I1211" t="s">
        <v>17</v>
      </c>
      <c r="J1211">
        <f t="shared" si="73"/>
        <v>1200</v>
      </c>
      <c r="K1211" t="str">
        <f t="shared" si="72"/>
        <v>18-24</v>
      </c>
      <c r="L1211" t="str">
        <f t="shared" ca="1" si="74"/>
        <v>High Risk</v>
      </c>
      <c r="M1211" t="str">
        <f t="shared" si="75"/>
        <v>Aug-2023</v>
      </c>
    </row>
    <row r="1212" spans="1:13" x14ac:dyDescent="0.35">
      <c r="A1212">
        <v>11211</v>
      </c>
      <c r="B1212">
        <v>30</v>
      </c>
      <c r="C1212" t="s">
        <v>10</v>
      </c>
      <c r="D1212" t="s">
        <v>13</v>
      </c>
      <c r="E1212" s="2">
        <v>45601</v>
      </c>
      <c r="F1212" s="2">
        <v>46023</v>
      </c>
      <c r="G1212">
        <v>1000</v>
      </c>
      <c r="H1212" t="s">
        <v>14</v>
      </c>
      <c r="I1212" t="s">
        <v>16</v>
      </c>
      <c r="J1212">
        <f t="shared" si="73"/>
        <v>3000</v>
      </c>
      <c r="K1212" t="str">
        <f t="shared" si="72"/>
        <v>25-34</v>
      </c>
      <c r="L1212" t="str">
        <f t="shared" ca="1" si="74"/>
        <v>Safe</v>
      </c>
      <c r="M1212" t="str">
        <f t="shared" si="75"/>
        <v>Nov-2024</v>
      </c>
    </row>
    <row r="1213" spans="1:13" x14ac:dyDescent="0.35">
      <c r="A1213">
        <v>11212</v>
      </c>
      <c r="B1213">
        <v>28</v>
      </c>
      <c r="C1213" t="s">
        <v>10</v>
      </c>
      <c r="D1213" t="s">
        <v>11</v>
      </c>
      <c r="E1213" s="2">
        <v>45318</v>
      </c>
      <c r="F1213" s="2">
        <v>46024</v>
      </c>
      <c r="G1213">
        <v>1700</v>
      </c>
      <c r="H1213" t="s">
        <v>15</v>
      </c>
      <c r="I1213" t="s">
        <v>16</v>
      </c>
      <c r="J1213">
        <f t="shared" si="73"/>
        <v>1700</v>
      </c>
      <c r="K1213" t="str">
        <f t="shared" si="72"/>
        <v>25-34</v>
      </c>
      <c r="L1213" t="str">
        <f t="shared" ca="1" si="74"/>
        <v>Safe</v>
      </c>
      <c r="M1213" t="str">
        <f t="shared" si="75"/>
        <v>Jan-2024</v>
      </c>
    </row>
    <row r="1214" spans="1:13" x14ac:dyDescent="0.35">
      <c r="A1214">
        <v>11213</v>
      </c>
      <c r="B1214">
        <v>20</v>
      </c>
      <c r="C1214" t="s">
        <v>10</v>
      </c>
      <c r="D1214" t="s">
        <v>12</v>
      </c>
      <c r="E1214" s="2">
        <v>45978</v>
      </c>
      <c r="F1214" s="2">
        <v>46027</v>
      </c>
      <c r="G1214">
        <v>1300</v>
      </c>
      <c r="H1214" t="s">
        <v>15</v>
      </c>
      <c r="I1214" t="s">
        <v>16</v>
      </c>
      <c r="J1214">
        <f t="shared" si="73"/>
        <v>15600</v>
      </c>
      <c r="K1214" t="str">
        <f t="shared" si="72"/>
        <v>18-24</v>
      </c>
      <c r="L1214" t="str">
        <f t="shared" ca="1" si="74"/>
        <v>Safe</v>
      </c>
      <c r="M1214" t="str">
        <f t="shared" si="75"/>
        <v>Nov-2025</v>
      </c>
    </row>
    <row r="1215" spans="1:13" x14ac:dyDescent="0.35">
      <c r="A1215">
        <v>11214</v>
      </c>
      <c r="B1215">
        <v>18</v>
      </c>
      <c r="C1215" t="s">
        <v>9</v>
      </c>
      <c r="D1215" t="s">
        <v>12</v>
      </c>
      <c r="E1215" s="2">
        <v>45919</v>
      </c>
      <c r="F1215" s="2">
        <v>45923</v>
      </c>
      <c r="G1215">
        <v>800</v>
      </c>
      <c r="H1215" t="s">
        <v>14</v>
      </c>
      <c r="I1215" t="s">
        <v>17</v>
      </c>
      <c r="J1215">
        <f t="shared" si="73"/>
        <v>9600</v>
      </c>
      <c r="K1215" t="str">
        <f t="shared" si="72"/>
        <v>18-24</v>
      </c>
      <c r="L1215" t="str">
        <f t="shared" ca="1" si="74"/>
        <v>High Risk</v>
      </c>
      <c r="M1215" t="str">
        <f t="shared" si="75"/>
        <v>Sep-2025</v>
      </c>
    </row>
    <row r="1216" spans="1:13" x14ac:dyDescent="0.35">
      <c r="A1216">
        <v>11215</v>
      </c>
      <c r="B1216">
        <v>23</v>
      </c>
      <c r="C1216" t="s">
        <v>9</v>
      </c>
      <c r="D1216" t="s">
        <v>12</v>
      </c>
      <c r="E1216" s="2">
        <v>45777</v>
      </c>
      <c r="F1216" s="2">
        <v>46020</v>
      </c>
      <c r="G1216">
        <v>800</v>
      </c>
      <c r="H1216" t="s">
        <v>14</v>
      </c>
      <c r="I1216" t="s">
        <v>16</v>
      </c>
      <c r="J1216">
        <f t="shared" si="73"/>
        <v>9600</v>
      </c>
      <c r="K1216" t="str">
        <f t="shared" si="72"/>
        <v>18-24</v>
      </c>
      <c r="L1216" t="str">
        <f t="shared" ca="1" si="74"/>
        <v>Safe</v>
      </c>
      <c r="M1216" t="str">
        <f t="shared" si="75"/>
        <v>Apr-2025</v>
      </c>
    </row>
    <row r="1217" spans="1:13" x14ac:dyDescent="0.35">
      <c r="A1217">
        <v>11216</v>
      </c>
      <c r="B1217">
        <v>35</v>
      </c>
      <c r="C1217" t="s">
        <v>9</v>
      </c>
      <c r="D1217" t="s">
        <v>11</v>
      </c>
      <c r="E1217" s="2">
        <v>45494</v>
      </c>
      <c r="F1217" s="2">
        <v>46013</v>
      </c>
      <c r="G1217">
        <v>1200</v>
      </c>
      <c r="H1217" t="s">
        <v>14</v>
      </c>
      <c r="I1217" t="s">
        <v>16</v>
      </c>
      <c r="J1217">
        <f t="shared" si="73"/>
        <v>1200</v>
      </c>
      <c r="K1217" t="str">
        <f t="shared" si="72"/>
        <v>35+</v>
      </c>
      <c r="L1217" t="str">
        <f t="shared" ca="1" si="74"/>
        <v>Safe</v>
      </c>
      <c r="M1217" t="str">
        <f t="shared" si="75"/>
        <v>Jul-2024</v>
      </c>
    </row>
    <row r="1218" spans="1:13" x14ac:dyDescent="0.35">
      <c r="A1218">
        <v>11217</v>
      </c>
      <c r="B1218">
        <v>41</v>
      </c>
      <c r="C1218" t="s">
        <v>9</v>
      </c>
      <c r="D1218" t="s">
        <v>12</v>
      </c>
      <c r="E1218" s="2">
        <v>45259</v>
      </c>
      <c r="F1218" s="2">
        <v>46011</v>
      </c>
      <c r="G1218">
        <v>800</v>
      </c>
      <c r="H1218" t="s">
        <v>14</v>
      </c>
      <c r="I1218" t="s">
        <v>16</v>
      </c>
      <c r="J1218">
        <f t="shared" si="73"/>
        <v>9600</v>
      </c>
      <c r="K1218" t="str">
        <f t="shared" ref="K1218:K1281" si="76">IF(B1218&lt;25,"18-24",IF(B1218&lt;35,"25-34","35+"))</f>
        <v>35+</v>
      </c>
      <c r="L1218" t="str">
        <f t="shared" ca="1" si="74"/>
        <v>Safe</v>
      </c>
      <c r="M1218" t="str">
        <f t="shared" si="75"/>
        <v>Nov-2023</v>
      </c>
    </row>
    <row r="1219" spans="1:13" x14ac:dyDescent="0.35">
      <c r="A1219">
        <v>11218</v>
      </c>
      <c r="B1219">
        <v>27</v>
      </c>
      <c r="C1219" t="s">
        <v>9</v>
      </c>
      <c r="D1219" t="s">
        <v>13</v>
      </c>
      <c r="E1219" s="2">
        <v>45587</v>
      </c>
      <c r="F1219" s="2">
        <v>45948</v>
      </c>
      <c r="G1219">
        <v>1500</v>
      </c>
      <c r="H1219" t="s">
        <v>15</v>
      </c>
      <c r="I1219" t="s">
        <v>17</v>
      </c>
      <c r="J1219">
        <f t="shared" ref="J1219:J1282" si="77">IF(D1219="Monthly",G1219,IF(D1219="Quarterly",G1219*3,G1219*12))</f>
        <v>4500</v>
      </c>
      <c r="K1219" t="str">
        <f t="shared" si="76"/>
        <v>25-34</v>
      </c>
      <c r="L1219" t="str">
        <f t="shared" ref="L1219:L1282" ca="1" si="78">IF(F1219&lt;TODAY()-30,"High Risk","Safe")</f>
        <v>High Risk</v>
      </c>
      <c r="M1219" t="str">
        <f t="shared" ref="M1219:M1282" si="79">TEXT(E1219,"mmm-yyyy")</f>
        <v>Oct-2024</v>
      </c>
    </row>
    <row r="1220" spans="1:13" x14ac:dyDescent="0.35">
      <c r="A1220">
        <v>11219</v>
      </c>
      <c r="B1220">
        <v>22</v>
      </c>
      <c r="C1220" t="s">
        <v>10</v>
      </c>
      <c r="D1220" t="s">
        <v>11</v>
      </c>
      <c r="E1220" s="2">
        <v>45747</v>
      </c>
      <c r="F1220" s="2">
        <v>45979</v>
      </c>
      <c r="G1220">
        <v>1200</v>
      </c>
      <c r="H1220" t="s">
        <v>14</v>
      </c>
      <c r="I1220" t="s">
        <v>17</v>
      </c>
      <c r="J1220">
        <f t="shared" si="77"/>
        <v>1200</v>
      </c>
      <c r="K1220" t="str">
        <f t="shared" si="76"/>
        <v>18-24</v>
      </c>
      <c r="L1220" t="str">
        <f t="shared" ca="1" si="78"/>
        <v>High Risk</v>
      </c>
      <c r="M1220" t="str">
        <f t="shared" si="79"/>
        <v>Mar-2025</v>
      </c>
    </row>
    <row r="1221" spans="1:13" x14ac:dyDescent="0.35">
      <c r="A1221">
        <v>11220</v>
      </c>
      <c r="B1221">
        <v>40</v>
      </c>
      <c r="C1221" t="s">
        <v>10</v>
      </c>
      <c r="D1221" t="s">
        <v>13</v>
      </c>
      <c r="E1221" s="2">
        <v>45439</v>
      </c>
      <c r="F1221" s="2">
        <v>46020</v>
      </c>
      <c r="G1221">
        <v>1000</v>
      </c>
      <c r="H1221" t="s">
        <v>14</v>
      </c>
      <c r="I1221" t="s">
        <v>16</v>
      </c>
      <c r="J1221">
        <f t="shared" si="77"/>
        <v>3000</v>
      </c>
      <c r="K1221" t="str">
        <f t="shared" si="76"/>
        <v>35+</v>
      </c>
      <c r="L1221" t="str">
        <f t="shared" ca="1" si="78"/>
        <v>Safe</v>
      </c>
      <c r="M1221" t="str">
        <f t="shared" si="79"/>
        <v>May-2024</v>
      </c>
    </row>
    <row r="1222" spans="1:13" x14ac:dyDescent="0.35">
      <c r="A1222">
        <v>11221</v>
      </c>
      <c r="B1222">
        <v>27</v>
      </c>
      <c r="C1222" t="s">
        <v>9</v>
      </c>
      <c r="D1222" t="s">
        <v>11</v>
      </c>
      <c r="E1222" s="2">
        <v>45438</v>
      </c>
      <c r="F1222" s="2">
        <v>46020</v>
      </c>
      <c r="G1222">
        <v>1200</v>
      </c>
      <c r="H1222" t="s">
        <v>14</v>
      </c>
      <c r="I1222" t="s">
        <v>16</v>
      </c>
      <c r="J1222">
        <f t="shared" si="77"/>
        <v>1200</v>
      </c>
      <c r="K1222" t="str">
        <f t="shared" si="76"/>
        <v>25-34</v>
      </c>
      <c r="L1222" t="str">
        <f t="shared" ca="1" si="78"/>
        <v>Safe</v>
      </c>
      <c r="M1222" t="str">
        <f t="shared" si="79"/>
        <v>May-2024</v>
      </c>
    </row>
    <row r="1223" spans="1:13" x14ac:dyDescent="0.35">
      <c r="A1223">
        <v>11222</v>
      </c>
      <c r="B1223">
        <v>29</v>
      </c>
      <c r="C1223" t="s">
        <v>9</v>
      </c>
      <c r="D1223" t="s">
        <v>11</v>
      </c>
      <c r="E1223" s="2">
        <v>45559</v>
      </c>
      <c r="F1223" s="2">
        <v>46009</v>
      </c>
      <c r="G1223">
        <v>1700</v>
      </c>
      <c r="H1223" t="s">
        <v>15</v>
      </c>
      <c r="I1223" t="s">
        <v>16</v>
      </c>
      <c r="J1223">
        <f t="shared" si="77"/>
        <v>1700</v>
      </c>
      <c r="K1223" t="str">
        <f t="shared" si="76"/>
        <v>25-34</v>
      </c>
      <c r="L1223" t="str">
        <f t="shared" ca="1" si="78"/>
        <v>Safe</v>
      </c>
      <c r="M1223" t="str">
        <f t="shared" si="79"/>
        <v>Sep-2024</v>
      </c>
    </row>
    <row r="1224" spans="1:13" x14ac:dyDescent="0.35">
      <c r="A1224">
        <v>11223</v>
      </c>
      <c r="B1224">
        <v>19</v>
      </c>
      <c r="C1224" t="s">
        <v>10</v>
      </c>
      <c r="D1224" t="s">
        <v>13</v>
      </c>
      <c r="E1224" s="2">
        <v>45692</v>
      </c>
      <c r="F1224" s="2">
        <v>46022</v>
      </c>
      <c r="G1224">
        <v>1000</v>
      </c>
      <c r="H1224" t="s">
        <v>14</v>
      </c>
      <c r="I1224" t="s">
        <v>16</v>
      </c>
      <c r="J1224">
        <f t="shared" si="77"/>
        <v>3000</v>
      </c>
      <c r="K1224" t="str">
        <f t="shared" si="76"/>
        <v>18-24</v>
      </c>
      <c r="L1224" t="str">
        <f t="shared" ca="1" si="78"/>
        <v>Safe</v>
      </c>
      <c r="M1224" t="str">
        <f t="shared" si="79"/>
        <v>Feb-2025</v>
      </c>
    </row>
    <row r="1225" spans="1:13" x14ac:dyDescent="0.35">
      <c r="A1225">
        <v>11224</v>
      </c>
      <c r="B1225">
        <v>30</v>
      </c>
      <c r="C1225" t="s">
        <v>9</v>
      </c>
      <c r="D1225" t="s">
        <v>11</v>
      </c>
      <c r="E1225" s="2">
        <v>45187</v>
      </c>
      <c r="F1225" s="2">
        <v>46017</v>
      </c>
      <c r="G1225">
        <v>1200</v>
      </c>
      <c r="H1225" t="s">
        <v>14</v>
      </c>
      <c r="I1225" t="s">
        <v>16</v>
      </c>
      <c r="J1225">
        <f t="shared" si="77"/>
        <v>1200</v>
      </c>
      <c r="K1225" t="str">
        <f t="shared" si="76"/>
        <v>25-34</v>
      </c>
      <c r="L1225" t="str">
        <f t="shared" ca="1" si="78"/>
        <v>Safe</v>
      </c>
      <c r="M1225" t="str">
        <f t="shared" si="79"/>
        <v>Sep-2023</v>
      </c>
    </row>
    <row r="1226" spans="1:13" x14ac:dyDescent="0.35">
      <c r="A1226">
        <v>11225</v>
      </c>
      <c r="B1226">
        <v>25</v>
      </c>
      <c r="C1226" t="s">
        <v>9</v>
      </c>
      <c r="D1226" t="s">
        <v>13</v>
      </c>
      <c r="E1226" s="2">
        <v>45407</v>
      </c>
      <c r="F1226" s="2">
        <v>46019</v>
      </c>
      <c r="G1226">
        <v>1500</v>
      </c>
      <c r="H1226" t="s">
        <v>15</v>
      </c>
      <c r="I1226" t="s">
        <v>16</v>
      </c>
      <c r="J1226">
        <f t="shared" si="77"/>
        <v>4500</v>
      </c>
      <c r="K1226" t="str">
        <f t="shared" si="76"/>
        <v>25-34</v>
      </c>
      <c r="L1226" t="str">
        <f t="shared" ca="1" si="78"/>
        <v>Safe</v>
      </c>
      <c r="M1226" t="str">
        <f t="shared" si="79"/>
        <v>Apr-2024</v>
      </c>
    </row>
    <row r="1227" spans="1:13" x14ac:dyDescent="0.35">
      <c r="A1227">
        <v>11226</v>
      </c>
      <c r="B1227">
        <v>19</v>
      </c>
      <c r="C1227" t="s">
        <v>10</v>
      </c>
      <c r="D1227" t="s">
        <v>11</v>
      </c>
      <c r="E1227" s="2">
        <v>45554</v>
      </c>
      <c r="F1227" s="2">
        <v>45982</v>
      </c>
      <c r="G1227">
        <v>1200</v>
      </c>
      <c r="H1227" t="s">
        <v>14</v>
      </c>
      <c r="I1227" t="s">
        <v>17</v>
      </c>
      <c r="J1227">
        <f t="shared" si="77"/>
        <v>1200</v>
      </c>
      <c r="K1227" t="str">
        <f t="shared" si="76"/>
        <v>18-24</v>
      </c>
      <c r="L1227" t="str">
        <f t="shared" ca="1" si="78"/>
        <v>High Risk</v>
      </c>
      <c r="M1227" t="str">
        <f t="shared" si="79"/>
        <v>Sep-2024</v>
      </c>
    </row>
    <row r="1228" spans="1:13" x14ac:dyDescent="0.35">
      <c r="A1228">
        <v>11227</v>
      </c>
      <c r="B1228">
        <v>37</v>
      </c>
      <c r="C1228" t="s">
        <v>9</v>
      </c>
      <c r="D1228" t="s">
        <v>12</v>
      </c>
      <c r="E1228" s="2">
        <v>45723</v>
      </c>
      <c r="F1228" s="2">
        <v>46031</v>
      </c>
      <c r="G1228">
        <v>800</v>
      </c>
      <c r="H1228" t="s">
        <v>14</v>
      </c>
      <c r="I1228" t="s">
        <v>16</v>
      </c>
      <c r="J1228">
        <f t="shared" si="77"/>
        <v>9600</v>
      </c>
      <c r="K1228" t="str">
        <f t="shared" si="76"/>
        <v>35+</v>
      </c>
      <c r="L1228" t="str">
        <f t="shared" ca="1" si="78"/>
        <v>Safe</v>
      </c>
      <c r="M1228" t="str">
        <f t="shared" si="79"/>
        <v>Mar-2025</v>
      </c>
    </row>
    <row r="1229" spans="1:13" x14ac:dyDescent="0.35">
      <c r="A1229">
        <v>11228</v>
      </c>
      <c r="B1229">
        <v>18</v>
      </c>
      <c r="C1229" t="s">
        <v>9</v>
      </c>
      <c r="D1229" t="s">
        <v>12</v>
      </c>
      <c r="E1229" s="2">
        <v>45431</v>
      </c>
      <c r="F1229" s="2">
        <v>46014</v>
      </c>
      <c r="G1229">
        <v>800</v>
      </c>
      <c r="H1229" t="s">
        <v>14</v>
      </c>
      <c r="I1229" t="s">
        <v>16</v>
      </c>
      <c r="J1229">
        <f t="shared" si="77"/>
        <v>9600</v>
      </c>
      <c r="K1229" t="str">
        <f t="shared" si="76"/>
        <v>18-24</v>
      </c>
      <c r="L1229" t="str">
        <f t="shared" ca="1" si="78"/>
        <v>Safe</v>
      </c>
      <c r="M1229" t="str">
        <f t="shared" si="79"/>
        <v>May-2024</v>
      </c>
    </row>
    <row r="1230" spans="1:13" x14ac:dyDescent="0.35">
      <c r="A1230">
        <v>11229</v>
      </c>
      <c r="B1230">
        <v>22</v>
      </c>
      <c r="C1230" t="s">
        <v>9</v>
      </c>
      <c r="D1230" t="s">
        <v>12</v>
      </c>
      <c r="E1230" s="2">
        <v>45994</v>
      </c>
      <c r="F1230" s="2">
        <v>45960</v>
      </c>
      <c r="G1230">
        <v>800</v>
      </c>
      <c r="H1230" t="s">
        <v>14</v>
      </c>
      <c r="I1230" t="s">
        <v>17</v>
      </c>
      <c r="J1230">
        <f t="shared" si="77"/>
        <v>9600</v>
      </c>
      <c r="K1230" t="str">
        <f t="shared" si="76"/>
        <v>18-24</v>
      </c>
      <c r="L1230" t="str">
        <f t="shared" ca="1" si="78"/>
        <v>High Risk</v>
      </c>
      <c r="M1230" t="str">
        <f t="shared" si="79"/>
        <v>Dec-2025</v>
      </c>
    </row>
    <row r="1231" spans="1:13" x14ac:dyDescent="0.35">
      <c r="A1231">
        <v>11230</v>
      </c>
      <c r="B1231">
        <v>26</v>
      </c>
      <c r="C1231" t="s">
        <v>10</v>
      </c>
      <c r="D1231" t="s">
        <v>11</v>
      </c>
      <c r="E1231" s="2">
        <v>45785</v>
      </c>
      <c r="F1231" s="2">
        <v>46013</v>
      </c>
      <c r="G1231">
        <v>1200</v>
      </c>
      <c r="H1231" t="s">
        <v>14</v>
      </c>
      <c r="I1231" t="s">
        <v>16</v>
      </c>
      <c r="J1231">
        <f t="shared" si="77"/>
        <v>1200</v>
      </c>
      <c r="K1231" t="str">
        <f t="shared" si="76"/>
        <v>25-34</v>
      </c>
      <c r="L1231" t="str">
        <f t="shared" ca="1" si="78"/>
        <v>Safe</v>
      </c>
      <c r="M1231" t="str">
        <f t="shared" si="79"/>
        <v>May-2025</v>
      </c>
    </row>
    <row r="1232" spans="1:13" x14ac:dyDescent="0.35">
      <c r="A1232">
        <v>11231</v>
      </c>
      <c r="B1232">
        <v>34</v>
      </c>
      <c r="C1232" t="s">
        <v>9</v>
      </c>
      <c r="D1232" t="s">
        <v>11</v>
      </c>
      <c r="E1232" s="2">
        <v>45842</v>
      </c>
      <c r="F1232" s="2">
        <v>46014</v>
      </c>
      <c r="G1232">
        <v>1200</v>
      </c>
      <c r="H1232" t="s">
        <v>14</v>
      </c>
      <c r="I1232" t="s">
        <v>16</v>
      </c>
      <c r="J1232">
        <f t="shared" si="77"/>
        <v>1200</v>
      </c>
      <c r="K1232" t="str">
        <f t="shared" si="76"/>
        <v>25-34</v>
      </c>
      <c r="L1232" t="str">
        <f t="shared" ca="1" si="78"/>
        <v>Safe</v>
      </c>
      <c r="M1232" t="str">
        <f t="shared" si="79"/>
        <v>Jul-2025</v>
      </c>
    </row>
    <row r="1233" spans="1:13" x14ac:dyDescent="0.35">
      <c r="A1233">
        <v>11232</v>
      </c>
      <c r="B1233">
        <v>26</v>
      </c>
      <c r="C1233" t="s">
        <v>9</v>
      </c>
      <c r="D1233" t="s">
        <v>13</v>
      </c>
      <c r="E1233" s="2">
        <v>45372</v>
      </c>
      <c r="F1233" s="2">
        <v>46028</v>
      </c>
      <c r="G1233">
        <v>1500</v>
      </c>
      <c r="H1233" t="s">
        <v>15</v>
      </c>
      <c r="I1233" t="s">
        <v>16</v>
      </c>
      <c r="J1233">
        <f t="shared" si="77"/>
        <v>4500</v>
      </c>
      <c r="K1233" t="str">
        <f t="shared" si="76"/>
        <v>25-34</v>
      </c>
      <c r="L1233" t="str">
        <f t="shared" ca="1" si="78"/>
        <v>Safe</v>
      </c>
      <c r="M1233" t="str">
        <f t="shared" si="79"/>
        <v>Mar-2024</v>
      </c>
    </row>
    <row r="1234" spans="1:13" x14ac:dyDescent="0.35">
      <c r="A1234">
        <v>11233</v>
      </c>
      <c r="B1234">
        <v>28</v>
      </c>
      <c r="C1234" t="s">
        <v>9</v>
      </c>
      <c r="D1234" t="s">
        <v>11</v>
      </c>
      <c r="E1234" s="2">
        <v>45850</v>
      </c>
      <c r="F1234" s="2">
        <v>46015</v>
      </c>
      <c r="G1234">
        <v>1700</v>
      </c>
      <c r="H1234" t="s">
        <v>15</v>
      </c>
      <c r="I1234" t="s">
        <v>16</v>
      </c>
      <c r="J1234">
        <f t="shared" si="77"/>
        <v>1700</v>
      </c>
      <c r="K1234" t="str">
        <f t="shared" si="76"/>
        <v>25-34</v>
      </c>
      <c r="L1234" t="str">
        <f t="shared" ca="1" si="78"/>
        <v>Safe</v>
      </c>
      <c r="M1234" t="str">
        <f t="shared" si="79"/>
        <v>Jul-2025</v>
      </c>
    </row>
    <row r="1235" spans="1:13" x14ac:dyDescent="0.35">
      <c r="A1235">
        <v>11234</v>
      </c>
      <c r="B1235">
        <v>32</v>
      </c>
      <c r="C1235" t="s">
        <v>9</v>
      </c>
      <c r="D1235" t="s">
        <v>11</v>
      </c>
      <c r="E1235" s="2">
        <v>45992</v>
      </c>
      <c r="F1235" s="2">
        <v>46032</v>
      </c>
      <c r="G1235">
        <v>1700</v>
      </c>
      <c r="H1235" t="s">
        <v>15</v>
      </c>
      <c r="I1235" t="s">
        <v>16</v>
      </c>
      <c r="J1235">
        <f t="shared" si="77"/>
        <v>1700</v>
      </c>
      <c r="K1235" t="str">
        <f t="shared" si="76"/>
        <v>25-34</v>
      </c>
      <c r="L1235" t="str">
        <f t="shared" ca="1" si="78"/>
        <v>Safe</v>
      </c>
      <c r="M1235" t="str">
        <f t="shared" si="79"/>
        <v>Dec-2025</v>
      </c>
    </row>
    <row r="1236" spans="1:13" x14ac:dyDescent="0.35">
      <c r="A1236">
        <v>11235</v>
      </c>
      <c r="B1236">
        <v>41</v>
      </c>
      <c r="C1236" t="s">
        <v>9</v>
      </c>
      <c r="D1236" t="s">
        <v>13</v>
      </c>
      <c r="E1236" s="2">
        <v>45499</v>
      </c>
      <c r="F1236" s="2">
        <v>45914</v>
      </c>
      <c r="G1236">
        <v>1000</v>
      </c>
      <c r="H1236" t="s">
        <v>14</v>
      </c>
      <c r="I1236" t="s">
        <v>17</v>
      </c>
      <c r="J1236">
        <f t="shared" si="77"/>
        <v>3000</v>
      </c>
      <c r="K1236" t="str">
        <f t="shared" si="76"/>
        <v>35+</v>
      </c>
      <c r="L1236" t="str">
        <f t="shared" ca="1" si="78"/>
        <v>High Risk</v>
      </c>
      <c r="M1236" t="str">
        <f t="shared" si="79"/>
        <v>Jul-2024</v>
      </c>
    </row>
    <row r="1237" spans="1:13" x14ac:dyDescent="0.35">
      <c r="A1237">
        <v>11236</v>
      </c>
      <c r="B1237">
        <v>23</v>
      </c>
      <c r="C1237" t="s">
        <v>10</v>
      </c>
      <c r="D1237" t="s">
        <v>13</v>
      </c>
      <c r="E1237" s="2">
        <v>45997</v>
      </c>
      <c r="F1237" s="2">
        <v>46014</v>
      </c>
      <c r="G1237">
        <v>1000</v>
      </c>
      <c r="H1237" t="s">
        <v>14</v>
      </c>
      <c r="I1237" t="s">
        <v>16</v>
      </c>
      <c r="J1237">
        <f t="shared" si="77"/>
        <v>3000</v>
      </c>
      <c r="K1237" t="str">
        <f t="shared" si="76"/>
        <v>18-24</v>
      </c>
      <c r="L1237" t="str">
        <f t="shared" ca="1" si="78"/>
        <v>Safe</v>
      </c>
      <c r="M1237" t="str">
        <f t="shared" si="79"/>
        <v>Dec-2025</v>
      </c>
    </row>
    <row r="1238" spans="1:13" x14ac:dyDescent="0.35">
      <c r="A1238">
        <v>11237</v>
      </c>
      <c r="B1238">
        <v>40</v>
      </c>
      <c r="C1238" t="s">
        <v>9</v>
      </c>
      <c r="D1238" t="s">
        <v>12</v>
      </c>
      <c r="E1238" s="2">
        <v>45864</v>
      </c>
      <c r="F1238" s="2">
        <v>46009</v>
      </c>
      <c r="G1238">
        <v>800</v>
      </c>
      <c r="H1238" t="s">
        <v>14</v>
      </c>
      <c r="I1238" t="s">
        <v>16</v>
      </c>
      <c r="J1238">
        <f t="shared" si="77"/>
        <v>9600</v>
      </c>
      <c r="K1238" t="str">
        <f t="shared" si="76"/>
        <v>35+</v>
      </c>
      <c r="L1238" t="str">
        <f t="shared" ca="1" si="78"/>
        <v>Safe</v>
      </c>
      <c r="M1238" t="str">
        <f t="shared" si="79"/>
        <v>Jul-2025</v>
      </c>
    </row>
    <row r="1239" spans="1:13" x14ac:dyDescent="0.35">
      <c r="A1239">
        <v>11238</v>
      </c>
      <c r="B1239">
        <v>20</v>
      </c>
      <c r="C1239" t="s">
        <v>10</v>
      </c>
      <c r="D1239" t="s">
        <v>11</v>
      </c>
      <c r="E1239" s="2">
        <v>45675</v>
      </c>
      <c r="F1239" s="2">
        <v>46015</v>
      </c>
      <c r="G1239">
        <v>1200</v>
      </c>
      <c r="H1239" t="s">
        <v>14</v>
      </c>
      <c r="I1239" t="s">
        <v>16</v>
      </c>
      <c r="J1239">
        <f t="shared" si="77"/>
        <v>1200</v>
      </c>
      <c r="K1239" t="str">
        <f t="shared" si="76"/>
        <v>18-24</v>
      </c>
      <c r="L1239" t="str">
        <f t="shared" ca="1" si="78"/>
        <v>Safe</v>
      </c>
      <c r="M1239" t="str">
        <f t="shared" si="79"/>
        <v>Jan-2025</v>
      </c>
    </row>
    <row r="1240" spans="1:13" x14ac:dyDescent="0.35">
      <c r="A1240">
        <v>11239</v>
      </c>
      <c r="B1240">
        <v>34</v>
      </c>
      <c r="C1240" t="s">
        <v>9</v>
      </c>
      <c r="D1240" t="s">
        <v>11</v>
      </c>
      <c r="E1240" s="2">
        <v>45273</v>
      </c>
      <c r="F1240" s="2">
        <v>46024</v>
      </c>
      <c r="G1240">
        <v>1200</v>
      </c>
      <c r="H1240" t="s">
        <v>14</v>
      </c>
      <c r="I1240" t="s">
        <v>16</v>
      </c>
      <c r="J1240">
        <f t="shared" si="77"/>
        <v>1200</v>
      </c>
      <c r="K1240" t="str">
        <f t="shared" si="76"/>
        <v>25-34</v>
      </c>
      <c r="L1240" t="str">
        <f t="shared" ca="1" si="78"/>
        <v>Safe</v>
      </c>
      <c r="M1240" t="str">
        <f t="shared" si="79"/>
        <v>Dec-2023</v>
      </c>
    </row>
    <row r="1241" spans="1:13" x14ac:dyDescent="0.35">
      <c r="A1241">
        <v>11240</v>
      </c>
      <c r="B1241">
        <v>22</v>
      </c>
      <c r="C1241" t="s">
        <v>9</v>
      </c>
      <c r="D1241" t="s">
        <v>11</v>
      </c>
      <c r="E1241" s="2">
        <v>45851</v>
      </c>
      <c r="F1241" s="2">
        <v>46017</v>
      </c>
      <c r="G1241">
        <v>1200</v>
      </c>
      <c r="H1241" t="s">
        <v>14</v>
      </c>
      <c r="I1241" t="s">
        <v>16</v>
      </c>
      <c r="J1241">
        <f t="shared" si="77"/>
        <v>1200</v>
      </c>
      <c r="K1241" t="str">
        <f t="shared" si="76"/>
        <v>18-24</v>
      </c>
      <c r="L1241" t="str">
        <f t="shared" ca="1" si="78"/>
        <v>Safe</v>
      </c>
      <c r="M1241" t="str">
        <f t="shared" si="79"/>
        <v>Jul-2025</v>
      </c>
    </row>
    <row r="1242" spans="1:13" x14ac:dyDescent="0.35">
      <c r="A1242">
        <v>11241</v>
      </c>
      <c r="B1242">
        <v>45</v>
      </c>
      <c r="C1242" t="s">
        <v>9</v>
      </c>
      <c r="D1242" t="s">
        <v>12</v>
      </c>
      <c r="E1242" s="2">
        <v>45439</v>
      </c>
      <c r="F1242" s="2">
        <v>46014</v>
      </c>
      <c r="G1242">
        <v>1300</v>
      </c>
      <c r="H1242" t="s">
        <v>15</v>
      </c>
      <c r="I1242" t="s">
        <v>16</v>
      </c>
      <c r="J1242">
        <f t="shared" si="77"/>
        <v>15600</v>
      </c>
      <c r="K1242" t="str">
        <f t="shared" si="76"/>
        <v>35+</v>
      </c>
      <c r="L1242" t="str">
        <f t="shared" ca="1" si="78"/>
        <v>Safe</v>
      </c>
      <c r="M1242" t="str">
        <f t="shared" si="79"/>
        <v>May-2024</v>
      </c>
    </row>
    <row r="1243" spans="1:13" x14ac:dyDescent="0.35">
      <c r="A1243">
        <v>11242</v>
      </c>
      <c r="B1243">
        <v>29</v>
      </c>
      <c r="C1243" t="s">
        <v>9</v>
      </c>
      <c r="D1243" t="s">
        <v>12</v>
      </c>
      <c r="E1243" s="2">
        <v>45489</v>
      </c>
      <c r="F1243" s="2">
        <v>46032</v>
      </c>
      <c r="G1243">
        <v>800</v>
      </c>
      <c r="H1243" t="s">
        <v>14</v>
      </c>
      <c r="I1243" t="s">
        <v>16</v>
      </c>
      <c r="J1243">
        <f t="shared" si="77"/>
        <v>9600</v>
      </c>
      <c r="K1243" t="str">
        <f t="shared" si="76"/>
        <v>25-34</v>
      </c>
      <c r="L1243" t="str">
        <f t="shared" ca="1" si="78"/>
        <v>Safe</v>
      </c>
      <c r="M1243" t="str">
        <f t="shared" si="79"/>
        <v>Jul-2024</v>
      </c>
    </row>
    <row r="1244" spans="1:13" x14ac:dyDescent="0.35">
      <c r="A1244">
        <v>11243</v>
      </c>
      <c r="B1244">
        <v>35</v>
      </c>
      <c r="C1244" t="s">
        <v>9</v>
      </c>
      <c r="D1244" t="s">
        <v>12</v>
      </c>
      <c r="E1244" s="2">
        <v>45454</v>
      </c>
      <c r="F1244" s="2">
        <v>45980</v>
      </c>
      <c r="G1244">
        <v>800</v>
      </c>
      <c r="H1244" t="s">
        <v>14</v>
      </c>
      <c r="I1244" t="s">
        <v>17</v>
      </c>
      <c r="J1244">
        <f t="shared" si="77"/>
        <v>9600</v>
      </c>
      <c r="K1244" t="str">
        <f t="shared" si="76"/>
        <v>35+</v>
      </c>
      <c r="L1244" t="str">
        <f t="shared" ca="1" si="78"/>
        <v>High Risk</v>
      </c>
      <c r="M1244" t="str">
        <f t="shared" si="79"/>
        <v>Jun-2024</v>
      </c>
    </row>
    <row r="1245" spans="1:13" x14ac:dyDescent="0.35">
      <c r="A1245">
        <v>11244</v>
      </c>
      <c r="B1245">
        <v>31</v>
      </c>
      <c r="C1245" t="s">
        <v>9</v>
      </c>
      <c r="D1245" t="s">
        <v>12</v>
      </c>
      <c r="E1245" s="2">
        <v>45557</v>
      </c>
      <c r="F1245" s="2">
        <v>46021</v>
      </c>
      <c r="G1245">
        <v>800</v>
      </c>
      <c r="H1245" t="s">
        <v>14</v>
      </c>
      <c r="I1245" t="s">
        <v>16</v>
      </c>
      <c r="J1245">
        <f t="shared" si="77"/>
        <v>9600</v>
      </c>
      <c r="K1245" t="str">
        <f t="shared" si="76"/>
        <v>25-34</v>
      </c>
      <c r="L1245" t="str">
        <f t="shared" ca="1" si="78"/>
        <v>Safe</v>
      </c>
      <c r="M1245" t="str">
        <f t="shared" si="79"/>
        <v>Sep-2024</v>
      </c>
    </row>
    <row r="1246" spans="1:13" x14ac:dyDescent="0.35">
      <c r="A1246">
        <v>11245</v>
      </c>
      <c r="B1246">
        <v>38</v>
      </c>
      <c r="C1246" t="s">
        <v>9</v>
      </c>
      <c r="D1246" t="s">
        <v>13</v>
      </c>
      <c r="E1246" s="2">
        <v>45987</v>
      </c>
      <c r="F1246" s="2">
        <v>46008</v>
      </c>
      <c r="G1246">
        <v>1000</v>
      </c>
      <c r="H1246" t="s">
        <v>14</v>
      </c>
      <c r="I1246" t="s">
        <v>16</v>
      </c>
      <c r="J1246">
        <f t="shared" si="77"/>
        <v>3000</v>
      </c>
      <c r="K1246" t="str">
        <f t="shared" si="76"/>
        <v>35+</v>
      </c>
      <c r="L1246" t="str">
        <f t="shared" ca="1" si="78"/>
        <v>Safe</v>
      </c>
      <c r="M1246" t="str">
        <f t="shared" si="79"/>
        <v>Nov-2025</v>
      </c>
    </row>
    <row r="1247" spans="1:13" x14ac:dyDescent="0.35">
      <c r="A1247">
        <v>11246</v>
      </c>
      <c r="B1247">
        <v>41</v>
      </c>
      <c r="C1247" t="s">
        <v>9</v>
      </c>
      <c r="D1247" t="s">
        <v>13</v>
      </c>
      <c r="E1247" s="2">
        <v>45356</v>
      </c>
      <c r="F1247" s="2">
        <v>46019</v>
      </c>
      <c r="G1247">
        <v>1000</v>
      </c>
      <c r="H1247" t="s">
        <v>14</v>
      </c>
      <c r="I1247" t="s">
        <v>16</v>
      </c>
      <c r="J1247">
        <f t="shared" si="77"/>
        <v>3000</v>
      </c>
      <c r="K1247" t="str">
        <f t="shared" si="76"/>
        <v>35+</v>
      </c>
      <c r="L1247" t="str">
        <f t="shared" ca="1" si="78"/>
        <v>Safe</v>
      </c>
      <c r="M1247" t="str">
        <f t="shared" si="79"/>
        <v>Mar-2024</v>
      </c>
    </row>
    <row r="1248" spans="1:13" x14ac:dyDescent="0.35">
      <c r="A1248">
        <v>11247</v>
      </c>
      <c r="B1248">
        <v>28</v>
      </c>
      <c r="C1248" t="s">
        <v>9</v>
      </c>
      <c r="D1248" t="s">
        <v>11</v>
      </c>
      <c r="E1248" s="2">
        <v>45705</v>
      </c>
      <c r="F1248" s="2">
        <v>46015</v>
      </c>
      <c r="G1248">
        <v>1700</v>
      </c>
      <c r="H1248" t="s">
        <v>15</v>
      </c>
      <c r="I1248" t="s">
        <v>16</v>
      </c>
      <c r="J1248">
        <f t="shared" si="77"/>
        <v>1700</v>
      </c>
      <c r="K1248" t="str">
        <f t="shared" si="76"/>
        <v>25-34</v>
      </c>
      <c r="L1248" t="str">
        <f t="shared" ca="1" si="78"/>
        <v>Safe</v>
      </c>
      <c r="M1248" t="str">
        <f t="shared" si="79"/>
        <v>Feb-2025</v>
      </c>
    </row>
    <row r="1249" spans="1:13" x14ac:dyDescent="0.35">
      <c r="A1249">
        <v>11248</v>
      </c>
      <c r="B1249">
        <v>26</v>
      </c>
      <c r="C1249" t="s">
        <v>10</v>
      </c>
      <c r="D1249" t="s">
        <v>13</v>
      </c>
      <c r="E1249" s="2">
        <v>45774</v>
      </c>
      <c r="F1249" s="2">
        <v>45959</v>
      </c>
      <c r="G1249">
        <v>1000</v>
      </c>
      <c r="H1249" t="s">
        <v>14</v>
      </c>
      <c r="I1249" t="s">
        <v>17</v>
      </c>
      <c r="J1249">
        <f t="shared" si="77"/>
        <v>3000</v>
      </c>
      <c r="K1249" t="str">
        <f t="shared" si="76"/>
        <v>25-34</v>
      </c>
      <c r="L1249" t="str">
        <f t="shared" ca="1" si="78"/>
        <v>High Risk</v>
      </c>
      <c r="M1249" t="str">
        <f t="shared" si="79"/>
        <v>Apr-2025</v>
      </c>
    </row>
    <row r="1250" spans="1:13" x14ac:dyDescent="0.35">
      <c r="A1250">
        <v>11249</v>
      </c>
      <c r="B1250">
        <v>19</v>
      </c>
      <c r="C1250" t="s">
        <v>10</v>
      </c>
      <c r="D1250" t="s">
        <v>13</v>
      </c>
      <c r="E1250" s="2">
        <v>45986</v>
      </c>
      <c r="F1250" s="2">
        <v>46020</v>
      </c>
      <c r="G1250">
        <v>1000</v>
      </c>
      <c r="H1250" t="s">
        <v>14</v>
      </c>
      <c r="I1250" t="s">
        <v>16</v>
      </c>
      <c r="J1250">
        <f t="shared" si="77"/>
        <v>3000</v>
      </c>
      <c r="K1250" t="str">
        <f t="shared" si="76"/>
        <v>18-24</v>
      </c>
      <c r="L1250" t="str">
        <f t="shared" ca="1" si="78"/>
        <v>Safe</v>
      </c>
      <c r="M1250" t="str">
        <f t="shared" si="79"/>
        <v>Nov-2025</v>
      </c>
    </row>
    <row r="1251" spans="1:13" x14ac:dyDescent="0.35">
      <c r="A1251">
        <v>11250</v>
      </c>
      <c r="B1251">
        <v>29</v>
      </c>
      <c r="C1251" t="s">
        <v>9</v>
      </c>
      <c r="D1251" t="s">
        <v>13</v>
      </c>
      <c r="E1251" s="2">
        <v>45582</v>
      </c>
      <c r="F1251" s="2">
        <v>46017</v>
      </c>
      <c r="G1251">
        <v>1000</v>
      </c>
      <c r="H1251" t="s">
        <v>14</v>
      </c>
      <c r="I1251" t="s">
        <v>16</v>
      </c>
      <c r="J1251">
        <f t="shared" si="77"/>
        <v>3000</v>
      </c>
      <c r="K1251" t="str">
        <f t="shared" si="76"/>
        <v>25-34</v>
      </c>
      <c r="L1251" t="str">
        <f t="shared" ca="1" si="78"/>
        <v>Safe</v>
      </c>
      <c r="M1251" t="str">
        <f t="shared" si="79"/>
        <v>Oct-2024</v>
      </c>
    </row>
    <row r="1252" spans="1:13" x14ac:dyDescent="0.35">
      <c r="A1252">
        <v>11251</v>
      </c>
      <c r="B1252">
        <v>20</v>
      </c>
      <c r="C1252" t="s">
        <v>9</v>
      </c>
      <c r="D1252" t="s">
        <v>12</v>
      </c>
      <c r="E1252" s="2">
        <v>45601</v>
      </c>
      <c r="F1252" s="2">
        <v>46029</v>
      </c>
      <c r="G1252">
        <v>800</v>
      </c>
      <c r="H1252" t="s">
        <v>14</v>
      </c>
      <c r="I1252" t="s">
        <v>16</v>
      </c>
      <c r="J1252">
        <f t="shared" si="77"/>
        <v>9600</v>
      </c>
      <c r="K1252" t="str">
        <f t="shared" si="76"/>
        <v>18-24</v>
      </c>
      <c r="L1252" t="str">
        <f t="shared" ca="1" si="78"/>
        <v>Safe</v>
      </c>
      <c r="M1252" t="str">
        <f t="shared" si="79"/>
        <v>Nov-2024</v>
      </c>
    </row>
    <row r="1253" spans="1:13" x14ac:dyDescent="0.35">
      <c r="A1253">
        <v>11252</v>
      </c>
      <c r="B1253">
        <v>20</v>
      </c>
      <c r="C1253" t="s">
        <v>9</v>
      </c>
      <c r="D1253" t="s">
        <v>12</v>
      </c>
      <c r="E1253" s="2">
        <v>45520</v>
      </c>
      <c r="F1253" s="2">
        <v>46023</v>
      </c>
      <c r="G1253">
        <v>800</v>
      </c>
      <c r="H1253" t="s">
        <v>14</v>
      </c>
      <c r="I1253" t="s">
        <v>16</v>
      </c>
      <c r="J1253">
        <f t="shared" si="77"/>
        <v>9600</v>
      </c>
      <c r="K1253" t="str">
        <f t="shared" si="76"/>
        <v>18-24</v>
      </c>
      <c r="L1253" t="str">
        <f t="shared" ca="1" si="78"/>
        <v>Safe</v>
      </c>
      <c r="M1253" t="str">
        <f t="shared" si="79"/>
        <v>Aug-2024</v>
      </c>
    </row>
    <row r="1254" spans="1:13" x14ac:dyDescent="0.35">
      <c r="A1254">
        <v>11253</v>
      </c>
      <c r="B1254">
        <v>18</v>
      </c>
      <c r="C1254" t="s">
        <v>9</v>
      </c>
      <c r="D1254" t="s">
        <v>12</v>
      </c>
      <c r="E1254" s="2">
        <v>45216</v>
      </c>
      <c r="F1254" s="2">
        <v>46023</v>
      </c>
      <c r="G1254">
        <v>800</v>
      </c>
      <c r="H1254" t="s">
        <v>14</v>
      </c>
      <c r="I1254" t="s">
        <v>16</v>
      </c>
      <c r="J1254">
        <f t="shared" si="77"/>
        <v>9600</v>
      </c>
      <c r="K1254" t="str">
        <f t="shared" si="76"/>
        <v>18-24</v>
      </c>
      <c r="L1254" t="str">
        <f t="shared" ca="1" si="78"/>
        <v>Safe</v>
      </c>
      <c r="M1254" t="str">
        <f t="shared" si="79"/>
        <v>Oct-2023</v>
      </c>
    </row>
    <row r="1255" spans="1:13" x14ac:dyDescent="0.35">
      <c r="A1255">
        <v>11254</v>
      </c>
      <c r="B1255">
        <v>25</v>
      </c>
      <c r="C1255" t="s">
        <v>9</v>
      </c>
      <c r="D1255" t="s">
        <v>12</v>
      </c>
      <c r="E1255" s="2">
        <v>45589</v>
      </c>
      <c r="F1255" s="2">
        <v>45994</v>
      </c>
      <c r="G1255">
        <v>800</v>
      </c>
      <c r="H1255" t="s">
        <v>14</v>
      </c>
      <c r="I1255" t="s">
        <v>17</v>
      </c>
      <c r="J1255">
        <f t="shared" si="77"/>
        <v>9600</v>
      </c>
      <c r="K1255" t="str">
        <f t="shared" si="76"/>
        <v>25-34</v>
      </c>
      <c r="L1255" t="str">
        <f t="shared" ca="1" si="78"/>
        <v>High Risk</v>
      </c>
      <c r="M1255" t="str">
        <f t="shared" si="79"/>
        <v>Oct-2024</v>
      </c>
    </row>
    <row r="1256" spans="1:13" x14ac:dyDescent="0.35">
      <c r="A1256">
        <v>11255</v>
      </c>
      <c r="B1256">
        <v>39</v>
      </c>
      <c r="C1256" t="s">
        <v>10</v>
      </c>
      <c r="D1256" t="s">
        <v>13</v>
      </c>
      <c r="E1256" s="2">
        <v>45545</v>
      </c>
      <c r="F1256" s="2">
        <v>46018</v>
      </c>
      <c r="G1256">
        <v>1000</v>
      </c>
      <c r="H1256" t="s">
        <v>14</v>
      </c>
      <c r="I1256" t="s">
        <v>16</v>
      </c>
      <c r="J1256">
        <f t="shared" si="77"/>
        <v>3000</v>
      </c>
      <c r="K1256" t="str">
        <f t="shared" si="76"/>
        <v>35+</v>
      </c>
      <c r="L1256" t="str">
        <f t="shared" ca="1" si="78"/>
        <v>Safe</v>
      </c>
      <c r="M1256" t="str">
        <f t="shared" si="79"/>
        <v>Sep-2024</v>
      </c>
    </row>
    <row r="1257" spans="1:13" x14ac:dyDescent="0.35">
      <c r="A1257">
        <v>11256</v>
      </c>
      <c r="B1257">
        <v>45</v>
      </c>
      <c r="C1257" t="s">
        <v>9</v>
      </c>
      <c r="D1257" t="s">
        <v>11</v>
      </c>
      <c r="E1257" s="2">
        <v>45633</v>
      </c>
      <c r="F1257" s="2">
        <v>46008</v>
      </c>
      <c r="G1257">
        <v>1200</v>
      </c>
      <c r="H1257" t="s">
        <v>14</v>
      </c>
      <c r="I1257" t="s">
        <v>16</v>
      </c>
      <c r="J1257">
        <f t="shared" si="77"/>
        <v>1200</v>
      </c>
      <c r="K1257" t="str">
        <f t="shared" si="76"/>
        <v>35+</v>
      </c>
      <c r="L1257" t="str">
        <f t="shared" ca="1" si="78"/>
        <v>Safe</v>
      </c>
      <c r="M1257" t="str">
        <f t="shared" si="79"/>
        <v>Dec-2024</v>
      </c>
    </row>
    <row r="1258" spans="1:13" x14ac:dyDescent="0.35">
      <c r="A1258">
        <v>11257</v>
      </c>
      <c r="B1258">
        <v>25</v>
      </c>
      <c r="C1258" t="s">
        <v>9</v>
      </c>
      <c r="D1258" t="s">
        <v>11</v>
      </c>
      <c r="E1258" s="2">
        <v>45516</v>
      </c>
      <c r="F1258" s="2">
        <v>46015</v>
      </c>
      <c r="G1258">
        <v>1200</v>
      </c>
      <c r="H1258" t="s">
        <v>14</v>
      </c>
      <c r="I1258" t="s">
        <v>16</v>
      </c>
      <c r="J1258">
        <f t="shared" si="77"/>
        <v>1200</v>
      </c>
      <c r="K1258" t="str">
        <f t="shared" si="76"/>
        <v>25-34</v>
      </c>
      <c r="L1258" t="str">
        <f t="shared" ca="1" si="78"/>
        <v>Safe</v>
      </c>
      <c r="M1258" t="str">
        <f t="shared" si="79"/>
        <v>Aug-2024</v>
      </c>
    </row>
    <row r="1259" spans="1:13" x14ac:dyDescent="0.35">
      <c r="A1259">
        <v>11258</v>
      </c>
      <c r="B1259">
        <v>28</v>
      </c>
      <c r="C1259" t="s">
        <v>10</v>
      </c>
      <c r="D1259" t="s">
        <v>13</v>
      </c>
      <c r="E1259" s="2">
        <v>45174</v>
      </c>
      <c r="F1259" s="2">
        <v>46024</v>
      </c>
      <c r="G1259">
        <v>1000</v>
      </c>
      <c r="H1259" t="s">
        <v>14</v>
      </c>
      <c r="I1259" t="s">
        <v>16</v>
      </c>
      <c r="J1259">
        <f t="shared" si="77"/>
        <v>3000</v>
      </c>
      <c r="K1259" t="str">
        <f t="shared" si="76"/>
        <v>25-34</v>
      </c>
      <c r="L1259" t="str">
        <f t="shared" ca="1" si="78"/>
        <v>Safe</v>
      </c>
      <c r="M1259" t="str">
        <f t="shared" si="79"/>
        <v>Sep-2023</v>
      </c>
    </row>
    <row r="1260" spans="1:13" x14ac:dyDescent="0.35">
      <c r="A1260">
        <v>11259</v>
      </c>
      <c r="B1260">
        <v>26</v>
      </c>
      <c r="C1260" t="s">
        <v>9</v>
      </c>
      <c r="D1260" t="s">
        <v>13</v>
      </c>
      <c r="E1260" s="2">
        <v>45523</v>
      </c>
      <c r="F1260" s="2">
        <v>46012</v>
      </c>
      <c r="G1260">
        <v>1000</v>
      </c>
      <c r="H1260" t="s">
        <v>14</v>
      </c>
      <c r="I1260" t="s">
        <v>16</v>
      </c>
      <c r="J1260">
        <f t="shared" si="77"/>
        <v>3000</v>
      </c>
      <c r="K1260" t="str">
        <f t="shared" si="76"/>
        <v>25-34</v>
      </c>
      <c r="L1260" t="str">
        <f t="shared" ca="1" si="78"/>
        <v>Safe</v>
      </c>
      <c r="M1260" t="str">
        <f t="shared" si="79"/>
        <v>Aug-2024</v>
      </c>
    </row>
    <row r="1261" spans="1:13" x14ac:dyDescent="0.35">
      <c r="A1261">
        <v>11260</v>
      </c>
      <c r="B1261">
        <v>22</v>
      </c>
      <c r="C1261" t="s">
        <v>10</v>
      </c>
      <c r="D1261" t="s">
        <v>11</v>
      </c>
      <c r="E1261" s="2">
        <v>45664</v>
      </c>
      <c r="F1261" s="2">
        <v>45975</v>
      </c>
      <c r="G1261">
        <v>1700</v>
      </c>
      <c r="H1261" t="s">
        <v>15</v>
      </c>
      <c r="I1261" t="s">
        <v>17</v>
      </c>
      <c r="J1261">
        <f t="shared" si="77"/>
        <v>1700</v>
      </c>
      <c r="K1261" t="str">
        <f t="shared" si="76"/>
        <v>18-24</v>
      </c>
      <c r="L1261" t="str">
        <f t="shared" ca="1" si="78"/>
        <v>High Risk</v>
      </c>
      <c r="M1261" t="str">
        <f t="shared" si="79"/>
        <v>Jan-2025</v>
      </c>
    </row>
    <row r="1262" spans="1:13" x14ac:dyDescent="0.35">
      <c r="A1262">
        <v>11261</v>
      </c>
      <c r="B1262">
        <v>31</v>
      </c>
      <c r="C1262" t="s">
        <v>9</v>
      </c>
      <c r="D1262" t="s">
        <v>12</v>
      </c>
      <c r="E1262" s="2">
        <v>45938</v>
      </c>
      <c r="F1262" s="2">
        <v>46026</v>
      </c>
      <c r="G1262">
        <v>800</v>
      </c>
      <c r="H1262" t="s">
        <v>14</v>
      </c>
      <c r="I1262" t="s">
        <v>16</v>
      </c>
      <c r="J1262">
        <f t="shared" si="77"/>
        <v>9600</v>
      </c>
      <c r="K1262" t="str">
        <f t="shared" si="76"/>
        <v>25-34</v>
      </c>
      <c r="L1262" t="str">
        <f t="shared" ca="1" si="78"/>
        <v>Safe</v>
      </c>
      <c r="M1262" t="str">
        <f t="shared" si="79"/>
        <v>Oct-2025</v>
      </c>
    </row>
    <row r="1263" spans="1:13" x14ac:dyDescent="0.35">
      <c r="A1263">
        <v>11262</v>
      </c>
      <c r="B1263">
        <v>45</v>
      </c>
      <c r="C1263" t="s">
        <v>9</v>
      </c>
      <c r="D1263" t="s">
        <v>11</v>
      </c>
      <c r="E1263" s="2">
        <v>45715</v>
      </c>
      <c r="F1263" s="2">
        <v>46028</v>
      </c>
      <c r="G1263">
        <v>1700</v>
      </c>
      <c r="H1263" t="s">
        <v>15</v>
      </c>
      <c r="I1263" t="s">
        <v>16</v>
      </c>
      <c r="J1263">
        <f t="shared" si="77"/>
        <v>1700</v>
      </c>
      <c r="K1263" t="str">
        <f t="shared" si="76"/>
        <v>35+</v>
      </c>
      <c r="L1263" t="str">
        <f t="shared" ca="1" si="78"/>
        <v>Safe</v>
      </c>
      <c r="M1263" t="str">
        <f t="shared" si="79"/>
        <v>Feb-2025</v>
      </c>
    </row>
    <row r="1264" spans="1:13" x14ac:dyDescent="0.35">
      <c r="A1264">
        <v>11263</v>
      </c>
      <c r="B1264">
        <v>20</v>
      </c>
      <c r="C1264" t="s">
        <v>9</v>
      </c>
      <c r="D1264" t="s">
        <v>11</v>
      </c>
      <c r="E1264" s="2">
        <v>45529</v>
      </c>
      <c r="F1264" s="2">
        <v>45955</v>
      </c>
      <c r="G1264">
        <v>1200</v>
      </c>
      <c r="H1264" t="s">
        <v>14</v>
      </c>
      <c r="I1264" t="s">
        <v>17</v>
      </c>
      <c r="J1264">
        <f t="shared" si="77"/>
        <v>1200</v>
      </c>
      <c r="K1264" t="str">
        <f t="shared" si="76"/>
        <v>18-24</v>
      </c>
      <c r="L1264" t="str">
        <f t="shared" ca="1" si="78"/>
        <v>High Risk</v>
      </c>
      <c r="M1264" t="str">
        <f t="shared" si="79"/>
        <v>Aug-2024</v>
      </c>
    </row>
    <row r="1265" spans="1:13" x14ac:dyDescent="0.35">
      <c r="A1265">
        <v>11264</v>
      </c>
      <c r="B1265">
        <v>38</v>
      </c>
      <c r="C1265" t="s">
        <v>9</v>
      </c>
      <c r="D1265" t="s">
        <v>13</v>
      </c>
      <c r="E1265" s="2">
        <v>45702</v>
      </c>
      <c r="F1265" s="2">
        <v>46029</v>
      </c>
      <c r="G1265">
        <v>1500</v>
      </c>
      <c r="H1265" t="s">
        <v>15</v>
      </c>
      <c r="I1265" t="s">
        <v>16</v>
      </c>
      <c r="J1265">
        <f t="shared" si="77"/>
        <v>4500</v>
      </c>
      <c r="K1265" t="str">
        <f t="shared" si="76"/>
        <v>35+</v>
      </c>
      <c r="L1265" t="str">
        <f t="shared" ca="1" si="78"/>
        <v>Safe</v>
      </c>
      <c r="M1265" t="str">
        <f t="shared" si="79"/>
        <v>Feb-2025</v>
      </c>
    </row>
    <row r="1266" spans="1:13" x14ac:dyDescent="0.35">
      <c r="A1266">
        <v>11265</v>
      </c>
      <c r="B1266">
        <v>22</v>
      </c>
      <c r="C1266" t="s">
        <v>10</v>
      </c>
      <c r="D1266" t="s">
        <v>11</v>
      </c>
      <c r="E1266" s="2">
        <v>45327</v>
      </c>
      <c r="F1266" s="2">
        <v>46028</v>
      </c>
      <c r="G1266">
        <v>1700</v>
      </c>
      <c r="H1266" t="s">
        <v>15</v>
      </c>
      <c r="I1266" t="s">
        <v>16</v>
      </c>
      <c r="J1266">
        <f t="shared" si="77"/>
        <v>1700</v>
      </c>
      <c r="K1266" t="str">
        <f t="shared" si="76"/>
        <v>18-24</v>
      </c>
      <c r="L1266" t="str">
        <f t="shared" ca="1" si="78"/>
        <v>Safe</v>
      </c>
      <c r="M1266" t="str">
        <f t="shared" si="79"/>
        <v>Feb-2024</v>
      </c>
    </row>
    <row r="1267" spans="1:13" x14ac:dyDescent="0.35">
      <c r="A1267">
        <v>11266</v>
      </c>
      <c r="B1267">
        <v>22</v>
      </c>
      <c r="C1267" t="s">
        <v>9</v>
      </c>
      <c r="D1267" t="s">
        <v>11</v>
      </c>
      <c r="E1267" s="2">
        <v>45676</v>
      </c>
      <c r="F1267" s="2">
        <v>46018</v>
      </c>
      <c r="G1267">
        <v>1700</v>
      </c>
      <c r="H1267" t="s">
        <v>15</v>
      </c>
      <c r="I1267" t="s">
        <v>16</v>
      </c>
      <c r="J1267">
        <f t="shared" si="77"/>
        <v>1700</v>
      </c>
      <c r="K1267" t="str">
        <f t="shared" si="76"/>
        <v>18-24</v>
      </c>
      <c r="L1267" t="str">
        <f t="shared" ca="1" si="78"/>
        <v>Safe</v>
      </c>
      <c r="M1267" t="str">
        <f t="shared" si="79"/>
        <v>Jan-2025</v>
      </c>
    </row>
    <row r="1268" spans="1:13" x14ac:dyDescent="0.35">
      <c r="A1268">
        <v>11267</v>
      </c>
      <c r="B1268">
        <v>36</v>
      </c>
      <c r="C1268" t="s">
        <v>10</v>
      </c>
      <c r="D1268" t="s">
        <v>11</v>
      </c>
      <c r="E1268" s="2">
        <v>45369</v>
      </c>
      <c r="F1268" s="2">
        <v>46012</v>
      </c>
      <c r="G1268">
        <v>1700</v>
      </c>
      <c r="H1268" t="s">
        <v>15</v>
      </c>
      <c r="I1268" t="s">
        <v>16</v>
      </c>
      <c r="J1268">
        <f t="shared" si="77"/>
        <v>1700</v>
      </c>
      <c r="K1268" t="str">
        <f t="shared" si="76"/>
        <v>35+</v>
      </c>
      <c r="L1268" t="str">
        <f t="shared" ca="1" si="78"/>
        <v>Safe</v>
      </c>
      <c r="M1268" t="str">
        <f t="shared" si="79"/>
        <v>Mar-2024</v>
      </c>
    </row>
    <row r="1269" spans="1:13" x14ac:dyDescent="0.35">
      <c r="A1269">
        <v>11268</v>
      </c>
      <c r="B1269">
        <v>44</v>
      </c>
      <c r="C1269" t="s">
        <v>9</v>
      </c>
      <c r="D1269" t="s">
        <v>12</v>
      </c>
      <c r="E1269" s="2">
        <v>45352</v>
      </c>
      <c r="F1269" s="2">
        <v>46031</v>
      </c>
      <c r="G1269">
        <v>1300</v>
      </c>
      <c r="H1269" t="s">
        <v>15</v>
      </c>
      <c r="I1269" t="s">
        <v>16</v>
      </c>
      <c r="J1269">
        <f t="shared" si="77"/>
        <v>15600</v>
      </c>
      <c r="K1269" t="str">
        <f t="shared" si="76"/>
        <v>35+</v>
      </c>
      <c r="L1269" t="str">
        <f t="shared" ca="1" si="78"/>
        <v>Safe</v>
      </c>
      <c r="M1269" t="str">
        <f t="shared" si="79"/>
        <v>Mar-2024</v>
      </c>
    </row>
    <row r="1270" spans="1:13" x14ac:dyDescent="0.35">
      <c r="A1270">
        <v>11269</v>
      </c>
      <c r="B1270">
        <v>31</v>
      </c>
      <c r="C1270" t="s">
        <v>9</v>
      </c>
      <c r="D1270" t="s">
        <v>11</v>
      </c>
      <c r="E1270" s="2">
        <v>45449</v>
      </c>
      <c r="F1270" s="2">
        <v>46012</v>
      </c>
      <c r="G1270">
        <v>1200</v>
      </c>
      <c r="H1270" t="s">
        <v>14</v>
      </c>
      <c r="I1270" t="s">
        <v>16</v>
      </c>
      <c r="J1270">
        <f t="shared" si="77"/>
        <v>1200</v>
      </c>
      <c r="K1270" t="str">
        <f t="shared" si="76"/>
        <v>25-34</v>
      </c>
      <c r="L1270" t="str">
        <f t="shared" ca="1" si="78"/>
        <v>Safe</v>
      </c>
      <c r="M1270" t="str">
        <f t="shared" si="79"/>
        <v>Jun-2024</v>
      </c>
    </row>
    <row r="1271" spans="1:13" x14ac:dyDescent="0.35">
      <c r="A1271">
        <v>11270</v>
      </c>
      <c r="B1271">
        <v>43</v>
      </c>
      <c r="C1271" t="s">
        <v>9</v>
      </c>
      <c r="D1271" t="s">
        <v>13</v>
      </c>
      <c r="E1271" s="2">
        <v>45828</v>
      </c>
      <c r="F1271" s="2">
        <v>46019</v>
      </c>
      <c r="G1271">
        <v>1000</v>
      </c>
      <c r="H1271" t="s">
        <v>14</v>
      </c>
      <c r="I1271" t="s">
        <v>16</v>
      </c>
      <c r="J1271">
        <f t="shared" si="77"/>
        <v>3000</v>
      </c>
      <c r="K1271" t="str">
        <f t="shared" si="76"/>
        <v>35+</v>
      </c>
      <c r="L1271" t="str">
        <f t="shared" ca="1" si="78"/>
        <v>Safe</v>
      </c>
      <c r="M1271" t="str">
        <f t="shared" si="79"/>
        <v>Jun-2025</v>
      </c>
    </row>
    <row r="1272" spans="1:13" x14ac:dyDescent="0.35">
      <c r="A1272">
        <v>11271</v>
      </c>
      <c r="B1272">
        <v>21</v>
      </c>
      <c r="C1272" t="s">
        <v>9</v>
      </c>
      <c r="D1272" t="s">
        <v>13</v>
      </c>
      <c r="E1272" s="2">
        <v>45577</v>
      </c>
      <c r="F1272" s="2">
        <v>46030</v>
      </c>
      <c r="G1272">
        <v>1000</v>
      </c>
      <c r="H1272" t="s">
        <v>14</v>
      </c>
      <c r="I1272" t="s">
        <v>16</v>
      </c>
      <c r="J1272">
        <f t="shared" si="77"/>
        <v>3000</v>
      </c>
      <c r="K1272" t="str">
        <f t="shared" si="76"/>
        <v>18-24</v>
      </c>
      <c r="L1272" t="str">
        <f t="shared" ca="1" si="78"/>
        <v>Safe</v>
      </c>
      <c r="M1272" t="str">
        <f t="shared" si="79"/>
        <v>Oct-2024</v>
      </c>
    </row>
    <row r="1273" spans="1:13" x14ac:dyDescent="0.35">
      <c r="A1273">
        <v>11272</v>
      </c>
      <c r="B1273">
        <v>42</v>
      </c>
      <c r="C1273" t="s">
        <v>10</v>
      </c>
      <c r="D1273" t="s">
        <v>11</v>
      </c>
      <c r="E1273" s="2">
        <v>45954</v>
      </c>
      <c r="F1273" s="2">
        <v>46032</v>
      </c>
      <c r="G1273">
        <v>1200</v>
      </c>
      <c r="H1273" t="s">
        <v>14</v>
      </c>
      <c r="I1273" t="s">
        <v>16</v>
      </c>
      <c r="J1273">
        <f t="shared" si="77"/>
        <v>1200</v>
      </c>
      <c r="K1273" t="str">
        <f t="shared" si="76"/>
        <v>35+</v>
      </c>
      <c r="L1273" t="str">
        <f t="shared" ca="1" si="78"/>
        <v>Safe</v>
      </c>
      <c r="M1273" t="str">
        <f t="shared" si="79"/>
        <v>Oct-2025</v>
      </c>
    </row>
    <row r="1274" spans="1:13" x14ac:dyDescent="0.35">
      <c r="A1274">
        <v>11273</v>
      </c>
      <c r="B1274">
        <v>30</v>
      </c>
      <c r="C1274" t="s">
        <v>9</v>
      </c>
      <c r="D1274" t="s">
        <v>12</v>
      </c>
      <c r="E1274" s="2">
        <v>45273</v>
      </c>
      <c r="F1274" s="2">
        <v>46013</v>
      </c>
      <c r="G1274">
        <v>1300</v>
      </c>
      <c r="H1274" t="s">
        <v>15</v>
      </c>
      <c r="I1274" t="s">
        <v>16</v>
      </c>
      <c r="J1274">
        <f t="shared" si="77"/>
        <v>15600</v>
      </c>
      <c r="K1274" t="str">
        <f t="shared" si="76"/>
        <v>25-34</v>
      </c>
      <c r="L1274" t="str">
        <f t="shared" ca="1" si="78"/>
        <v>Safe</v>
      </c>
      <c r="M1274" t="str">
        <f t="shared" si="79"/>
        <v>Dec-2023</v>
      </c>
    </row>
    <row r="1275" spans="1:13" x14ac:dyDescent="0.35">
      <c r="A1275">
        <v>11274</v>
      </c>
      <c r="B1275">
        <v>27</v>
      </c>
      <c r="C1275" t="s">
        <v>9</v>
      </c>
      <c r="D1275" t="s">
        <v>11</v>
      </c>
      <c r="E1275" s="2">
        <v>45388</v>
      </c>
      <c r="F1275" s="2">
        <v>46026</v>
      </c>
      <c r="G1275">
        <v>1200</v>
      </c>
      <c r="H1275" t="s">
        <v>14</v>
      </c>
      <c r="I1275" t="s">
        <v>16</v>
      </c>
      <c r="J1275">
        <f t="shared" si="77"/>
        <v>1200</v>
      </c>
      <c r="K1275" t="str">
        <f t="shared" si="76"/>
        <v>25-34</v>
      </c>
      <c r="L1275" t="str">
        <f t="shared" ca="1" si="78"/>
        <v>Safe</v>
      </c>
      <c r="M1275" t="str">
        <f t="shared" si="79"/>
        <v>Apr-2024</v>
      </c>
    </row>
    <row r="1276" spans="1:13" x14ac:dyDescent="0.35">
      <c r="A1276">
        <v>11275</v>
      </c>
      <c r="B1276">
        <v>42</v>
      </c>
      <c r="C1276" t="s">
        <v>9</v>
      </c>
      <c r="D1276" t="s">
        <v>12</v>
      </c>
      <c r="E1276" s="2">
        <v>45922</v>
      </c>
      <c r="F1276" s="2">
        <v>46014</v>
      </c>
      <c r="G1276">
        <v>1300</v>
      </c>
      <c r="H1276" t="s">
        <v>15</v>
      </c>
      <c r="I1276" t="s">
        <v>16</v>
      </c>
      <c r="J1276">
        <f t="shared" si="77"/>
        <v>15600</v>
      </c>
      <c r="K1276" t="str">
        <f t="shared" si="76"/>
        <v>35+</v>
      </c>
      <c r="L1276" t="str">
        <f t="shared" ca="1" si="78"/>
        <v>Safe</v>
      </c>
      <c r="M1276" t="str">
        <f t="shared" si="79"/>
        <v>Sep-2025</v>
      </c>
    </row>
    <row r="1277" spans="1:13" x14ac:dyDescent="0.35">
      <c r="A1277">
        <v>11276</v>
      </c>
      <c r="B1277">
        <v>35</v>
      </c>
      <c r="C1277" t="s">
        <v>9</v>
      </c>
      <c r="D1277" t="s">
        <v>13</v>
      </c>
      <c r="E1277" s="2">
        <v>45611</v>
      </c>
      <c r="F1277" s="2">
        <v>46010</v>
      </c>
      <c r="G1277">
        <v>1500</v>
      </c>
      <c r="H1277" t="s">
        <v>15</v>
      </c>
      <c r="I1277" t="s">
        <v>16</v>
      </c>
      <c r="J1277">
        <f t="shared" si="77"/>
        <v>4500</v>
      </c>
      <c r="K1277" t="str">
        <f t="shared" si="76"/>
        <v>35+</v>
      </c>
      <c r="L1277" t="str">
        <f t="shared" ca="1" si="78"/>
        <v>Safe</v>
      </c>
      <c r="M1277" t="str">
        <f t="shared" si="79"/>
        <v>Nov-2024</v>
      </c>
    </row>
    <row r="1278" spans="1:13" x14ac:dyDescent="0.35">
      <c r="A1278">
        <v>11277</v>
      </c>
      <c r="B1278">
        <v>25</v>
      </c>
      <c r="C1278" t="s">
        <v>9</v>
      </c>
      <c r="D1278" t="s">
        <v>12</v>
      </c>
      <c r="E1278" s="2">
        <v>45805</v>
      </c>
      <c r="F1278" s="2">
        <v>46028</v>
      </c>
      <c r="G1278">
        <v>800</v>
      </c>
      <c r="H1278" t="s">
        <v>14</v>
      </c>
      <c r="I1278" t="s">
        <v>16</v>
      </c>
      <c r="J1278">
        <f t="shared" si="77"/>
        <v>9600</v>
      </c>
      <c r="K1278" t="str">
        <f t="shared" si="76"/>
        <v>25-34</v>
      </c>
      <c r="L1278" t="str">
        <f t="shared" ca="1" si="78"/>
        <v>Safe</v>
      </c>
      <c r="M1278" t="str">
        <f t="shared" si="79"/>
        <v>May-2025</v>
      </c>
    </row>
    <row r="1279" spans="1:13" x14ac:dyDescent="0.35">
      <c r="A1279">
        <v>11278</v>
      </c>
      <c r="B1279">
        <v>25</v>
      </c>
      <c r="C1279" t="s">
        <v>9</v>
      </c>
      <c r="D1279" t="s">
        <v>11</v>
      </c>
      <c r="E1279" s="2">
        <v>45139</v>
      </c>
      <c r="F1279" s="2">
        <v>46018</v>
      </c>
      <c r="G1279">
        <v>1700</v>
      </c>
      <c r="H1279" t="s">
        <v>15</v>
      </c>
      <c r="I1279" t="s">
        <v>16</v>
      </c>
      <c r="J1279">
        <f t="shared" si="77"/>
        <v>1700</v>
      </c>
      <c r="K1279" t="str">
        <f t="shared" si="76"/>
        <v>25-34</v>
      </c>
      <c r="L1279" t="str">
        <f t="shared" ca="1" si="78"/>
        <v>Safe</v>
      </c>
      <c r="M1279" t="str">
        <f t="shared" si="79"/>
        <v>Aug-2023</v>
      </c>
    </row>
    <row r="1280" spans="1:13" x14ac:dyDescent="0.35">
      <c r="A1280">
        <v>11279</v>
      </c>
      <c r="B1280">
        <v>24</v>
      </c>
      <c r="C1280" t="s">
        <v>10</v>
      </c>
      <c r="D1280" t="s">
        <v>13</v>
      </c>
      <c r="E1280" s="2">
        <v>45466</v>
      </c>
      <c r="F1280" s="2">
        <v>46024</v>
      </c>
      <c r="G1280">
        <v>1000</v>
      </c>
      <c r="H1280" t="s">
        <v>14</v>
      </c>
      <c r="I1280" t="s">
        <v>16</v>
      </c>
      <c r="J1280">
        <f t="shared" si="77"/>
        <v>3000</v>
      </c>
      <c r="K1280" t="str">
        <f t="shared" si="76"/>
        <v>18-24</v>
      </c>
      <c r="L1280" t="str">
        <f t="shared" ca="1" si="78"/>
        <v>Safe</v>
      </c>
      <c r="M1280" t="str">
        <f t="shared" si="79"/>
        <v>Jun-2024</v>
      </c>
    </row>
    <row r="1281" spans="1:13" x14ac:dyDescent="0.35">
      <c r="A1281">
        <v>11280</v>
      </c>
      <c r="B1281">
        <v>25</v>
      </c>
      <c r="C1281" t="s">
        <v>9</v>
      </c>
      <c r="D1281" t="s">
        <v>11</v>
      </c>
      <c r="E1281" s="2">
        <v>45427</v>
      </c>
      <c r="F1281" s="2">
        <v>46009</v>
      </c>
      <c r="G1281">
        <v>1200</v>
      </c>
      <c r="H1281" t="s">
        <v>14</v>
      </c>
      <c r="I1281" t="s">
        <v>16</v>
      </c>
      <c r="J1281">
        <f t="shared" si="77"/>
        <v>1200</v>
      </c>
      <c r="K1281" t="str">
        <f t="shared" si="76"/>
        <v>25-34</v>
      </c>
      <c r="L1281" t="str">
        <f t="shared" ca="1" si="78"/>
        <v>Safe</v>
      </c>
      <c r="M1281" t="str">
        <f t="shared" si="79"/>
        <v>May-2024</v>
      </c>
    </row>
    <row r="1282" spans="1:13" x14ac:dyDescent="0.35">
      <c r="A1282">
        <v>11281</v>
      </c>
      <c r="B1282">
        <v>31</v>
      </c>
      <c r="C1282" t="s">
        <v>9</v>
      </c>
      <c r="D1282" t="s">
        <v>11</v>
      </c>
      <c r="E1282" s="2">
        <v>45218</v>
      </c>
      <c r="F1282" s="2">
        <v>46013</v>
      </c>
      <c r="G1282">
        <v>1200</v>
      </c>
      <c r="H1282" t="s">
        <v>14</v>
      </c>
      <c r="I1282" t="s">
        <v>16</v>
      </c>
      <c r="J1282">
        <f t="shared" si="77"/>
        <v>1200</v>
      </c>
      <c r="K1282" t="str">
        <f t="shared" ref="K1282:K1345" si="80">IF(B1282&lt;25,"18-24",IF(B1282&lt;35,"25-34","35+"))</f>
        <v>25-34</v>
      </c>
      <c r="L1282" t="str">
        <f t="shared" ca="1" si="78"/>
        <v>Safe</v>
      </c>
      <c r="M1282" t="str">
        <f t="shared" si="79"/>
        <v>Oct-2023</v>
      </c>
    </row>
    <row r="1283" spans="1:13" x14ac:dyDescent="0.35">
      <c r="A1283">
        <v>11282</v>
      </c>
      <c r="B1283">
        <v>36</v>
      </c>
      <c r="C1283" t="s">
        <v>9</v>
      </c>
      <c r="D1283" t="s">
        <v>13</v>
      </c>
      <c r="E1283" s="2">
        <v>45738</v>
      </c>
      <c r="F1283" s="2">
        <v>46011</v>
      </c>
      <c r="G1283">
        <v>1000</v>
      </c>
      <c r="H1283" t="s">
        <v>14</v>
      </c>
      <c r="I1283" t="s">
        <v>16</v>
      </c>
      <c r="J1283">
        <f t="shared" ref="J1283:J1346" si="81">IF(D1283="Monthly",G1283,IF(D1283="Quarterly",G1283*3,G1283*12))</f>
        <v>3000</v>
      </c>
      <c r="K1283" t="str">
        <f t="shared" si="80"/>
        <v>35+</v>
      </c>
      <c r="L1283" t="str">
        <f t="shared" ref="L1283:L1346" ca="1" si="82">IF(F1283&lt;TODAY()-30,"High Risk","Safe")</f>
        <v>Safe</v>
      </c>
      <c r="M1283" t="str">
        <f t="shared" ref="M1283:M1346" si="83">TEXT(E1283,"mmm-yyyy")</f>
        <v>Mar-2025</v>
      </c>
    </row>
    <row r="1284" spans="1:13" x14ac:dyDescent="0.35">
      <c r="A1284">
        <v>11283</v>
      </c>
      <c r="B1284">
        <v>23</v>
      </c>
      <c r="C1284" t="s">
        <v>9</v>
      </c>
      <c r="D1284" t="s">
        <v>11</v>
      </c>
      <c r="E1284" s="2">
        <v>46003</v>
      </c>
      <c r="F1284" s="2">
        <v>46015</v>
      </c>
      <c r="G1284">
        <v>1700</v>
      </c>
      <c r="H1284" t="s">
        <v>15</v>
      </c>
      <c r="I1284" t="s">
        <v>16</v>
      </c>
      <c r="J1284">
        <f t="shared" si="81"/>
        <v>1700</v>
      </c>
      <c r="K1284" t="str">
        <f t="shared" si="80"/>
        <v>18-24</v>
      </c>
      <c r="L1284" t="str">
        <f t="shared" ca="1" si="82"/>
        <v>Safe</v>
      </c>
      <c r="M1284" t="str">
        <f t="shared" si="83"/>
        <v>Dec-2025</v>
      </c>
    </row>
    <row r="1285" spans="1:13" x14ac:dyDescent="0.35">
      <c r="A1285">
        <v>11284</v>
      </c>
      <c r="B1285">
        <v>18</v>
      </c>
      <c r="C1285" t="s">
        <v>10</v>
      </c>
      <c r="D1285" t="s">
        <v>13</v>
      </c>
      <c r="E1285" s="2">
        <v>45193</v>
      </c>
      <c r="F1285" s="2">
        <v>46031</v>
      </c>
      <c r="G1285">
        <v>1000</v>
      </c>
      <c r="H1285" t="s">
        <v>14</v>
      </c>
      <c r="I1285" t="s">
        <v>16</v>
      </c>
      <c r="J1285">
        <f t="shared" si="81"/>
        <v>3000</v>
      </c>
      <c r="K1285" t="str">
        <f t="shared" si="80"/>
        <v>18-24</v>
      </c>
      <c r="L1285" t="str">
        <f t="shared" ca="1" si="82"/>
        <v>Safe</v>
      </c>
      <c r="M1285" t="str">
        <f t="shared" si="83"/>
        <v>Sep-2023</v>
      </c>
    </row>
    <row r="1286" spans="1:13" x14ac:dyDescent="0.35">
      <c r="A1286">
        <v>11285</v>
      </c>
      <c r="B1286">
        <v>40</v>
      </c>
      <c r="C1286" t="s">
        <v>9</v>
      </c>
      <c r="D1286" t="s">
        <v>11</v>
      </c>
      <c r="E1286" s="2">
        <v>45669</v>
      </c>
      <c r="F1286" s="2">
        <v>46027</v>
      </c>
      <c r="G1286">
        <v>1700</v>
      </c>
      <c r="H1286" t="s">
        <v>15</v>
      </c>
      <c r="I1286" t="s">
        <v>16</v>
      </c>
      <c r="J1286">
        <f t="shared" si="81"/>
        <v>1700</v>
      </c>
      <c r="K1286" t="str">
        <f t="shared" si="80"/>
        <v>35+</v>
      </c>
      <c r="L1286" t="str">
        <f t="shared" ca="1" si="82"/>
        <v>Safe</v>
      </c>
      <c r="M1286" t="str">
        <f t="shared" si="83"/>
        <v>Jan-2025</v>
      </c>
    </row>
    <row r="1287" spans="1:13" x14ac:dyDescent="0.35">
      <c r="A1287">
        <v>11286</v>
      </c>
      <c r="B1287">
        <v>32</v>
      </c>
      <c r="C1287" t="s">
        <v>9</v>
      </c>
      <c r="D1287" t="s">
        <v>11</v>
      </c>
      <c r="E1287" s="2">
        <v>45173</v>
      </c>
      <c r="F1287" s="2">
        <v>46019</v>
      </c>
      <c r="G1287">
        <v>1200</v>
      </c>
      <c r="H1287" t="s">
        <v>14</v>
      </c>
      <c r="I1287" t="s">
        <v>16</v>
      </c>
      <c r="J1287">
        <f t="shared" si="81"/>
        <v>1200</v>
      </c>
      <c r="K1287" t="str">
        <f t="shared" si="80"/>
        <v>25-34</v>
      </c>
      <c r="L1287" t="str">
        <f t="shared" ca="1" si="82"/>
        <v>Safe</v>
      </c>
      <c r="M1287" t="str">
        <f t="shared" si="83"/>
        <v>Sep-2023</v>
      </c>
    </row>
    <row r="1288" spans="1:13" x14ac:dyDescent="0.35">
      <c r="A1288">
        <v>11287</v>
      </c>
      <c r="B1288">
        <v>18</v>
      </c>
      <c r="C1288" t="s">
        <v>9</v>
      </c>
      <c r="D1288" t="s">
        <v>12</v>
      </c>
      <c r="E1288" s="2">
        <v>45628</v>
      </c>
      <c r="F1288" s="2">
        <v>46031</v>
      </c>
      <c r="G1288">
        <v>1300</v>
      </c>
      <c r="H1288" t="s">
        <v>15</v>
      </c>
      <c r="I1288" t="s">
        <v>16</v>
      </c>
      <c r="J1288">
        <f t="shared" si="81"/>
        <v>15600</v>
      </c>
      <c r="K1288" t="str">
        <f t="shared" si="80"/>
        <v>18-24</v>
      </c>
      <c r="L1288" t="str">
        <f t="shared" ca="1" si="82"/>
        <v>Safe</v>
      </c>
      <c r="M1288" t="str">
        <f t="shared" si="83"/>
        <v>Dec-2024</v>
      </c>
    </row>
    <row r="1289" spans="1:13" x14ac:dyDescent="0.35">
      <c r="A1289">
        <v>11288</v>
      </c>
      <c r="B1289">
        <v>42</v>
      </c>
      <c r="C1289" t="s">
        <v>9</v>
      </c>
      <c r="D1289" t="s">
        <v>11</v>
      </c>
      <c r="E1289" s="2">
        <v>45663</v>
      </c>
      <c r="F1289" s="2">
        <v>46016</v>
      </c>
      <c r="G1289">
        <v>1200</v>
      </c>
      <c r="H1289" t="s">
        <v>14</v>
      </c>
      <c r="I1289" t="s">
        <v>16</v>
      </c>
      <c r="J1289">
        <f t="shared" si="81"/>
        <v>1200</v>
      </c>
      <c r="K1289" t="str">
        <f t="shared" si="80"/>
        <v>35+</v>
      </c>
      <c r="L1289" t="str">
        <f t="shared" ca="1" si="82"/>
        <v>Safe</v>
      </c>
      <c r="M1289" t="str">
        <f t="shared" si="83"/>
        <v>Jan-2025</v>
      </c>
    </row>
    <row r="1290" spans="1:13" x14ac:dyDescent="0.35">
      <c r="A1290">
        <v>11289</v>
      </c>
      <c r="B1290">
        <v>34</v>
      </c>
      <c r="C1290" t="s">
        <v>9</v>
      </c>
      <c r="D1290" t="s">
        <v>13</v>
      </c>
      <c r="E1290" s="2">
        <v>45437</v>
      </c>
      <c r="F1290" s="2">
        <v>46032</v>
      </c>
      <c r="G1290">
        <v>1000</v>
      </c>
      <c r="H1290" t="s">
        <v>14</v>
      </c>
      <c r="I1290" t="s">
        <v>16</v>
      </c>
      <c r="J1290">
        <f t="shared" si="81"/>
        <v>3000</v>
      </c>
      <c r="K1290" t="str">
        <f t="shared" si="80"/>
        <v>25-34</v>
      </c>
      <c r="L1290" t="str">
        <f t="shared" ca="1" si="82"/>
        <v>Safe</v>
      </c>
      <c r="M1290" t="str">
        <f t="shared" si="83"/>
        <v>May-2024</v>
      </c>
    </row>
    <row r="1291" spans="1:13" x14ac:dyDescent="0.35">
      <c r="A1291">
        <v>11290</v>
      </c>
      <c r="B1291">
        <v>18</v>
      </c>
      <c r="C1291" t="s">
        <v>10</v>
      </c>
      <c r="D1291" t="s">
        <v>13</v>
      </c>
      <c r="E1291" s="2">
        <v>45749</v>
      </c>
      <c r="F1291" s="2">
        <v>46025</v>
      </c>
      <c r="G1291">
        <v>1000</v>
      </c>
      <c r="H1291" t="s">
        <v>14</v>
      </c>
      <c r="I1291" t="s">
        <v>16</v>
      </c>
      <c r="J1291">
        <f t="shared" si="81"/>
        <v>3000</v>
      </c>
      <c r="K1291" t="str">
        <f t="shared" si="80"/>
        <v>18-24</v>
      </c>
      <c r="L1291" t="str">
        <f t="shared" ca="1" si="82"/>
        <v>Safe</v>
      </c>
      <c r="M1291" t="str">
        <f t="shared" si="83"/>
        <v>Apr-2025</v>
      </c>
    </row>
    <row r="1292" spans="1:13" x14ac:dyDescent="0.35">
      <c r="A1292">
        <v>11291</v>
      </c>
      <c r="B1292">
        <v>32</v>
      </c>
      <c r="C1292" t="s">
        <v>10</v>
      </c>
      <c r="D1292" t="s">
        <v>12</v>
      </c>
      <c r="E1292" s="2">
        <v>45436</v>
      </c>
      <c r="F1292" s="2">
        <v>45934</v>
      </c>
      <c r="G1292">
        <v>800</v>
      </c>
      <c r="H1292" t="s">
        <v>14</v>
      </c>
      <c r="I1292" t="s">
        <v>17</v>
      </c>
      <c r="J1292">
        <f t="shared" si="81"/>
        <v>9600</v>
      </c>
      <c r="K1292" t="str">
        <f t="shared" si="80"/>
        <v>25-34</v>
      </c>
      <c r="L1292" t="str">
        <f t="shared" ca="1" si="82"/>
        <v>High Risk</v>
      </c>
      <c r="M1292" t="str">
        <f t="shared" si="83"/>
        <v>May-2024</v>
      </c>
    </row>
    <row r="1293" spans="1:13" x14ac:dyDescent="0.35">
      <c r="A1293">
        <v>11292</v>
      </c>
      <c r="B1293">
        <v>40</v>
      </c>
      <c r="C1293" t="s">
        <v>10</v>
      </c>
      <c r="D1293" t="s">
        <v>11</v>
      </c>
      <c r="E1293" s="2">
        <v>45878</v>
      </c>
      <c r="F1293" s="2">
        <v>46030</v>
      </c>
      <c r="G1293">
        <v>1200</v>
      </c>
      <c r="H1293" t="s">
        <v>14</v>
      </c>
      <c r="I1293" t="s">
        <v>16</v>
      </c>
      <c r="J1293">
        <f t="shared" si="81"/>
        <v>1200</v>
      </c>
      <c r="K1293" t="str">
        <f t="shared" si="80"/>
        <v>35+</v>
      </c>
      <c r="L1293" t="str">
        <f t="shared" ca="1" si="82"/>
        <v>Safe</v>
      </c>
      <c r="M1293" t="str">
        <f t="shared" si="83"/>
        <v>Aug-2025</v>
      </c>
    </row>
    <row r="1294" spans="1:13" x14ac:dyDescent="0.35">
      <c r="A1294">
        <v>11293</v>
      </c>
      <c r="B1294">
        <v>19</v>
      </c>
      <c r="C1294" t="s">
        <v>9</v>
      </c>
      <c r="D1294" t="s">
        <v>13</v>
      </c>
      <c r="E1294" s="2">
        <v>45478</v>
      </c>
      <c r="F1294" s="2">
        <v>46017</v>
      </c>
      <c r="G1294">
        <v>1000</v>
      </c>
      <c r="H1294" t="s">
        <v>14</v>
      </c>
      <c r="I1294" t="s">
        <v>16</v>
      </c>
      <c r="J1294">
        <f t="shared" si="81"/>
        <v>3000</v>
      </c>
      <c r="K1294" t="str">
        <f t="shared" si="80"/>
        <v>18-24</v>
      </c>
      <c r="L1294" t="str">
        <f t="shared" ca="1" si="82"/>
        <v>Safe</v>
      </c>
      <c r="M1294" t="str">
        <f t="shared" si="83"/>
        <v>Jul-2024</v>
      </c>
    </row>
    <row r="1295" spans="1:13" x14ac:dyDescent="0.35">
      <c r="A1295">
        <v>11294</v>
      </c>
      <c r="B1295">
        <v>31</v>
      </c>
      <c r="C1295" t="s">
        <v>9</v>
      </c>
      <c r="D1295" t="s">
        <v>12</v>
      </c>
      <c r="E1295" s="2">
        <v>45938</v>
      </c>
      <c r="F1295" s="2">
        <v>46025</v>
      </c>
      <c r="G1295">
        <v>800</v>
      </c>
      <c r="H1295" t="s">
        <v>14</v>
      </c>
      <c r="I1295" t="s">
        <v>16</v>
      </c>
      <c r="J1295">
        <f t="shared" si="81"/>
        <v>9600</v>
      </c>
      <c r="K1295" t="str">
        <f t="shared" si="80"/>
        <v>25-34</v>
      </c>
      <c r="L1295" t="str">
        <f t="shared" ca="1" si="82"/>
        <v>Safe</v>
      </c>
      <c r="M1295" t="str">
        <f t="shared" si="83"/>
        <v>Oct-2025</v>
      </c>
    </row>
    <row r="1296" spans="1:13" x14ac:dyDescent="0.35">
      <c r="A1296">
        <v>11295</v>
      </c>
      <c r="B1296">
        <v>38</v>
      </c>
      <c r="C1296" t="s">
        <v>9</v>
      </c>
      <c r="D1296" t="s">
        <v>13</v>
      </c>
      <c r="E1296" s="2">
        <v>45308</v>
      </c>
      <c r="F1296" s="2">
        <v>46030</v>
      </c>
      <c r="G1296">
        <v>1500</v>
      </c>
      <c r="H1296" t="s">
        <v>15</v>
      </c>
      <c r="I1296" t="s">
        <v>16</v>
      </c>
      <c r="J1296">
        <f t="shared" si="81"/>
        <v>4500</v>
      </c>
      <c r="K1296" t="str">
        <f t="shared" si="80"/>
        <v>35+</v>
      </c>
      <c r="L1296" t="str">
        <f t="shared" ca="1" si="82"/>
        <v>Safe</v>
      </c>
      <c r="M1296" t="str">
        <f t="shared" si="83"/>
        <v>Jan-2024</v>
      </c>
    </row>
    <row r="1297" spans="1:13" x14ac:dyDescent="0.35">
      <c r="A1297">
        <v>11296</v>
      </c>
      <c r="B1297">
        <v>25</v>
      </c>
      <c r="C1297" t="s">
        <v>9</v>
      </c>
      <c r="D1297" t="s">
        <v>13</v>
      </c>
      <c r="E1297" s="2">
        <v>45583</v>
      </c>
      <c r="F1297" s="2">
        <v>46028</v>
      </c>
      <c r="G1297">
        <v>1000</v>
      </c>
      <c r="H1297" t="s">
        <v>14</v>
      </c>
      <c r="I1297" t="s">
        <v>16</v>
      </c>
      <c r="J1297">
        <f t="shared" si="81"/>
        <v>3000</v>
      </c>
      <c r="K1297" t="str">
        <f t="shared" si="80"/>
        <v>25-34</v>
      </c>
      <c r="L1297" t="str">
        <f t="shared" ca="1" si="82"/>
        <v>Safe</v>
      </c>
      <c r="M1297" t="str">
        <f t="shared" si="83"/>
        <v>Oct-2024</v>
      </c>
    </row>
    <row r="1298" spans="1:13" x14ac:dyDescent="0.35">
      <c r="A1298">
        <v>11297</v>
      </c>
      <c r="B1298">
        <v>25</v>
      </c>
      <c r="C1298" t="s">
        <v>10</v>
      </c>
      <c r="D1298" t="s">
        <v>13</v>
      </c>
      <c r="E1298" s="2">
        <v>45430</v>
      </c>
      <c r="F1298" s="2">
        <v>46016</v>
      </c>
      <c r="G1298">
        <v>1500</v>
      </c>
      <c r="H1298" t="s">
        <v>15</v>
      </c>
      <c r="I1298" t="s">
        <v>16</v>
      </c>
      <c r="J1298">
        <f t="shared" si="81"/>
        <v>4500</v>
      </c>
      <c r="K1298" t="str">
        <f t="shared" si="80"/>
        <v>25-34</v>
      </c>
      <c r="L1298" t="str">
        <f t="shared" ca="1" si="82"/>
        <v>Safe</v>
      </c>
      <c r="M1298" t="str">
        <f t="shared" si="83"/>
        <v>May-2024</v>
      </c>
    </row>
    <row r="1299" spans="1:13" x14ac:dyDescent="0.35">
      <c r="A1299">
        <v>11298</v>
      </c>
      <c r="B1299">
        <v>36</v>
      </c>
      <c r="C1299" t="s">
        <v>9</v>
      </c>
      <c r="D1299" t="s">
        <v>13</v>
      </c>
      <c r="E1299" s="2">
        <v>45659</v>
      </c>
      <c r="F1299" s="2">
        <v>46015</v>
      </c>
      <c r="G1299">
        <v>1500</v>
      </c>
      <c r="H1299" t="s">
        <v>15</v>
      </c>
      <c r="I1299" t="s">
        <v>16</v>
      </c>
      <c r="J1299">
        <f t="shared" si="81"/>
        <v>4500</v>
      </c>
      <c r="K1299" t="str">
        <f t="shared" si="80"/>
        <v>35+</v>
      </c>
      <c r="L1299" t="str">
        <f t="shared" ca="1" si="82"/>
        <v>Safe</v>
      </c>
      <c r="M1299" t="str">
        <f t="shared" si="83"/>
        <v>Jan-2025</v>
      </c>
    </row>
    <row r="1300" spans="1:13" x14ac:dyDescent="0.35">
      <c r="A1300">
        <v>11299</v>
      </c>
      <c r="B1300">
        <v>24</v>
      </c>
      <c r="C1300" t="s">
        <v>10</v>
      </c>
      <c r="D1300" t="s">
        <v>13</v>
      </c>
      <c r="E1300" s="2">
        <v>45556</v>
      </c>
      <c r="F1300" s="2">
        <v>45944</v>
      </c>
      <c r="G1300">
        <v>1000</v>
      </c>
      <c r="H1300" t="s">
        <v>14</v>
      </c>
      <c r="I1300" t="s">
        <v>17</v>
      </c>
      <c r="J1300">
        <f t="shared" si="81"/>
        <v>3000</v>
      </c>
      <c r="K1300" t="str">
        <f t="shared" si="80"/>
        <v>18-24</v>
      </c>
      <c r="L1300" t="str">
        <f t="shared" ca="1" si="82"/>
        <v>High Risk</v>
      </c>
      <c r="M1300" t="str">
        <f t="shared" si="83"/>
        <v>Sep-2024</v>
      </c>
    </row>
    <row r="1301" spans="1:13" x14ac:dyDescent="0.35">
      <c r="A1301">
        <v>11300</v>
      </c>
      <c r="B1301">
        <v>36</v>
      </c>
      <c r="C1301" t="s">
        <v>10</v>
      </c>
      <c r="D1301" t="s">
        <v>11</v>
      </c>
      <c r="E1301" s="2">
        <v>45161</v>
      </c>
      <c r="F1301" s="2">
        <v>46008</v>
      </c>
      <c r="G1301">
        <v>1200</v>
      </c>
      <c r="H1301" t="s">
        <v>14</v>
      </c>
      <c r="I1301" t="s">
        <v>16</v>
      </c>
      <c r="J1301">
        <f t="shared" si="81"/>
        <v>1200</v>
      </c>
      <c r="K1301" t="str">
        <f t="shared" si="80"/>
        <v>35+</v>
      </c>
      <c r="L1301" t="str">
        <f t="shared" ca="1" si="82"/>
        <v>Safe</v>
      </c>
      <c r="M1301" t="str">
        <f t="shared" si="83"/>
        <v>Aug-2023</v>
      </c>
    </row>
    <row r="1302" spans="1:13" x14ac:dyDescent="0.35">
      <c r="A1302">
        <v>11301</v>
      </c>
      <c r="B1302">
        <v>23</v>
      </c>
      <c r="C1302" t="s">
        <v>9</v>
      </c>
      <c r="D1302" t="s">
        <v>11</v>
      </c>
      <c r="E1302" s="2">
        <v>45597</v>
      </c>
      <c r="F1302" s="2">
        <v>46008</v>
      </c>
      <c r="G1302">
        <v>1200</v>
      </c>
      <c r="H1302" t="s">
        <v>14</v>
      </c>
      <c r="I1302" t="s">
        <v>16</v>
      </c>
      <c r="J1302">
        <f t="shared" si="81"/>
        <v>1200</v>
      </c>
      <c r="K1302" t="str">
        <f t="shared" si="80"/>
        <v>18-24</v>
      </c>
      <c r="L1302" t="str">
        <f t="shared" ca="1" si="82"/>
        <v>Safe</v>
      </c>
      <c r="M1302" t="str">
        <f t="shared" si="83"/>
        <v>Nov-2024</v>
      </c>
    </row>
    <row r="1303" spans="1:13" x14ac:dyDescent="0.35">
      <c r="A1303">
        <v>11302</v>
      </c>
      <c r="B1303">
        <v>23</v>
      </c>
      <c r="C1303" t="s">
        <v>9</v>
      </c>
      <c r="D1303" t="s">
        <v>12</v>
      </c>
      <c r="E1303" s="2">
        <v>45175</v>
      </c>
      <c r="F1303" s="2">
        <v>46020</v>
      </c>
      <c r="G1303">
        <v>1300</v>
      </c>
      <c r="H1303" t="s">
        <v>15</v>
      </c>
      <c r="I1303" t="s">
        <v>16</v>
      </c>
      <c r="J1303">
        <f t="shared" si="81"/>
        <v>15600</v>
      </c>
      <c r="K1303" t="str">
        <f t="shared" si="80"/>
        <v>18-24</v>
      </c>
      <c r="L1303" t="str">
        <f t="shared" ca="1" si="82"/>
        <v>Safe</v>
      </c>
      <c r="M1303" t="str">
        <f t="shared" si="83"/>
        <v>Sep-2023</v>
      </c>
    </row>
    <row r="1304" spans="1:13" x14ac:dyDescent="0.35">
      <c r="A1304">
        <v>11303</v>
      </c>
      <c r="B1304">
        <v>20</v>
      </c>
      <c r="C1304" t="s">
        <v>9</v>
      </c>
      <c r="D1304" t="s">
        <v>11</v>
      </c>
      <c r="E1304" s="2">
        <v>45228</v>
      </c>
      <c r="F1304" s="2">
        <v>45963</v>
      </c>
      <c r="G1304">
        <v>1200</v>
      </c>
      <c r="H1304" t="s">
        <v>14</v>
      </c>
      <c r="I1304" t="s">
        <v>17</v>
      </c>
      <c r="J1304">
        <f t="shared" si="81"/>
        <v>1200</v>
      </c>
      <c r="K1304" t="str">
        <f t="shared" si="80"/>
        <v>18-24</v>
      </c>
      <c r="L1304" t="str">
        <f t="shared" ca="1" si="82"/>
        <v>High Risk</v>
      </c>
      <c r="M1304" t="str">
        <f t="shared" si="83"/>
        <v>Oct-2023</v>
      </c>
    </row>
    <row r="1305" spans="1:13" x14ac:dyDescent="0.35">
      <c r="A1305">
        <v>11304</v>
      </c>
      <c r="B1305">
        <v>24</v>
      </c>
      <c r="C1305" t="s">
        <v>9</v>
      </c>
      <c r="D1305" t="s">
        <v>13</v>
      </c>
      <c r="E1305" s="2">
        <v>45891</v>
      </c>
      <c r="F1305" s="2">
        <v>46024</v>
      </c>
      <c r="G1305">
        <v>1500</v>
      </c>
      <c r="H1305" t="s">
        <v>15</v>
      </c>
      <c r="I1305" t="s">
        <v>16</v>
      </c>
      <c r="J1305">
        <f t="shared" si="81"/>
        <v>4500</v>
      </c>
      <c r="K1305" t="str">
        <f t="shared" si="80"/>
        <v>18-24</v>
      </c>
      <c r="L1305" t="str">
        <f t="shared" ca="1" si="82"/>
        <v>Safe</v>
      </c>
      <c r="M1305" t="str">
        <f t="shared" si="83"/>
        <v>Aug-2025</v>
      </c>
    </row>
    <row r="1306" spans="1:13" x14ac:dyDescent="0.35">
      <c r="A1306">
        <v>11305</v>
      </c>
      <c r="B1306">
        <v>36</v>
      </c>
      <c r="C1306" t="s">
        <v>10</v>
      </c>
      <c r="D1306" t="s">
        <v>11</v>
      </c>
      <c r="E1306" s="2">
        <v>45180</v>
      </c>
      <c r="F1306" s="2">
        <v>45918</v>
      </c>
      <c r="G1306">
        <v>1700</v>
      </c>
      <c r="H1306" t="s">
        <v>15</v>
      </c>
      <c r="I1306" t="s">
        <v>17</v>
      </c>
      <c r="J1306">
        <f t="shared" si="81"/>
        <v>1700</v>
      </c>
      <c r="K1306" t="str">
        <f t="shared" si="80"/>
        <v>35+</v>
      </c>
      <c r="L1306" t="str">
        <f t="shared" ca="1" si="82"/>
        <v>High Risk</v>
      </c>
      <c r="M1306" t="str">
        <f t="shared" si="83"/>
        <v>Sep-2023</v>
      </c>
    </row>
    <row r="1307" spans="1:13" x14ac:dyDescent="0.35">
      <c r="A1307">
        <v>11306</v>
      </c>
      <c r="B1307">
        <v>25</v>
      </c>
      <c r="C1307" t="s">
        <v>9</v>
      </c>
      <c r="D1307" t="s">
        <v>13</v>
      </c>
      <c r="E1307" s="2">
        <v>45936</v>
      </c>
      <c r="F1307" s="2">
        <v>45994</v>
      </c>
      <c r="G1307">
        <v>1500</v>
      </c>
      <c r="H1307" t="s">
        <v>15</v>
      </c>
      <c r="I1307" t="s">
        <v>17</v>
      </c>
      <c r="J1307">
        <f t="shared" si="81"/>
        <v>4500</v>
      </c>
      <c r="K1307" t="str">
        <f t="shared" si="80"/>
        <v>25-34</v>
      </c>
      <c r="L1307" t="str">
        <f t="shared" ca="1" si="82"/>
        <v>High Risk</v>
      </c>
      <c r="M1307" t="str">
        <f t="shared" si="83"/>
        <v>Oct-2025</v>
      </c>
    </row>
    <row r="1308" spans="1:13" x14ac:dyDescent="0.35">
      <c r="A1308">
        <v>11307</v>
      </c>
      <c r="B1308">
        <v>27</v>
      </c>
      <c r="C1308" t="s">
        <v>9</v>
      </c>
      <c r="D1308" t="s">
        <v>11</v>
      </c>
      <c r="E1308" s="2">
        <v>45819</v>
      </c>
      <c r="F1308" s="2">
        <v>46019</v>
      </c>
      <c r="G1308">
        <v>1200</v>
      </c>
      <c r="H1308" t="s">
        <v>14</v>
      </c>
      <c r="I1308" t="s">
        <v>16</v>
      </c>
      <c r="J1308">
        <f t="shared" si="81"/>
        <v>1200</v>
      </c>
      <c r="K1308" t="str">
        <f t="shared" si="80"/>
        <v>25-34</v>
      </c>
      <c r="L1308" t="str">
        <f t="shared" ca="1" si="82"/>
        <v>Safe</v>
      </c>
      <c r="M1308" t="str">
        <f t="shared" si="83"/>
        <v>Jun-2025</v>
      </c>
    </row>
    <row r="1309" spans="1:13" x14ac:dyDescent="0.35">
      <c r="A1309">
        <v>11308</v>
      </c>
      <c r="B1309">
        <v>37</v>
      </c>
      <c r="C1309" t="s">
        <v>9</v>
      </c>
      <c r="D1309" t="s">
        <v>11</v>
      </c>
      <c r="E1309" s="2">
        <v>45859</v>
      </c>
      <c r="F1309" s="2">
        <v>46022</v>
      </c>
      <c r="G1309">
        <v>1200</v>
      </c>
      <c r="H1309" t="s">
        <v>14</v>
      </c>
      <c r="I1309" t="s">
        <v>16</v>
      </c>
      <c r="J1309">
        <f t="shared" si="81"/>
        <v>1200</v>
      </c>
      <c r="K1309" t="str">
        <f t="shared" si="80"/>
        <v>35+</v>
      </c>
      <c r="L1309" t="str">
        <f t="shared" ca="1" si="82"/>
        <v>Safe</v>
      </c>
      <c r="M1309" t="str">
        <f t="shared" si="83"/>
        <v>Jul-2025</v>
      </c>
    </row>
    <row r="1310" spans="1:13" x14ac:dyDescent="0.35">
      <c r="A1310">
        <v>11309</v>
      </c>
      <c r="B1310">
        <v>32</v>
      </c>
      <c r="C1310" t="s">
        <v>10</v>
      </c>
      <c r="D1310" t="s">
        <v>12</v>
      </c>
      <c r="E1310" s="2">
        <v>45661</v>
      </c>
      <c r="F1310" s="2">
        <v>46016</v>
      </c>
      <c r="G1310">
        <v>1300</v>
      </c>
      <c r="H1310" t="s">
        <v>15</v>
      </c>
      <c r="I1310" t="s">
        <v>16</v>
      </c>
      <c r="J1310">
        <f t="shared" si="81"/>
        <v>15600</v>
      </c>
      <c r="K1310" t="str">
        <f t="shared" si="80"/>
        <v>25-34</v>
      </c>
      <c r="L1310" t="str">
        <f t="shared" ca="1" si="82"/>
        <v>Safe</v>
      </c>
      <c r="M1310" t="str">
        <f t="shared" si="83"/>
        <v>Jan-2025</v>
      </c>
    </row>
    <row r="1311" spans="1:13" x14ac:dyDescent="0.35">
      <c r="A1311">
        <v>11310</v>
      </c>
      <c r="B1311">
        <v>32</v>
      </c>
      <c r="C1311" t="s">
        <v>9</v>
      </c>
      <c r="D1311" t="s">
        <v>12</v>
      </c>
      <c r="E1311" s="2">
        <v>45669</v>
      </c>
      <c r="F1311" s="2">
        <v>46017</v>
      </c>
      <c r="G1311">
        <v>800</v>
      </c>
      <c r="H1311" t="s">
        <v>14</v>
      </c>
      <c r="I1311" t="s">
        <v>16</v>
      </c>
      <c r="J1311">
        <f t="shared" si="81"/>
        <v>9600</v>
      </c>
      <c r="K1311" t="str">
        <f t="shared" si="80"/>
        <v>25-34</v>
      </c>
      <c r="L1311" t="str">
        <f t="shared" ca="1" si="82"/>
        <v>Safe</v>
      </c>
      <c r="M1311" t="str">
        <f t="shared" si="83"/>
        <v>Jan-2025</v>
      </c>
    </row>
    <row r="1312" spans="1:13" x14ac:dyDescent="0.35">
      <c r="A1312">
        <v>11311</v>
      </c>
      <c r="B1312">
        <v>18</v>
      </c>
      <c r="C1312" t="s">
        <v>10</v>
      </c>
      <c r="D1312" t="s">
        <v>13</v>
      </c>
      <c r="E1312" s="2">
        <v>45452</v>
      </c>
      <c r="F1312" s="2">
        <v>46023</v>
      </c>
      <c r="G1312">
        <v>1500</v>
      </c>
      <c r="H1312" t="s">
        <v>15</v>
      </c>
      <c r="I1312" t="s">
        <v>16</v>
      </c>
      <c r="J1312">
        <f t="shared" si="81"/>
        <v>4500</v>
      </c>
      <c r="K1312" t="str">
        <f t="shared" si="80"/>
        <v>18-24</v>
      </c>
      <c r="L1312" t="str">
        <f t="shared" ca="1" si="82"/>
        <v>Safe</v>
      </c>
      <c r="M1312" t="str">
        <f t="shared" si="83"/>
        <v>Jun-2024</v>
      </c>
    </row>
    <row r="1313" spans="1:13" x14ac:dyDescent="0.35">
      <c r="A1313">
        <v>11312</v>
      </c>
      <c r="B1313">
        <v>37</v>
      </c>
      <c r="C1313" t="s">
        <v>9</v>
      </c>
      <c r="D1313" t="s">
        <v>13</v>
      </c>
      <c r="E1313" s="2">
        <v>45682</v>
      </c>
      <c r="F1313" s="2">
        <v>46032</v>
      </c>
      <c r="G1313">
        <v>1000</v>
      </c>
      <c r="H1313" t="s">
        <v>14</v>
      </c>
      <c r="I1313" t="s">
        <v>16</v>
      </c>
      <c r="J1313">
        <f t="shared" si="81"/>
        <v>3000</v>
      </c>
      <c r="K1313" t="str">
        <f t="shared" si="80"/>
        <v>35+</v>
      </c>
      <c r="L1313" t="str">
        <f t="shared" ca="1" si="82"/>
        <v>Safe</v>
      </c>
      <c r="M1313" t="str">
        <f t="shared" si="83"/>
        <v>Jan-2025</v>
      </c>
    </row>
    <row r="1314" spans="1:13" x14ac:dyDescent="0.35">
      <c r="A1314">
        <v>11313</v>
      </c>
      <c r="B1314">
        <v>24</v>
      </c>
      <c r="C1314" t="s">
        <v>10</v>
      </c>
      <c r="D1314" t="s">
        <v>13</v>
      </c>
      <c r="E1314" s="2">
        <v>45414</v>
      </c>
      <c r="F1314" s="2">
        <v>46014</v>
      </c>
      <c r="G1314">
        <v>1000</v>
      </c>
      <c r="H1314" t="s">
        <v>14</v>
      </c>
      <c r="I1314" t="s">
        <v>16</v>
      </c>
      <c r="J1314">
        <f t="shared" si="81"/>
        <v>3000</v>
      </c>
      <c r="K1314" t="str">
        <f t="shared" si="80"/>
        <v>18-24</v>
      </c>
      <c r="L1314" t="str">
        <f t="shared" ca="1" si="82"/>
        <v>Safe</v>
      </c>
      <c r="M1314" t="str">
        <f t="shared" si="83"/>
        <v>May-2024</v>
      </c>
    </row>
    <row r="1315" spans="1:13" x14ac:dyDescent="0.35">
      <c r="A1315">
        <v>11314</v>
      </c>
      <c r="B1315">
        <v>44</v>
      </c>
      <c r="C1315" t="s">
        <v>10</v>
      </c>
      <c r="D1315" t="s">
        <v>13</v>
      </c>
      <c r="E1315" s="2">
        <v>45460</v>
      </c>
      <c r="F1315" s="2">
        <v>46030</v>
      </c>
      <c r="G1315">
        <v>1000</v>
      </c>
      <c r="H1315" t="s">
        <v>14</v>
      </c>
      <c r="I1315" t="s">
        <v>16</v>
      </c>
      <c r="J1315">
        <f t="shared" si="81"/>
        <v>3000</v>
      </c>
      <c r="K1315" t="str">
        <f t="shared" si="80"/>
        <v>35+</v>
      </c>
      <c r="L1315" t="str">
        <f t="shared" ca="1" si="82"/>
        <v>Safe</v>
      </c>
      <c r="M1315" t="str">
        <f t="shared" si="83"/>
        <v>Jun-2024</v>
      </c>
    </row>
    <row r="1316" spans="1:13" x14ac:dyDescent="0.35">
      <c r="A1316">
        <v>11315</v>
      </c>
      <c r="B1316">
        <v>21</v>
      </c>
      <c r="C1316" t="s">
        <v>9</v>
      </c>
      <c r="D1316" t="s">
        <v>13</v>
      </c>
      <c r="E1316" s="2">
        <v>45549</v>
      </c>
      <c r="F1316" s="2">
        <v>46012</v>
      </c>
      <c r="G1316">
        <v>1000</v>
      </c>
      <c r="H1316" t="s">
        <v>14</v>
      </c>
      <c r="I1316" t="s">
        <v>16</v>
      </c>
      <c r="J1316">
        <f t="shared" si="81"/>
        <v>3000</v>
      </c>
      <c r="K1316" t="str">
        <f t="shared" si="80"/>
        <v>18-24</v>
      </c>
      <c r="L1316" t="str">
        <f t="shared" ca="1" si="82"/>
        <v>Safe</v>
      </c>
      <c r="M1316" t="str">
        <f t="shared" si="83"/>
        <v>Sep-2024</v>
      </c>
    </row>
    <row r="1317" spans="1:13" x14ac:dyDescent="0.35">
      <c r="A1317">
        <v>11316</v>
      </c>
      <c r="B1317">
        <v>23</v>
      </c>
      <c r="C1317" t="s">
        <v>9</v>
      </c>
      <c r="D1317" t="s">
        <v>11</v>
      </c>
      <c r="E1317" s="2">
        <v>45147</v>
      </c>
      <c r="F1317" s="2">
        <v>46025</v>
      </c>
      <c r="G1317">
        <v>1200</v>
      </c>
      <c r="H1317" t="s">
        <v>14</v>
      </c>
      <c r="I1317" t="s">
        <v>16</v>
      </c>
      <c r="J1317">
        <f t="shared" si="81"/>
        <v>1200</v>
      </c>
      <c r="K1317" t="str">
        <f t="shared" si="80"/>
        <v>18-24</v>
      </c>
      <c r="L1317" t="str">
        <f t="shared" ca="1" si="82"/>
        <v>Safe</v>
      </c>
      <c r="M1317" t="str">
        <f t="shared" si="83"/>
        <v>Aug-2023</v>
      </c>
    </row>
    <row r="1318" spans="1:13" x14ac:dyDescent="0.35">
      <c r="A1318">
        <v>11317</v>
      </c>
      <c r="B1318">
        <v>42</v>
      </c>
      <c r="C1318" t="s">
        <v>10</v>
      </c>
      <c r="D1318" t="s">
        <v>13</v>
      </c>
      <c r="E1318" s="2">
        <v>45399</v>
      </c>
      <c r="F1318" s="2">
        <v>46016</v>
      </c>
      <c r="G1318">
        <v>1000</v>
      </c>
      <c r="H1318" t="s">
        <v>14</v>
      </c>
      <c r="I1318" t="s">
        <v>16</v>
      </c>
      <c r="J1318">
        <f t="shared" si="81"/>
        <v>3000</v>
      </c>
      <c r="K1318" t="str">
        <f t="shared" si="80"/>
        <v>35+</v>
      </c>
      <c r="L1318" t="str">
        <f t="shared" ca="1" si="82"/>
        <v>Safe</v>
      </c>
      <c r="M1318" t="str">
        <f t="shared" si="83"/>
        <v>Apr-2024</v>
      </c>
    </row>
    <row r="1319" spans="1:13" x14ac:dyDescent="0.35">
      <c r="A1319">
        <v>11318</v>
      </c>
      <c r="B1319">
        <v>18</v>
      </c>
      <c r="C1319" t="s">
        <v>9</v>
      </c>
      <c r="D1319" t="s">
        <v>12</v>
      </c>
      <c r="E1319" s="2">
        <v>45247</v>
      </c>
      <c r="F1319" s="2">
        <v>46023</v>
      </c>
      <c r="G1319">
        <v>800</v>
      </c>
      <c r="H1319" t="s">
        <v>14</v>
      </c>
      <c r="I1319" t="s">
        <v>16</v>
      </c>
      <c r="J1319">
        <f t="shared" si="81"/>
        <v>9600</v>
      </c>
      <c r="K1319" t="str">
        <f t="shared" si="80"/>
        <v>18-24</v>
      </c>
      <c r="L1319" t="str">
        <f t="shared" ca="1" si="82"/>
        <v>Safe</v>
      </c>
      <c r="M1319" t="str">
        <f t="shared" si="83"/>
        <v>Nov-2023</v>
      </c>
    </row>
    <row r="1320" spans="1:13" x14ac:dyDescent="0.35">
      <c r="A1320">
        <v>11319</v>
      </c>
      <c r="B1320">
        <v>22</v>
      </c>
      <c r="C1320" t="s">
        <v>10</v>
      </c>
      <c r="D1320" t="s">
        <v>12</v>
      </c>
      <c r="E1320" s="2">
        <v>45435</v>
      </c>
      <c r="F1320" s="2">
        <v>46016</v>
      </c>
      <c r="G1320">
        <v>800</v>
      </c>
      <c r="H1320" t="s">
        <v>14</v>
      </c>
      <c r="I1320" t="s">
        <v>16</v>
      </c>
      <c r="J1320">
        <f t="shared" si="81"/>
        <v>9600</v>
      </c>
      <c r="K1320" t="str">
        <f t="shared" si="80"/>
        <v>18-24</v>
      </c>
      <c r="L1320" t="str">
        <f t="shared" ca="1" si="82"/>
        <v>Safe</v>
      </c>
      <c r="M1320" t="str">
        <f t="shared" si="83"/>
        <v>May-2024</v>
      </c>
    </row>
    <row r="1321" spans="1:13" x14ac:dyDescent="0.35">
      <c r="A1321">
        <v>11320</v>
      </c>
      <c r="B1321">
        <v>44</v>
      </c>
      <c r="C1321" t="s">
        <v>9</v>
      </c>
      <c r="D1321" t="s">
        <v>11</v>
      </c>
      <c r="E1321" s="2">
        <v>45825</v>
      </c>
      <c r="F1321" s="2">
        <v>46018</v>
      </c>
      <c r="G1321">
        <v>1200</v>
      </c>
      <c r="H1321" t="s">
        <v>14</v>
      </c>
      <c r="I1321" t="s">
        <v>16</v>
      </c>
      <c r="J1321">
        <f t="shared" si="81"/>
        <v>1200</v>
      </c>
      <c r="K1321" t="str">
        <f t="shared" si="80"/>
        <v>35+</v>
      </c>
      <c r="L1321" t="str">
        <f t="shared" ca="1" si="82"/>
        <v>Safe</v>
      </c>
      <c r="M1321" t="str">
        <f t="shared" si="83"/>
        <v>Jun-2025</v>
      </c>
    </row>
    <row r="1322" spans="1:13" x14ac:dyDescent="0.35">
      <c r="A1322">
        <v>11321</v>
      </c>
      <c r="B1322">
        <v>40</v>
      </c>
      <c r="C1322" t="s">
        <v>10</v>
      </c>
      <c r="D1322" t="s">
        <v>13</v>
      </c>
      <c r="E1322" s="2">
        <v>45519</v>
      </c>
      <c r="F1322" s="2">
        <v>45931</v>
      </c>
      <c r="G1322">
        <v>1500</v>
      </c>
      <c r="H1322" t="s">
        <v>15</v>
      </c>
      <c r="I1322" t="s">
        <v>17</v>
      </c>
      <c r="J1322">
        <f t="shared" si="81"/>
        <v>4500</v>
      </c>
      <c r="K1322" t="str">
        <f t="shared" si="80"/>
        <v>35+</v>
      </c>
      <c r="L1322" t="str">
        <f t="shared" ca="1" si="82"/>
        <v>High Risk</v>
      </c>
      <c r="M1322" t="str">
        <f t="shared" si="83"/>
        <v>Aug-2024</v>
      </c>
    </row>
    <row r="1323" spans="1:13" x14ac:dyDescent="0.35">
      <c r="A1323">
        <v>11322</v>
      </c>
      <c r="B1323">
        <v>18</v>
      </c>
      <c r="C1323" t="s">
        <v>10</v>
      </c>
      <c r="D1323" t="s">
        <v>13</v>
      </c>
      <c r="E1323" s="2">
        <v>45735</v>
      </c>
      <c r="F1323" s="2">
        <v>45949</v>
      </c>
      <c r="G1323">
        <v>1000</v>
      </c>
      <c r="H1323" t="s">
        <v>14</v>
      </c>
      <c r="I1323" t="s">
        <v>17</v>
      </c>
      <c r="J1323">
        <f t="shared" si="81"/>
        <v>3000</v>
      </c>
      <c r="K1323" t="str">
        <f t="shared" si="80"/>
        <v>18-24</v>
      </c>
      <c r="L1323" t="str">
        <f t="shared" ca="1" si="82"/>
        <v>High Risk</v>
      </c>
      <c r="M1323" t="str">
        <f t="shared" si="83"/>
        <v>Mar-2025</v>
      </c>
    </row>
    <row r="1324" spans="1:13" x14ac:dyDescent="0.35">
      <c r="A1324">
        <v>11323</v>
      </c>
      <c r="B1324">
        <v>21</v>
      </c>
      <c r="C1324" t="s">
        <v>10</v>
      </c>
      <c r="D1324" t="s">
        <v>11</v>
      </c>
      <c r="E1324" s="2">
        <v>45941</v>
      </c>
      <c r="F1324" s="2">
        <v>46008</v>
      </c>
      <c r="G1324">
        <v>1200</v>
      </c>
      <c r="H1324" t="s">
        <v>14</v>
      </c>
      <c r="I1324" t="s">
        <v>16</v>
      </c>
      <c r="J1324">
        <f t="shared" si="81"/>
        <v>1200</v>
      </c>
      <c r="K1324" t="str">
        <f t="shared" si="80"/>
        <v>18-24</v>
      </c>
      <c r="L1324" t="str">
        <f t="shared" ca="1" si="82"/>
        <v>Safe</v>
      </c>
      <c r="M1324" t="str">
        <f t="shared" si="83"/>
        <v>Oct-2025</v>
      </c>
    </row>
    <row r="1325" spans="1:13" x14ac:dyDescent="0.35">
      <c r="A1325">
        <v>11324</v>
      </c>
      <c r="B1325">
        <v>39</v>
      </c>
      <c r="C1325" t="s">
        <v>9</v>
      </c>
      <c r="D1325" t="s">
        <v>11</v>
      </c>
      <c r="E1325" s="2">
        <v>45931</v>
      </c>
      <c r="F1325" s="2">
        <v>46027</v>
      </c>
      <c r="G1325">
        <v>1700</v>
      </c>
      <c r="H1325" t="s">
        <v>15</v>
      </c>
      <c r="I1325" t="s">
        <v>16</v>
      </c>
      <c r="J1325">
        <f t="shared" si="81"/>
        <v>1700</v>
      </c>
      <c r="K1325" t="str">
        <f t="shared" si="80"/>
        <v>35+</v>
      </c>
      <c r="L1325" t="str">
        <f t="shared" ca="1" si="82"/>
        <v>Safe</v>
      </c>
      <c r="M1325" t="str">
        <f t="shared" si="83"/>
        <v>Oct-2025</v>
      </c>
    </row>
    <row r="1326" spans="1:13" x14ac:dyDescent="0.35">
      <c r="A1326">
        <v>11325</v>
      </c>
      <c r="B1326">
        <v>19</v>
      </c>
      <c r="C1326" t="s">
        <v>9</v>
      </c>
      <c r="D1326" t="s">
        <v>11</v>
      </c>
      <c r="E1326" s="2">
        <v>45935</v>
      </c>
      <c r="F1326" s="2">
        <v>45992</v>
      </c>
      <c r="G1326">
        <v>1200</v>
      </c>
      <c r="H1326" t="s">
        <v>14</v>
      </c>
      <c r="I1326" t="s">
        <v>17</v>
      </c>
      <c r="J1326">
        <f t="shared" si="81"/>
        <v>1200</v>
      </c>
      <c r="K1326" t="str">
        <f t="shared" si="80"/>
        <v>18-24</v>
      </c>
      <c r="L1326" t="str">
        <f t="shared" ca="1" si="82"/>
        <v>High Risk</v>
      </c>
      <c r="M1326" t="str">
        <f t="shared" si="83"/>
        <v>Oct-2025</v>
      </c>
    </row>
    <row r="1327" spans="1:13" x14ac:dyDescent="0.35">
      <c r="A1327">
        <v>11326</v>
      </c>
      <c r="B1327">
        <v>27</v>
      </c>
      <c r="C1327" t="s">
        <v>9</v>
      </c>
      <c r="D1327" t="s">
        <v>11</v>
      </c>
      <c r="E1327" s="2">
        <v>45709</v>
      </c>
      <c r="F1327" s="2">
        <v>46016</v>
      </c>
      <c r="G1327">
        <v>1200</v>
      </c>
      <c r="H1327" t="s">
        <v>14</v>
      </c>
      <c r="I1327" t="s">
        <v>16</v>
      </c>
      <c r="J1327">
        <f t="shared" si="81"/>
        <v>1200</v>
      </c>
      <c r="K1327" t="str">
        <f t="shared" si="80"/>
        <v>25-34</v>
      </c>
      <c r="L1327" t="str">
        <f t="shared" ca="1" si="82"/>
        <v>Safe</v>
      </c>
      <c r="M1327" t="str">
        <f t="shared" si="83"/>
        <v>Feb-2025</v>
      </c>
    </row>
    <row r="1328" spans="1:13" x14ac:dyDescent="0.35">
      <c r="A1328">
        <v>11327</v>
      </c>
      <c r="B1328">
        <v>22</v>
      </c>
      <c r="C1328" t="s">
        <v>9</v>
      </c>
      <c r="D1328" t="s">
        <v>11</v>
      </c>
      <c r="E1328" s="2">
        <v>45813</v>
      </c>
      <c r="F1328" s="2">
        <v>46008</v>
      </c>
      <c r="G1328">
        <v>1200</v>
      </c>
      <c r="H1328" t="s">
        <v>14</v>
      </c>
      <c r="I1328" t="s">
        <v>16</v>
      </c>
      <c r="J1328">
        <f t="shared" si="81"/>
        <v>1200</v>
      </c>
      <c r="K1328" t="str">
        <f t="shared" si="80"/>
        <v>18-24</v>
      </c>
      <c r="L1328" t="str">
        <f t="shared" ca="1" si="82"/>
        <v>Safe</v>
      </c>
      <c r="M1328" t="str">
        <f t="shared" si="83"/>
        <v>Jun-2025</v>
      </c>
    </row>
    <row r="1329" spans="1:13" x14ac:dyDescent="0.35">
      <c r="A1329">
        <v>11328</v>
      </c>
      <c r="B1329">
        <v>44</v>
      </c>
      <c r="C1329" t="s">
        <v>9</v>
      </c>
      <c r="D1329" t="s">
        <v>13</v>
      </c>
      <c r="E1329" s="2">
        <v>45368</v>
      </c>
      <c r="F1329" s="2">
        <v>46032</v>
      </c>
      <c r="G1329">
        <v>1000</v>
      </c>
      <c r="H1329" t="s">
        <v>14</v>
      </c>
      <c r="I1329" t="s">
        <v>16</v>
      </c>
      <c r="J1329">
        <f t="shared" si="81"/>
        <v>3000</v>
      </c>
      <c r="K1329" t="str">
        <f t="shared" si="80"/>
        <v>35+</v>
      </c>
      <c r="L1329" t="str">
        <f t="shared" ca="1" si="82"/>
        <v>Safe</v>
      </c>
      <c r="M1329" t="str">
        <f t="shared" si="83"/>
        <v>Mar-2024</v>
      </c>
    </row>
    <row r="1330" spans="1:13" x14ac:dyDescent="0.35">
      <c r="A1330">
        <v>11329</v>
      </c>
      <c r="B1330">
        <v>27</v>
      </c>
      <c r="C1330" t="s">
        <v>9</v>
      </c>
      <c r="D1330" t="s">
        <v>13</v>
      </c>
      <c r="E1330" s="2">
        <v>45436</v>
      </c>
      <c r="F1330" s="2">
        <v>45954</v>
      </c>
      <c r="G1330">
        <v>1000</v>
      </c>
      <c r="H1330" t="s">
        <v>14</v>
      </c>
      <c r="I1330" t="s">
        <v>17</v>
      </c>
      <c r="J1330">
        <f t="shared" si="81"/>
        <v>3000</v>
      </c>
      <c r="K1330" t="str">
        <f t="shared" si="80"/>
        <v>25-34</v>
      </c>
      <c r="L1330" t="str">
        <f t="shared" ca="1" si="82"/>
        <v>High Risk</v>
      </c>
      <c r="M1330" t="str">
        <f t="shared" si="83"/>
        <v>May-2024</v>
      </c>
    </row>
    <row r="1331" spans="1:13" x14ac:dyDescent="0.35">
      <c r="A1331">
        <v>11330</v>
      </c>
      <c r="B1331">
        <v>18</v>
      </c>
      <c r="C1331" t="s">
        <v>10</v>
      </c>
      <c r="D1331" t="s">
        <v>13</v>
      </c>
      <c r="E1331" s="2">
        <v>45987</v>
      </c>
      <c r="F1331" s="2">
        <v>45931</v>
      </c>
      <c r="G1331">
        <v>1000</v>
      </c>
      <c r="H1331" t="s">
        <v>14</v>
      </c>
      <c r="I1331" t="s">
        <v>17</v>
      </c>
      <c r="J1331">
        <f t="shared" si="81"/>
        <v>3000</v>
      </c>
      <c r="K1331" t="str">
        <f t="shared" si="80"/>
        <v>18-24</v>
      </c>
      <c r="L1331" t="str">
        <f t="shared" ca="1" si="82"/>
        <v>High Risk</v>
      </c>
      <c r="M1331" t="str">
        <f t="shared" si="83"/>
        <v>Nov-2025</v>
      </c>
    </row>
    <row r="1332" spans="1:13" x14ac:dyDescent="0.35">
      <c r="A1332">
        <v>11331</v>
      </c>
      <c r="B1332">
        <v>39</v>
      </c>
      <c r="C1332" t="s">
        <v>9</v>
      </c>
      <c r="D1332" t="s">
        <v>12</v>
      </c>
      <c r="E1332" s="2">
        <v>45812</v>
      </c>
      <c r="F1332" s="2">
        <v>46008</v>
      </c>
      <c r="G1332">
        <v>800</v>
      </c>
      <c r="H1332" t="s">
        <v>14</v>
      </c>
      <c r="I1332" t="s">
        <v>16</v>
      </c>
      <c r="J1332">
        <f t="shared" si="81"/>
        <v>9600</v>
      </c>
      <c r="K1332" t="str">
        <f t="shared" si="80"/>
        <v>35+</v>
      </c>
      <c r="L1332" t="str">
        <f t="shared" ca="1" si="82"/>
        <v>Safe</v>
      </c>
      <c r="M1332" t="str">
        <f t="shared" si="83"/>
        <v>Jun-2025</v>
      </c>
    </row>
    <row r="1333" spans="1:13" x14ac:dyDescent="0.35">
      <c r="A1333">
        <v>11332</v>
      </c>
      <c r="B1333">
        <v>23</v>
      </c>
      <c r="C1333" t="s">
        <v>9</v>
      </c>
      <c r="D1333" t="s">
        <v>11</v>
      </c>
      <c r="E1333" s="2">
        <v>45566</v>
      </c>
      <c r="F1333" s="2">
        <v>46011</v>
      </c>
      <c r="G1333">
        <v>1200</v>
      </c>
      <c r="H1333" t="s">
        <v>14</v>
      </c>
      <c r="I1333" t="s">
        <v>16</v>
      </c>
      <c r="J1333">
        <f t="shared" si="81"/>
        <v>1200</v>
      </c>
      <c r="K1333" t="str">
        <f t="shared" si="80"/>
        <v>18-24</v>
      </c>
      <c r="L1333" t="str">
        <f t="shared" ca="1" si="82"/>
        <v>Safe</v>
      </c>
      <c r="M1333" t="str">
        <f t="shared" si="83"/>
        <v>Oct-2024</v>
      </c>
    </row>
    <row r="1334" spans="1:13" x14ac:dyDescent="0.35">
      <c r="A1334">
        <v>11333</v>
      </c>
      <c r="B1334">
        <v>30</v>
      </c>
      <c r="C1334" t="s">
        <v>9</v>
      </c>
      <c r="D1334" t="s">
        <v>11</v>
      </c>
      <c r="E1334" s="2">
        <v>45884</v>
      </c>
      <c r="F1334" s="2">
        <v>46018</v>
      </c>
      <c r="G1334">
        <v>1200</v>
      </c>
      <c r="H1334" t="s">
        <v>14</v>
      </c>
      <c r="I1334" t="s">
        <v>16</v>
      </c>
      <c r="J1334">
        <f t="shared" si="81"/>
        <v>1200</v>
      </c>
      <c r="K1334" t="str">
        <f t="shared" si="80"/>
        <v>25-34</v>
      </c>
      <c r="L1334" t="str">
        <f t="shared" ca="1" si="82"/>
        <v>Safe</v>
      </c>
      <c r="M1334" t="str">
        <f t="shared" si="83"/>
        <v>Aug-2025</v>
      </c>
    </row>
    <row r="1335" spans="1:13" x14ac:dyDescent="0.35">
      <c r="A1335">
        <v>11334</v>
      </c>
      <c r="B1335">
        <v>32</v>
      </c>
      <c r="C1335" t="s">
        <v>9</v>
      </c>
      <c r="D1335" t="s">
        <v>13</v>
      </c>
      <c r="E1335" s="2">
        <v>45760</v>
      </c>
      <c r="F1335" s="2">
        <v>46022</v>
      </c>
      <c r="G1335">
        <v>1000</v>
      </c>
      <c r="H1335" t="s">
        <v>14</v>
      </c>
      <c r="I1335" t="s">
        <v>16</v>
      </c>
      <c r="J1335">
        <f t="shared" si="81"/>
        <v>3000</v>
      </c>
      <c r="K1335" t="str">
        <f t="shared" si="80"/>
        <v>25-34</v>
      </c>
      <c r="L1335" t="str">
        <f t="shared" ca="1" si="82"/>
        <v>Safe</v>
      </c>
      <c r="M1335" t="str">
        <f t="shared" si="83"/>
        <v>Apr-2025</v>
      </c>
    </row>
    <row r="1336" spans="1:13" x14ac:dyDescent="0.35">
      <c r="A1336">
        <v>11335</v>
      </c>
      <c r="B1336">
        <v>21</v>
      </c>
      <c r="C1336" t="s">
        <v>9</v>
      </c>
      <c r="D1336" t="s">
        <v>11</v>
      </c>
      <c r="E1336" s="2">
        <v>45522</v>
      </c>
      <c r="F1336" s="2">
        <v>46027</v>
      </c>
      <c r="G1336">
        <v>1200</v>
      </c>
      <c r="H1336" t="s">
        <v>14</v>
      </c>
      <c r="I1336" t="s">
        <v>16</v>
      </c>
      <c r="J1336">
        <f t="shared" si="81"/>
        <v>1200</v>
      </c>
      <c r="K1336" t="str">
        <f t="shared" si="80"/>
        <v>18-24</v>
      </c>
      <c r="L1336" t="str">
        <f t="shared" ca="1" si="82"/>
        <v>Safe</v>
      </c>
      <c r="M1336" t="str">
        <f t="shared" si="83"/>
        <v>Aug-2024</v>
      </c>
    </row>
    <row r="1337" spans="1:13" x14ac:dyDescent="0.35">
      <c r="A1337">
        <v>11336</v>
      </c>
      <c r="B1337">
        <v>30</v>
      </c>
      <c r="C1337" t="s">
        <v>10</v>
      </c>
      <c r="D1337" t="s">
        <v>11</v>
      </c>
      <c r="E1337" s="2">
        <v>45528</v>
      </c>
      <c r="F1337" s="2">
        <v>45950</v>
      </c>
      <c r="G1337">
        <v>1200</v>
      </c>
      <c r="H1337" t="s">
        <v>14</v>
      </c>
      <c r="I1337" t="s">
        <v>17</v>
      </c>
      <c r="J1337">
        <f t="shared" si="81"/>
        <v>1200</v>
      </c>
      <c r="K1337" t="str">
        <f t="shared" si="80"/>
        <v>25-34</v>
      </c>
      <c r="L1337" t="str">
        <f t="shared" ca="1" si="82"/>
        <v>High Risk</v>
      </c>
      <c r="M1337" t="str">
        <f t="shared" si="83"/>
        <v>Aug-2024</v>
      </c>
    </row>
    <row r="1338" spans="1:13" x14ac:dyDescent="0.35">
      <c r="A1338">
        <v>11337</v>
      </c>
      <c r="B1338">
        <v>41</v>
      </c>
      <c r="C1338" t="s">
        <v>10</v>
      </c>
      <c r="D1338" t="s">
        <v>11</v>
      </c>
      <c r="E1338" s="2">
        <v>45661</v>
      </c>
      <c r="F1338" s="2">
        <v>46013</v>
      </c>
      <c r="G1338">
        <v>1200</v>
      </c>
      <c r="H1338" t="s">
        <v>14</v>
      </c>
      <c r="I1338" t="s">
        <v>16</v>
      </c>
      <c r="J1338">
        <f t="shared" si="81"/>
        <v>1200</v>
      </c>
      <c r="K1338" t="str">
        <f t="shared" si="80"/>
        <v>35+</v>
      </c>
      <c r="L1338" t="str">
        <f t="shared" ca="1" si="82"/>
        <v>Safe</v>
      </c>
      <c r="M1338" t="str">
        <f t="shared" si="83"/>
        <v>Jan-2025</v>
      </c>
    </row>
    <row r="1339" spans="1:13" x14ac:dyDescent="0.35">
      <c r="A1339">
        <v>11338</v>
      </c>
      <c r="B1339">
        <v>37</v>
      </c>
      <c r="C1339" t="s">
        <v>9</v>
      </c>
      <c r="D1339" t="s">
        <v>11</v>
      </c>
      <c r="E1339" s="2">
        <v>45526</v>
      </c>
      <c r="F1339" s="2">
        <v>46010</v>
      </c>
      <c r="G1339">
        <v>1700</v>
      </c>
      <c r="H1339" t="s">
        <v>15</v>
      </c>
      <c r="I1339" t="s">
        <v>16</v>
      </c>
      <c r="J1339">
        <f t="shared" si="81"/>
        <v>1700</v>
      </c>
      <c r="K1339" t="str">
        <f t="shared" si="80"/>
        <v>35+</v>
      </c>
      <c r="L1339" t="str">
        <f t="shared" ca="1" si="82"/>
        <v>Safe</v>
      </c>
      <c r="M1339" t="str">
        <f t="shared" si="83"/>
        <v>Aug-2024</v>
      </c>
    </row>
    <row r="1340" spans="1:13" x14ac:dyDescent="0.35">
      <c r="A1340">
        <v>11339</v>
      </c>
      <c r="B1340">
        <v>41</v>
      </c>
      <c r="C1340" t="s">
        <v>9</v>
      </c>
      <c r="D1340" t="s">
        <v>12</v>
      </c>
      <c r="E1340" s="2">
        <v>45850</v>
      </c>
      <c r="F1340" s="2">
        <v>45948</v>
      </c>
      <c r="G1340">
        <v>1300</v>
      </c>
      <c r="H1340" t="s">
        <v>15</v>
      </c>
      <c r="I1340" t="s">
        <v>17</v>
      </c>
      <c r="J1340">
        <f t="shared" si="81"/>
        <v>15600</v>
      </c>
      <c r="K1340" t="str">
        <f t="shared" si="80"/>
        <v>35+</v>
      </c>
      <c r="L1340" t="str">
        <f t="shared" ca="1" si="82"/>
        <v>High Risk</v>
      </c>
      <c r="M1340" t="str">
        <f t="shared" si="83"/>
        <v>Jul-2025</v>
      </c>
    </row>
    <row r="1341" spans="1:13" x14ac:dyDescent="0.35">
      <c r="A1341">
        <v>11340</v>
      </c>
      <c r="B1341">
        <v>32</v>
      </c>
      <c r="C1341" t="s">
        <v>10</v>
      </c>
      <c r="D1341" t="s">
        <v>11</v>
      </c>
      <c r="E1341" s="2">
        <v>45377</v>
      </c>
      <c r="F1341" s="2">
        <v>46022</v>
      </c>
      <c r="G1341">
        <v>1200</v>
      </c>
      <c r="H1341" t="s">
        <v>14</v>
      </c>
      <c r="I1341" t="s">
        <v>16</v>
      </c>
      <c r="J1341">
        <f t="shared" si="81"/>
        <v>1200</v>
      </c>
      <c r="K1341" t="str">
        <f t="shared" si="80"/>
        <v>25-34</v>
      </c>
      <c r="L1341" t="str">
        <f t="shared" ca="1" si="82"/>
        <v>Safe</v>
      </c>
      <c r="M1341" t="str">
        <f t="shared" si="83"/>
        <v>Mar-2024</v>
      </c>
    </row>
    <row r="1342" spans="1:13" x14ac:dyDescent="0.35">
      <c r="A1342">
        <v>11341</v>
      </c>
      <c r="B1342">
        <v>25</v>
      </c>
      <c r="C1342" t="s">
        <v>9</v>
      </c>
      <c r="D1342" t="s">
        <v>13</v>
      </c>
      <c r="E1342" s="2">
        <v>45683</v>
      </c>
      <c r="F1342" s="2">
        <v>46032</v>
      </c>
      <c r="G1342">
        <v>1000</v>
      </c>
      <c r="H1342" t="s">
        <v>14</v>
      </c>
      <c r="I1342" t="s">
        <v>16</v>
      </c>
      <c r="J1342">
        <f t="shared" si="81"/>
        <v>3000</v>
      </c>
      <c r="K1342" t="str">
        <f t="shared" si="80"/>
        <v>25-34</v>
      </c>
      <c r="L1342" t="str">
        <f t="shared" ca="1" si="82"/>
        <v>Safe</v>
      </c>
      <c r="M1342" t="str">
        <f t="shared" si="83"/>
        <v>Jan-2025</v>
      </c>
    </row>
    <row r="1343" spans="1:13" x14ac:dyDescent="0.35">
      <c r="A1343">
        <v>11342</v>
      </c>
      <c r="B1343">
        <v>22</v>
      </c>
      <c r="C1343" t="s">
        <v>9</v>
      </c>
      <c r="D1343" t="s">
        <v>11</v>
      </c>
      <c r="E1343" s="2">
        <v>45951</v>
      </c>
      <c r="F1343" s="2">
        <v>46021</v>
      </c>
      <c r="G1343">
        <v>1700</v>
      </c>
      <c r="H1343" t="s">
        <v>15</v>
      </c>
      <c r="I1343" t="s">
        <v>16</v>
      </c>
      <c r="J1343">
        <f t="shared" si="81"/>
        <v>1700</v>
      </c>
      <c r="K1343" t="str">
        <f t="shared" si="80"/>
        <v>18-24</v>
      </c>
      <c r="L1343" t="str">
        <f t="shared" ca="1" si="82"/>
        <v>Safe</v>
      </c>
      <c r="M1343" t="str">
        <f t="shared" si="83"/>
        <v>Oct-2025</v>
      </c>
    </row>
    <row r="1344" spans="1:13" x14ac:dyDescent="0.35">
      <c r="A1344">
        <v>11343</v>
      </c>
      <c r="B1344">
        <v>32</v>
      </c>
      <c r="C1344" t="s">
        <v>9</v>
      </c>
      <c r="D1344" t="s">
        <v>13</v>
      </c>
      <c r="E1344" s="2">
        <v>45247</v>
      </c>
      <c r="F1344" s="2">
        <v>46023</v>
      </c>
      <c r="G1344">
        <v>1500</v>
      </c>
      <c r="H1344" t="s">
        <v>15</v>
      </c>
      <c r="I1344" t="s">
        <v>16</v>
      </c>
      <c r="J1344">
        <f t="shared" si="81"/>
        <v>4500</v>
      </c>
      <c r="K1344" t="str">
        <f t="shared" si="80"/>
        <v>25-34</v>
      </c>
      <c r="L1344" t="str">
        <f t="shared" ca="1" si="82"/>
        <v>Safe</v>
      </c>
      <c r="M1344" t="str">
        <f t="shared" si="83"/>
        <v>Nov-2023</v>
      </c>
    </row>
    <row r="1345" spans="1:13" x14ac:dyDescent="0.35">
      <c r="A1345">
        <v>11344</v>
      </c>
      <c r="B1345">
        <v>21</v>
      </c>
      <c r="C1345" t="s">
        <v>9</v>
      </c>
      <c r="D1345" t="s">
        <v>11</v>
      </c>
      <c r="E1345" s="2">
        <v>45463</v>
      </c>
      <c r="F1345" s="2">
        <v>46008</v>
      </c>
      <c r="G1345">
        <v>1700</v>
      </c>
      <c r="H1345" t="s">
        <v>15</v>
      </c>
      <c r="I1345" t="s">
        <v>16</v>
      </c>
      <c r="J1345">
        <f t="shared" si="81"/>
        <v>1700</v>
      </c>
      <c r="K1345" t="str">
        <f t="shared" si="80"/>
        <v>18-24</v>
      </c>
      <c r="L1345" t="str">
        <f t="shared" ca="1" si="82"/>
        <v>Safe</v>
      </c>
      <c r="M1345" t="str">
        <f t="shared" si="83"/>
        <v>Jun-2024</v>
      </c>
    </row>
    <row r="1346" spans="1:13" x14ac:dyDescent="0.35">
      <c r="A1346">
        <v>11345</v>
      </c>
      <c r="B1346">
        <v>29</v>
      </c>
      <c r="C1346" t="s">
        <v>9</v>
      </c>
      <c r="D1346" t="s">
        <v>13</v>
      </c>
      <c r="E1346" s="2">
        <v>45789</v>
      </c>
      <c r="F1346" s="2">
        <v>45988</v>
      </c>
      <c r="G1346">
        <v>1000</v>
      </c>
      <c r="H1346" t="s">
        <v>14</v>
      </c>
      <c r="I1346" t="s">
        <v>17</v>
      </c>
      <c r="J1346">
        <f t="shared" si="81"/>
        <v>3000</v>
      </c>
      <c r="K1346" t="str">
        <f t="shared" ref="K1346:K1409" si="84">IF(B1346&lt;25,"18-24",IF(B1346&lt;35,"25-34","35+"))</f>
        <v>25-34</v>
      </c>
      <c r="L1346" t="str">
        <f t="shared" ca="1" si="82"/>
        <v>High Risk</v>
      </c>
      <c r="M1346" t="str">
        <f t="shared" si="83"/>
        <v>May-2025</v>
      </c>
    </row>
    <row r="1347" spans="1:13" x14ac:dyDescent="0.35">
      <c r="A1347">
        <v>11346</v>
      </c>
      <c r="B1347">
        <v>30</v>
      </c>
      <c r="C1347" t="s">
        <v>9</v>
      </c>
      <c r="D1347" t="s">
        <v>11</v>
      </c>
      <c r="E1347" s="2">
        <v>45725</v>
      </c>
      <c r="F1347" s="2">
        <v>46024</v>
      </c>
      <c r="G1347">
        <v>1700</v>
      </c>
      <c r="H1347" t="s">
        <v>15</v>
      </c>
      <c r="I1347" t="s">
        <v>16</v>
      </c>
      <c r="J1347">
        <f t="shared" ref="J1347:J1410" si="85">IF(D1347="Monthly",G1347,IF(D1347="Quarterly",G1347*3,G1347*12))</f>
        <v>1700</v>
      </c>
      <c r="K1347" t="str">
        <f t="shared" si="84"/>
        <v>25-34</v>
      </c>
      <c r="L1347" t="str">
        <f t="shared" ref="L1347:L1410" ca="1" si="86">IF(F1347&lt;TODAY()-30,"High Risk","Safe")</f>
        <v>Safe</v>
      </c>
      <c r="M1347" t="str">
        <f t="shared" ref="M1347:M1410" si="87">TEXT(E1347,"mmm-yyyy")</f>
        <v>Mar-2025</v>
      </c>
    </row>
    <row r="1348" spans="1:13" x14ac:dyDescent="0.35">
      <c r="A1348">
        <v>11347</v>
      </c>
      <c r="B1348">
        <v>19</v>
      </c>
      <c r="C1348" t="s">
        <v>9</v>
      </c>
      <c r="D1348" t="s">
        <v>11</v>
      </c>
      <c r="E1348" s="2">
        <v>45365</v>
      </c>
      <c r="F1348" s="2">
        <v>45946</v>
      </c>
      <c r="G1348">
        <v>1200</v>
      </c>
      <c r="H1348" t="s">
        <v>14</v>
      </c>
      <c r="I1348" t="s">
        <v>17</v>
      </c>
      <c r="J1348">
        <f t="shared" si="85"/>
        <v>1200</v>
      </c>
      <c r="K1348" t="str">
        <f t="shared" si="84"/>
        <v>18-24</v>
      </c>
      <c r="L1348" t="str">
        <f t="shared" ca="1" si="86"/>
        <v>High Risk</v>
      </c>
      <c r="M1348" t="str">
        <f t="shared" si="87"/>
        <v>Mar-2024</v>
      </c>
    </row>
    <row r="1349" spans="1:13" x14ac:dyDescent="0.35">
      <c r="A1349">
        <v>11348</v>
      </c>
      <c r="B1349">
        <v>44</v>
      </c>
      <c r="C1349" t="s">
        <v>10</v>
      </c>
      <c r="D1349" t="s">
        <v>13</v>
      </c>
      <c r="E1349" s="2">
        <v>45490</v>
      </c>
      <c r="F1349" s="2">
        <v>46017</v>
      </c>
      <c r="G1349">
        <v>1000</v>
      </c>
      <c r="H1349" t="s">
        <v>14</v>
      </c>
      <c r="I1349" t="s">
        <v>16</v>
      </c>
      <c r="J1349">
        <f t="shared" si="85"/>
        <v>3000</v>
      </c>
      <c r="K1349" t="str">
        <f t="shared" si="84"/>
        <v>35+</v>
      </c>
      <c r="L1349" t="str">
        <f t="shared" ca="1" si="86"/>
        <v>Safe</v>
      </c>
      <c r="M1349" t="str">
        <f t="shared" si="87"/>
        <v>Jul-2024</v>
      </c>
    </row>
    <row r="1350" spans="1:13" x14ac:dyDescent="0.35">
      <c r="A1350">
        <v>11349</v>
      </c>
      <c r="B1350">
        <v>36</v>
      </c>
      <c r="C1350" t="s">
        <v>9</v>
      </c>
      <c r="D1350" t="s">
        <v>11</v>
      </c>
      <c r="E1350" s="2">
        <v>45739</v>
      </c>
      <c r="F1350" s="2">
        <v>46026</v>
      </c>
      <c r="G1350">
        <v>1200</v>
      </c>
      <c r="H1350" t="s">
        <v>14</v>
      </c>
      <c r="I1350" t="s">
        <v>16</v>
      </c>
      <c r="J1350">
        <f t="shared" si="85"/>
        <v>1200</v>
      </c>
      <c r="K1350" t="str">
        <f t="shared" si="84"/>
        <v>35+</v>
      </c>
      <c r="L1350" t="str">
        <f t="shared" ca="1" si="86"/>
        <v>Safe</v>
      </c>
      <c r="M1350" t="str">
        <f t="shared" si="87"/>
        <v>Mar-2025</v>
      </c>
    </row>
    <row r="1351" spans="1:13" x14ac:dyDescent="0.35">
      <c r="A1351">
        <v>11350</v>
      </c>
      <c r="B1351">
        <v>36</v>
      </c>
      <c r="C1351" t="s">
        <v>10</v>
      </c>
      <c r="D1351" t="s">
        <v>11</v>
      </c>
      <c r="E1351" s="2">
        <v>45300</v>
      </c>
      <c r="F1351" s="2">
        <v>46022</v>
      </c>
      <c r="G1351">
        <v>1200</v>
      </c>
      <c r="H1351" t="s">
        <v>14</v>
      </c>
      <c r="I1351" t="s">
        <v>16</v>
      </c>
      <c r="J1351">
        <f t="shared" si="85"/>
        <v>1200</v>
      </c>
      <c r="K1351" t="str">
        <f t="shared" si="84"/>
        <v>35+</v>
      </c>
      <c r="L1351" t="str">
        <f t="shared" ca="1" si="86"/>
        <v>Safe</v>
      </c>
      <c r="M1351" t="str">
        <f t="shared" si="87"/>
        <v>Jan-2024</v>
      </c>
    </row>
    <row r="1352" spans="1:13" x14ac:dyDescent="0.35">
      <c r="A1352">
        <v>11351</v>
      </c>
      <c r="B1352">
        <v>21</v>
      </c>
      <c r="C1352" t="s">
        <v>10</v>
      </c>
      <c r="D1352" t="s">
        <v>11</v>
      </c>
      <c r="E1352" s="2">
        <v>45894</v>
      </c>
      <c r="F1352" s="2">
        <v>46017</v>
      </c>
      <c r="G1352">
        <v>1700</v>
      </c>
      <c r="H1352" t="s">
        <v>15</v>
      </c>
      <c r="I1352" t="s">
        <v>16</v>
      </c>
      <c r="J1352">
        <f t="shared" si="85"/>
        <v>1700</v>
      </c>
      <c r="K1352" t="str">
        <f t="shared" si="84"/>
        <v>18-24</v>
      </c>
      <c r="L1352" t="str">
        <f t="shared" ca="1" si="86"/>
        <v>Safe</v>
      </c>
      <c r="M1352" t="str">
        <f t="shared" si="87"/>
        <v>Aug-2025</v>
      </c>
    </row>
    <row r="1353" spans="1:13" x14ac:dyDescent="0.35">
      <c r="A1353">
        <v>11352</v>
      </c>
      <c r="B1353">
        <v>21</v>
      </c>
      <c r="C1353" t="s">
        <v>9</v>
      </c>
      <c r="D1353" t="s">
        <v>12</v>
      </c>
      <c r="E1353" s="2">
        <v>45986</v>
      </c>
      <c r="F1353" s="2">
        <v>46025</v>
      </c>
      <c r="G1353">
        <v>800</v>
      </c>
      <c r="H1353" t="s">
        <v>14</v>
      </c>
      <c r="I1353" t="s">
        <v>16</v>
      </c>
      <c r="J1353">
        <f t="shared" si="85"/>
        <v>9600</v>
      </c>
      <c r="K1353" t="str">
        <f t="shared" si="84"/>
        <v>18-24</v>
      </c>
      <c r="L1353" t="str">
        <f t="shared" ca="1" si="86"/>
        <v>Safe</v>
      </c>
      <c r="M1353" t="str">
        <f t="shared" si="87"/>
        <v>Nov-2025</v>
      </c>
    </row>
    <row r="1354" spans="1:13" x14ac:dyDescent="0.35">
      <c r="A1354">
        <v>11353</v>
      </c>
      <c r="B1354">
        <v>43</v>
      </c>
      <c r="C1354" t="s">
        <v>9</v>
      </c>
      <c r="D1354" t="s">
        <v>11</v>
      </c>
      <c r="E1354" s="2">
        <v>45833</v>
      </c>
      <c r="F1354" s="2">
        <v>45971</v>
      </c>
      <c r="G1354">
        <v>1200</v>
      </c>
      <c r="H1354" t="s">
        <v>14</v>
      </c>
      <c r="I1354" t="s">
        <v>17</v>
      </c>
      <c r="J1354">
        <f t="shared" si="85"/>
        <v>1200</v>
      </c>
      <c r="K1354" t="str">
        <f t="shared" si="84"/>
        <v>35+</v>
      </c>
      <c r="L1354" t="str">
        <f t="shared" ca="1" si="86"/>
        <v>High Risk</v>
      </c>
      <c r="M1354" t="str">
        <f t="shared" si="87"/>
        <v>Jun-2025</v>
      </c>
    </row>
    <row r="1355" spans="1:13" x14ac:dyDescent="0.35">
      <c r="A1355">
        <v>11354</v>
      </c>
      <c r="B1355">
        <v>28</v>
      </c>
      <c r="C1355" t="s">
        <v>9</v>
      </c>
      <c r="D1355" t="s">
        <v>13</v>
      </c>
      <c r="E1355" s="2">
        <v>45313</v>
      </c>
      <c r="F1355" s="2">
        <v>46031</v>
      </c>
      <c r="G1355">
        <v>1000</v>
      </c>
      <c r="H1355" t="s">
        <v>14</v>
      </c>
      <c r="I1355" t="s">
        <v>16</v>
      </c>
      <c r="J1355">
        <f t="shared" si="85"/>
        <v>3000</v>
      </c>
      <c r="K1355" t="str">
        <f t="shared" si="84"/>
        <v>25-34</v>
      </c>
      <c r="L1355" t="str">
        <f t="shared" ca="1" si="86"/>
        <v>Safe</v>
      </c>
      <c r="M1355" t="str">
        <f t="shared" si="87"/>
        <v>Jan-2024</v>
      </c>
    </row>
    <row r="1356" spans="1:13" x14ac:dyDescent="0.35">
      <c r="A1356">
        <v>11355</v>
      </c>
      <c r="B1356">
        <v>44</v>
      </c>
      <c r="C1356" t="s">
        <v>9</v>
      </c>
      <c r="D1356" t="s">
        <v>11</v>
      </c>
      <c r="E1356" s="2">
        <v>45672</v>
      </c>
      <c r="F1356" s="2">
        <v>45927</v>
      </c>
      <c r="G1356">
        <v>1200</v>
      </c>
      <c r="H1356" t="s">
        <v>14</v>
      </c>
      <c r="I1356" t="s">
        <v>17</v>
      </c>
      <c r="J1356">
        <f t="shared" si="85"/>
        <v>1200</v>
      </c>
      <c r="K1356" t="str">
        <f t="shared" si="84"/>
        <v>35+</v>
      </c>
      <c r="L1356" t="str">
        <f t="shared" ca="1" si="86"/>
        <v>High Risk</v>
      </c>
      <c r="M1356" t="str">
        <f t="shared" si="87"/>
        <v>Jan-2025</v>
      </c>
    </row>
    <row r="1357" spans="1:13" x14ac:dyDescent="0.35">
      <c r="A1357">
        <v>11356</v>
      </c>
      <c r="B1357">
        <v>22</v>
      </c>
      <c r="C1357" t="s">
        <v>10</v>
      </c>
      <c r="D1357" t="s">
        <v>11</v>
      </c>
      <c r="E1357" s="2">
        <v>45792</v>
      </c>
      <c r="F1357" s="2">
        <v>45930</v>
      </c>
      <c r="G1357">
        <v>1200</v>
      </c>
      <c r="H1357" t="s">
        <v>14</v>
      </c>
      <c r="I1357" t="s">
        <v>17</v>
      </c>
      <c r="J1357">
        <f t="shared" si="85"/>
        <v>1200</v>
      </c>
      <c r="K1357" t="str">
        <f t="shared" si="84"/>
        <v>18-24</v>
      </c>
      <c r="L1357" t="str">
        <f t="shared" ca="1" si="86"/>
        <v>High Risk</v>
      </c>
      <c r="M1357" t="str">
        <f t="shared" si="87"/>
        <v>May-2025</v>
      </c>
    </row>
    <row r="1358" spans="1:13" x14ac:dyDescent="0.35">
      <c r="A1358">
        <v>11357</v>
      </c>
      <c r="B1358">
        <v>37</v>
      </c>
      <c r="C1358" t="s">
        <v>9</v>
      </c>
      <c r="D1358" t="s">
        <v>11</v>
      </c>
      <c r="E1358" s="2">
        <v>45982</v>
      </c>
      <c r="F1358" s="2">
        <v>45914</v>
      </c>
      <c r="G1358">
        <v>1700</v>
      </c>
      <c r="H1358" t="s">
        <v>15</v>
      </c>
      <c r="I1358" t="s">
        <v>17</v>
      </c>
      <c r="J1358">
        <f t="shared" si="85"/>
        <v>1700</v>
      </c>
      <c r="K1358" t="str">
        <f t="shared" si="84"/>
        <v>35+</v>
      </c>
      <c r="L1358" t="str">
        <f t="shared" ca="1" si="86"/>
        <v>High Risk</v>
      </c>
      <c r="M1358" t="str">
        <f t="shared" si="87"/>
        <v>Nov-2025</v>
      </c>
    </row>
    <row r="1359" spans="1:13" x14ac:dyDescent="0.35">
      <c r="A1359">
        <v>11358</v>
      </c>
      <c r="B1359">
        <v>28</v>
      </c>
      <c r="C1359" t="s">
        <v>10</v>
      </c>
      <c r="D1359" t="s">
        <v>12</v>
      </c>
      <c r="E1359" s="2">
        <v>45776</v>
      </c>
      <c r="F1359" s="2">
        <v>46027</v>
      </c>
      <c r="G1359">
        <v>800</v>
      </c>
      <c r="H1359" t="s">
        <v>14</v>
      </c>
      <c r="I1359" t="s">
        <v>16</v>
      </c>
      <c r="J1359">
        <f t="shared" si="85"/>
        <v>9600</v>
      </c>
      <c r="K1359" t="str">
        <f t="shared" si="84"/>
        <v>25-34</v>
      </c>
      <c r="L1359" t="str">
        <f t="shared" ca="1" si="86"/>
        <v>Safe</v>
      </c>
      <c r="M1359" t="str">
        <f t="shared" si="87"/>
        <v>Apr-2025</v>
      </c>
    </row>
    <row r="1360" spans="1:13" x14ac:dyDescent="0.35">
      <c r="A1360">
        <v>11359</v>
      </c>
      <c r="B1360">
        <v>27</v>
      </c>
      <c r="C1360" t="s">
        <v>9</v>
      </c>
      <c r="D1360" t="s">
        <v>11</v>
      </c>
      <c r="E1360" s="2">
        <v>45445</v>
      </c>
      <c r="F1360" s="2">
        <v>46010</v>
      </c>
      <c r="G1360">
        <v>1700</v>
      </c>
      <c r="H1360" t="s">
        <v>15</v>
      </c>
      <c r="I1360" t="s">
        <v>16</v>
      </c>
      <c r="J1360">
        <f t="shared" si="85"/>
        <v>1700</v>
      </c>
      <c r="K1360" t="str">
        <f t="shared" si="84"/>
        <v>25-34</v>
      </c>
      <c r="L1360" t="str">
        <f t="shared" ca="1" si="86"/>
        <v>Safe</v>
      </c>
      <c r="M1360" t="str">
        <f t="shared" si="87"/>
        <v>Jun-2024</v>
      </c>
    </row>
    <row r="1361" spans="1:13" x14ac:dyDescent="0.35">
      <c r="A1361">
        <v>11360</v>
      </c>
      <c r="B1361">
        <v>25</v>
      </c>
      <c r="C1361" t="s">
        <v>9</v>
      </c>
      <c r="D1361" t="s">
        <v>11</v>
      </c>
      <c r="E1361" s="2">
        <v>45815</v>
      </c>
      <c r="F1361" s="2">
        <v>45958</v>
      </c>
      <c r="G1361">
        <v>1200</v>
      </c>
      <c r="H1361" t="s">
        <v>14</v>
      </c>
      <c r="I1361" t="s">
        <v>17</v>
      </c>
      <c r="J1361">
        <f t="shared" si="85"/>
        <v>1200</v>
      </c>
      <c r="K1361" t="str">
        <f t="shared" si="84"/>
        <v>25-34</v>
      </c>
      <c r="L1361" t="str">
        <f t="shared" ca="1" si="86"/>
        <v>High Risk</v>
      </c>
      <c r="M1361" t="str">
        <f t="shared" si="87"/>
        <v>Jun-2025</v>
      </c>
    </row>
    <row r="1362" spans="1:13" x14ac:dyDescent="0.35">
      <c r="A1362">
        <v>11361</v>
      </c>
      <c r="B1362">
        <v>23</v>
      </c>
      <c r="C1362" t="s">
        <v>9</v>
      </c>
      <c r="D1362" t="s">
        <v>11</v>
      </c>
      <c r="E1362" s="2">
        <v>45351</v>
      </c>
      <c r="F1362" s="2">
        <v>46027</v>
      </c>
      <c r="G1362">
        <v>1700</v>
      </c>
      <c r="H1362" t="s">
        <v>15</v>
      </c>
      <c r="I1362" t="s">
        <v>16</v>
      </c>
      <c r="J1362">
        <f t="shared" si="85"/>
        <v>1700</v>
      </c>
      <c r="K1362" t="str">
        <f t="shared" si="84"/>
        <v>18-24</v>
      </c>
      <c r="L1362" t="str">
        <f t="shared" ca="1" si="86"/>
        <v>Safe</v>
      </c>
      <c r="M1362" t="str">
        <f t="shared" si="87"/>
        <v>Feb-2024</v>
      </c>
    </row>
    <row r="1363" spans="1:13" x14ac:dyDescent="0.35">
      <c r="A1363">
        <v>11362</v>
      </c>
      <c r="B1363">
        <v>23</v>
      </c>
      <c r="C1363" t="s">
        <v>9</v>
      </c>
      <c r="D1363" t="s">
        <v>11</v>
      </c>
      <c r="E1363" s="2">
        <v>45758</v>
      </c>
      <c r="F1363" s="2">
        <v>46027</v>
      </c>
      <c r="G1363">
        <v>1700</v>
      </c>
      <c r="H1363" t="s">
        <v>15</v>
      </c>
      <c r="I1363" t="s">
        <v>16</v>
      </c>
      <c r="J1363">
        <f t="shared" si="85"/>
        <v>1700</v>
      </c>
      <c r="K1363" t="str">
        <f t="shared" si="84"/>
        <v>18-24</v>
      </c>
      <c r="L1363" t="str">
        <f t="shared" ca="1" si="86"/>
        <v>Safe</v>
      </c>
      <c r="M1363" t="str">
        <f t="shared" si="87"/>
        <v>Apr-2025</v>
      </c>
    </row>
    <row r="1364" spans="1:13" x14ac:dyDescent="0.35">
      <c r="A1364">
        <v>11363</v>
      </c>
      <c r="B1364">
        <v>25</v>
      </c>
      <c r="C1364" t="s">
        <v>9</v>
      </c>
      <c r="D1364" t="s">
        <v>11</v>
      </c>
      <c r="E1364" s="2">
        <v>45543</v>
      </c>
      <c r="F1364" s="2">
        <v>45938</v>
      </c>
      <c r="G1364">
        <v>1200</v>
      </c>
      <c r="H1364" t="s">
        <v>14</v>
      </c>
      <c r="I1364" t="s">
        <v>17</v>
      </c>
      <c r="J1364">
        <f t="shared" si="85"/>
        <v>1200</v>
      </c>
      <c r="K1364" t="str">
        <f t="shared" si="84"/>
        <v>25-34</v>
      </c>
      <c r="L1364" t="str">
        <f t="shared" ca="1" si="86"/>
        <v>High Risk</v>
      </c>
      <c r="M1364" t="str">
        <f t="shared" si="87"/>
        <v>Sep-2024</v>
      </c>
    </row>
    <row r="1365" spans="1:13" x14ac:dyDescent="0.35">
      <c r="A1365">
        <v>11364</v>
      </c>
      <c r="B1365">
        <v>40</v>
      </c>
      <c r="C1365" t="s">
        <v>9</v>
      </c>
      <c r="D1365" t="s">
        <v>13</v>
      </c>
      <c r="E1365" s="2">
        <v>45797</v>
      </c>
      <c r="F1365" s="2">
        <v>46029</v>
      </c>
      <c r="G1365">
        <v>1500</v>
      </c>
      <c r="H1365" t="s">
        <v>15</v>
      </c>
      <c r="I1365" t="s">
        <v>16</v>
      </c>
      <c r="J1365">
        <f t="shared" si="85"/>
        <v>4500</v>
      </c>
      <c r="K1365" t="str">
        <f t="shared" si="84"/>
        <v>35+</v>
      </c>
      <c r="L1365" t="str">
        <f t="shared" ca="1" si="86"/>
        <v>Safe</v>
      </c>
      <c r="M1365" t="str">
        <f t="shared" si="87"/>
        <v>May-2025</v>
      </c>
    </row>
    <row r="1366" spans="1:13" x14ac:dyDescent="0.35">
      <c r="A1366">
        <v>11365</v>
      </c>
      <c r="B1366">
        <v>32</v>
      </c>
      <c r="C1366" t="s">
        <v>9</v>
      </c>
      <c r="D1366" t="s">
        <v>11</v>
      </c>
      <c r="E1366" s="2">
        <v>45211</v>
      </c>
      <c r="F1366" s="2">
        <v>45957</v>
      </c>
      <c r="G1366">
        <v>1200</v>
      </c>
      <c r="H1366" t="s">
        <v>14</v>
      </c>
      <c r="I1366" t="s">
        <v>17</v>
      </c>
      <c r="J1366">
        <f t="shared" si="85"/>
        <v>1200</v>
      </c>
      <c r="K1366" t="str">
        <f t="shared" si="84"/>
        <v>25-34</v>
      </c>
      <c r="L1366" t="str">
        <f t="shared" ca="1" si="86"/>
        <v>High Risk</v>
      </c>
      <c r="M1366" t="str">
        <f t="shared" si="87"/>
        <v>Oct-2023</v>
      </c>
    </row>
    <row r="1367" spans="1:13" x14ac:dyDescent="0.35">
      <c r="A1367">
        <v>11366</v>
      </c>
      <c r="B1367">
        <v>43</v>
      </c>
      <c r="C1367" t="s">
        <v>9</v>
      </c>
      <c r="D1367" t="s">
        <v>11</v>
      </c>
      <c r="E1367" s="2">
        <v>45761</v>
      </c>
      <c r="F1367" s="2">
        <v>46015</v>
      </c>
      <c r="G1367">
        <v>1700</v>
      </c>
      <c r="H1367" t="s">
        <v>15</v>
      </c>
      <c r="I1367" t="s">
        <v>16</v>
      </c>
      <c r="J1367">
        <f t="shared" si="85"/>
        <v>1700</v>
      </c>
      <c r="K1367" t="str">
        <f t="shared" si="84"/>
        <v>35+</v>
      </c>
      <c r="L1367" t="str">
        <f t="shared" ca="1" si="86"/>
        <v>Safe</v>
      </c>
      <c r="M1367" t="str">
        <f t="shared" si="87"/>
        <v>Apr-2025</v>
      </c>
    </row>
    <row r="1368" spans="1:13" x14ac:dyDescent="0.35">
      <c r="A1368">
        <v>11367</v>
      </c>
      <c r="B1368">
        <v>31</v>
      </c>
      <c r="C1368" t="s">
        <v>10</v>
      </c>
      <c r="D1368" t="s">
        <v>13</v>
      </c>
      <c r="E1368" s="2">
        <v>45202</v>
      </c>
      <c r="F1368" s="2">
        <v>46032</v>
      </c>
      <c r="G1368">
        <v>1500</v>
      </c>
      <c r="H1368" t="s">
        <v>15</v>
      </c>
      <c r="I1368" t="s">
        <v>16</v>
      </c>
      <c r="J1368">
        <f t="shared" si="85"/>
        <v>4500</v>
      </c>
      <c r="K1368" t="str">
        <f t="shared" si="84"/>
        <v>25-34</v>
      </c>
      <c r="L1368" t="str">
        <f t="shared" ca="1" si="86"/>
        <v>Safe</v>
      </c>
      <c r="M1368" t="str">
        <f t="shared" si="87"/>
        <v>Oct-2023</v>
      </c>
    </row>
    <row r="1369" spans="1:13" x14ac:dyDescent="0.35">
      <c r="A1369">
        <v>11368</v>
      </c>
      <c r="B1369">
        <v>28</v>
      </c>
      <c r="C1369" t="s">
        <v>9</v>
      </c>
      <c r="D1369" t="s">
        <v>11</v>
      </c>
      <c r="E1369" s="2">
        <v>45964</v>
      </c>
      <c r="F1369" s="2">
        <v>45979</v>
      </c>
      <c r="G1369">
        <v>1200</v>
      </c>
      <c r="H1369" t="s">
        <v>14</v>
      </c>
      <c r="I1369" t="s">
        <v>17</v>
      </c>
      <c r="J1369">
        <f t="shared" si="85"/>
        <v>1200</v>
      </c>
      <c r="K1369" t="str">
        <f t="shared" si="84"/>
        <v>25-34</v>
      </c>
      <c r="L1369" t="str">
        <f t="shared" ca="1" si="86"/>
        <v>High Risk</v>
      </c>
      <c r="M1369" t="str">
        <f t="shared" si="87"/>
        <v>Nov-2025</v>
      </c>
    </row>
    <row r="1370" spans="1:13" x14ac:dyDescent="0.35">
      <c r="A1370">
        <v>11369</v>
      </c>
      <c r="B1370">
        <v>29</v>
      </c>
      <c r="C1370" t="s">
        <v>10</v>
      </c>
      <c r="D1370" t="s">
        <v>11</v>
      </c>
      <c r="E1370" s="2">
        <v>45177</v>
      </c>
      <c r="F1370" s="2">
        <v>46015</v>
      </c>
      <c r="G1370">
        <v>1200</v>
      </c>
      <c r="H1370" t="s">
        <v>14</v>
      </c>
      <c r="I1370" t="s">
        <v>16</v>
      </c>
      <c r="J1370">
        <f t="shared" si="85"/>
        <v>1200</v>
      </c>
      <c r="K1370" t="str">
        <f t="shared" si="84"/>
        <v>25-34</v>
      </c>
      <c r="L1370" t="str">
        <f t="shared" ca="1" si="86"/>
        <v>Safe</v>
      </c>
      <c r="M1370" t="str">
        <f t="shared" si="87"/>
        <v>Sep-2023</v>
      </c>
    </row>
    <row r="1371" spans="1:13" x14ac:dyDescent="0.35">
      <c r="A1371">
        <v>11370</v>
      </c>
      <c r="B1371">
        <v>43</v>
      </c>
      <c r="C1371" t="s">
        <v>10</v>
      </c>
      <c r="D1371" t="s">
        <v>11</v>
      </c>
      <c r="E1371" s="2">
        <v>45230</v>
      </c>
      <c r="F1371" s="2">
        <v>46013</v>
      </c>
      <c r="G1371">
        <v>1200</v>
      </c>
      <c r="H1371" t="s">
        <v>14</v>
      </c>
      <c r="I1371" t="s">
        <v>16</v>
      </c>
      <c r="J1371">
        <f t="shared" si="85"/>
        <v>1200</v>
      </c>
      <c r="K1371" t="str">
        <f t="shared" si="84"/>
        <v>35+</v>
      </c>
      <c r="L1371" t="str">
        <f t="shared" ca="1" si="86"/>
        <v>Safe</v>
      </c>
      <c r="M1371" t="str">
        <f t="shared" si="87"/>
        <v>Oct-2023</v>
      </c>
    </row>
    <row r="1372" spans="1:13" x14ac:dyDescent="0.35">
      <c r="A1372">
        <v>11371</v>
      </c>
      <c r="B1372">
        <v>30</v>
      </c>
      <c r="C1372" t="s">
        <v>10</v>
      </c>
      <c r="D1372" t="s">
        <v>13</v>
      </c>
      <c r="E1372" s="2">
        <v>45906</v>
      </c>
      <c r="F1372" s="2">
        <v>46026</v>
      </c>
      <c r="G1372">
        <v>1500</v>
      </c>
      <c r="H1372" t="s">
        <v>15</v>
      </c>
      <c r="I1372" t="s">
        <v>16</v>
      </c>
      <c r="J1372">
        <f t="shared" si="85"/>
        <v>4500</v>
      </c>
      <c r="K1372" t="str">
        <f t="shared" si="84"/>
        <v>25-34</v>
      </c>
      <c r="L1372" t="str">
        <f t="shared" ca="1" si="86"/>
        <v>Safe</v>
      </c>
      <c r="M1372" t="str">
        <f t="shared" si="87"/>
        <v>Sep-2025</v>
      </c>
    </row>
    <row r="1373" spans="1:13" x14ac:dyDescent="0.35">
      <c r="A1373">
        <v>11372</v>
      </c>
      <c r="B1373">
        <v>25</v>
      </c>
      <c r="C1373" t="s">
        <v>9</v>
      </c>
      <c r="D1373" t="s">
        <v>11</v>
      </c>
      <c r="E1373" s="2">
        <v>45195</v>
      </c>
      <c r="F1373" s="2">
        <v>46012</v>
      </c>
      <c r="G1373">
        <v>1200</v>
      </c>
      <c r="H1373" t="s">
        <v>14</v>
      </c>
      <c r="I1373" t="s">
        <v>16</v>
      </c>
      <c r="J1373">
        <f t="shared" si="85"/>
        <v>1200</v>
      </c>
      <c r="K1373" t="str">
        <f t="shared" si="84"/>
        <v>25-34</v>
      </c>
      <c r="L1373" t="str">
        <f t="shared" ca="1" si="86"/>
        <v>Safe</v>
      </c>
      <c r="M1373" t="str">
        <f t="shared" si="87"/>
        <v>Sep-2023</v>
      </c>
    </row>
    <row r="1374" spans="1:13" x14ac:dyDescent="0.35">
      <c r="A1374">
        <v>11373</v>
      </c>
      <c r="B1374">
        <v>35</v>
      </c>
      <c r="C1374" t="s">
        <v>10</v>
      </c>
      <c r="D1374" t="s">
        <v>13</v>
      </c>
      <c r="E1374" s="2">
        <v>45296</v>
      </c>
      <c r="F1374" s="2">
        <v>46018</v>
      </c>
      <c r="G1374">
        <v>1000</v>
      </c>
      <c r="H1374" t="s">
        <v>14</v>
      </c>
      <c r="I1374" t="s">
        <v>16</v>
      </c>
      <c r="J1374">
        <f t="shared" si="85"/>
        <v>3000</v>
      </c>
      <c r="K1374" t="str">
        <f t="shared" si="84"/>
        <v>35+</v>
      </c>
      <c r="L1374" t="str">
        <f t="shared" ca="1" si="86"/>
        <v>Safe</v>
      </c>
      <c r="M1374" t="str">
        <f t="shared" si="87"/>
        <v>Jan-2024</v>
      </c>
    </row>
    <row r="1375" spans="1:13" x14ac:dyDescent="0.35">
      <c r="A1375">
        <v>11374</v>
      </c>
      <c r="B1375">
        <v>42</v>
      </c>
      <c r="C1375" t="s">
        <v>9</v>
      </c>
      <c r="D1375" t="s">
        <v>11</v>
      </c>
      <c r="E1375" s="2">
        <v>45658</v>
      </c>
      <c r="F1375" s="2">
        <v>46024</v>
      </c>
      <c r="G1375">
        <v>1200</v>
      </c>
      <c r="H1375" t="s">
        <v>14</v>
      </c>
      <c r="I1375" t="s">
        <v>16</v>
      </c>
      <c r="J1375">
        <f t="shared" si="85"/>
        <v>1200</v>
      </c>
      <c r="K1375" t="str">
        <f t="shared" si="84"/>
        <v>35+</v>
      </c>
      <c r="L1375" t="str">
        <f t="shared" ca="1" si="86"/>
        <v>Safe</v>
      </c>
      <c r="M1375" t="str">
        <f t="shared" si="87"/>
        <v>Jan-2025</v>
      </c>
    </row>
    <row r="1376" spans="1:13" x14ac:dyDescent="0.35">
      <c r="A1376">
        <v>11375</v>
      </c>
      <c r="B1376">
        <v>18</v>
      </c>
      <c r="C1376" t="s">
        <v>9</v>
      </c>
      <c r="D1376" t="s">
        <v>13</v>
      </c>
      <c r="E1376" s="2">
        <v>45624</v>
      </c>
      <c r="F1376" s="2">
        <v>46010</v>
      </c>
      <c r="G1376">
        <v>1000</v>
      </c>
      <c r="H1376" t="s">
        <v>14</v>
      </c>
      <c r="I1376" t="s">
        <v>16</v>
      </c>
      <c r="J1376">
        <f t="shared" si="85"/>
        <v>3000</v>
      </c>
      <c r="K1376" t="str">
        <f t="shared" si="84"/>
        <v>18-24</v>
      </c>
      <c r="L1376" t="str">
        <f t="shared" ca="1" si="86"/>
        <v>Safe</v>
      </c>
      <c r="M1376" t="str">
        <f t="shared" si="87"/>
        <v>Nov-2024</v>
      </c>
    </row>
    <row r="1377" spans="1:13" x14ac:dyDescent="0.35">
      <c r="A1377">
        <v>11376</v>
      </c>
      <c r="B1377">
        <v>32</v>
      </c>
      <c r="C1377" t="s">
        <v>9</v>
      </c>
      <c r="D1377" t="s">
        <v>11</v>
      </c>
      <c r="E1377" s="2">
        <v>45256</v>
      </c>
      <c r="F1377" s="2">
        <v>46032</v>
      </c>
      <c r="G1377">
        <v>1200</v>
      </c>
      <c r="H1377" t="s">
        <v>14</v>
      </c>
      <c r="I1377" t="s">
        <v>16</v>
      </c>
      <c r="J1377">
        <f t="shared" si="85"/>
        <v>1200</v>
      </c>
      <c r="K1377" t="str">
        <f t="shared" si="84"/>
        <v>25-34</v>
      </c>
      <c r="L1377" t="str">
        <f t="shared" ca="1" si="86"/>
        <v>Safe</v>
      </c>
      <c r="M1377" t="str">
        <f t="shared" si="87"/>
        <v>Nov-2023</v>
      </c>
    </row>
    <row r="1378" spans="1:13" x14ac:dyDescent="0.35">
      <c r="A1378">
        <v>11377</v>
      </c>
      <c r="B1378">
        <v>25</v>
      </c>
      <c r="C1378" t="s">
        <v>10</v>
      </c>
      <c r="D1378" t="s">
        <v>13</v>
      </c>
      <c r="E1378" s="2">
        <v>45678</v>
      </c>
      <c r="F1378" s="2">
        <v>46025</v>
      </c>
      <c r="G1378">
        <v>1000</v>
      </c>
      <c r="H1378" t="s">
        <v>14</v>
      </c>
      <c r="I1378" t="s">
        <v>16</v>
      </c>
      <c r="J1378">
        <f t="shared" si="85"/>
        <v>3000</v>
      </c>
      <c r="K1378" t="str">
        <f t="shared" si="84"/>
        <v>25-34</v>
      </c>
      <c r="L1378" t="str">
        <f t="shared" ca="1" si="86"/>
        <v>Safe</v>
      </c>
      <c r="M1378" t="str">
        <f t="shared" si="87"/>
        <v>Jan-2025</v>
      </c>
    </row>
    <row r="1379" spans="1:13" x14ac:dyDescent="0.35">
      <c r="A1379">
        <v>11378</v>
      </c>
      <c r="B1379">
        <v>45</v>
      </c>
      <c r="C1379" t="s">
        <v>9</v>
      </c>
      <c r="D1379" t="s">
        <v>12</v>
      </c>
      <c r="E1379" s="2">
        <v>45494</v>
      </c>
      <c r="F1379" s="2">
        <v>46010</v>
      </c>
      <c r="G1379">
        <v>800</v>
      </c>
      <c r="H1379" t="s">
        <v>14</v>
      </c>
      <c r="I1379" t="s">
        <v>16</v>
      </c>
      <c r="J1379">
        <f t="shared" si="85"/>
        <v>9600</v>
      </c>
      <c r="K1379" t="str">
        <f t="shared" si="84"/>
        <v>35+</v>
      </c>
      <c r="L1379" t="str">
        <f t="shared" ca="1" si="86"/>
        <v>Safe</v>
      </c>
      <c r="M1379" t="str">
        <f t="shared" si="87"/>
        <v>Jul-2024</v>
      </c>
    </row>
    <row r="1380" spans="1:13" x14ac:dyDescent="0.35">
      <c r="A1380">
        <v>11379</v>
      </c>
      <c r="B1380">
        <v>28</v>
      </c>
      <c r="C1380" t="s">
        <v>10</v>
      </c>
      <c r="D1380" t="s">
        <v>13</v>
      </c>
      <c r="E1380" s="2">
        <v>45437</v>
      </c>
      <c r="F1380" s="2">
        <v>46031</v>
      </c>
      <c r="G1380">
        <v>1000</v>
      </c>
      <c r="H1380" t="s">
        <v>14</v>
      </c>
      <c r="I1380" t="s">
        <v>16</v>
      </c>
      <c r="J1380">
        <f t="shared" si="85"/>
        <v>3000</v>
      </c>
      <c r="K1380" t="str">
        <f t="shared" si="84"/>
        <v>25-34</v>
      </c>
      <c r="L1380" t="str">
        <f t="shared" ca="1" si="86"/>
        <v>Safe</v>
      </c>
      <c r="M1380" t="str">
        <f t="shared" si="87"/>
        <v>May-2024</v>
      </c>
    </row>
    <row r="1381" spans="1:13" x14ac:dyDescent="0.35">
      <c r="A1381">
        <v>11380</v>
      </c>
      <c r="B1381">
        <v>29</v>
      </c>
      <c r="C1381" t="s">
        <v>9</v>
      </c>
      <c r="D1381" t="s">
        <v>11</v>
      </c>
      <c r="E1381" s="2">
        <v>45562</v>
      </c>
      <c r="F1381" s="2">
        <v>46030</v>
      </c>
      <c r="G1381">
        <v>1200</v>
      </c>
      <c r="H1381" t="s">
        <v>14</v>
      </c>
      <c r="I1381" t="s">
        <v>16</v>
      </c>
      <c r="J1381">
        <f t="shared" si="85"/>
        <v>1200</v>
      </c>
      <c r="K1381" t="str">
        <f t="shared" si="84"/>
        <v>25-34</v>
      </c>
      <c r="L1381" t="str">
        <f t="shared" ca="1" si="86"/>
        <v>Safe</v>
      </c>
      <c r="M1381" t="str">
        <f t="shared" si="87"/>
        <v>Sep-2024</v>
      </c>
    </row>
    <row r="1382" spans="1:13" x14ac:dyDescent="0.35">
      <c r="A1382">
        <v>11381</v>
      </c>
      <c r="B1382">
        <v>29</v>
      </c>
      <c r="C1382" t="s">
        <v>10</v>
      </c>
      <c r="D1382" t="s">
        <v>11</v>
      </c>
      <c r="E1382" s="2">
        <v>45665</v>
      </c>
      <c r="F1382" s="2">
        <v>46015</v>
      </c>
      <c r="G1382">
        <v>1700</v>
      </c>
      <c r="H1382" t="s">
        <v>15</v>
      </c>
      <c r="I1382" t="s">
        <v>16</v>
      </c>
      <c r="J1382">
        <f t="shared" si="85"/>
        <v>1700</v>
      </c>
      <c r="K1382" t="str">
        <f t="shared" si="84"/>
        <v>25-34</v>
      </c>
      <c r="L1382" t="str">
        <f t="shared" ca="1" si="86"/>
        <v>Safe</v>
      </c>
      <c r="M1382" t="str">
        <f t="shared" si="87"/>
        <v>Jan-2025</v>
      </c>
    </row>
    <row r="1383" spans="1:13" x14ac:dyDescent="0.35">
      <c r="A1383">
        <v>11382</v>
      </c>
      <c r="B1383">
        <v>21</v>
      </c>
      <c r="C1383" t="s">
        <v>10</v>
      </c>
      <c r="D1383" t="s">
        <v>11</v>
      </c>
      <c r="E1383" s="2">
        <v>45421</v>
      </c>
      <c r="F1383" s="2">
        <v>45995</v>
      </c>
      <c r="G1383">
        <v>1200</v>
      </c>
      <c r="H1383" t="s">
        <v>14</v>
      </c>
      <c r="I1383" t="s">
        <v>17</v>
      </c>
      <c r="J1383">
        <f t="shared" si="85"/>
        <v>1200</v>
      </c>
      <c r="K1383" t="str">
        <f t="shared" si="84"/>
        <v>18-24</v>
      </c>
      <c r="L1383" t="str">
        <f t="shared" ca="1" si="86"/>
        <v>High Risk</v>
      </c>
      <c r="M1383" t="str">
        <f t="shared" si="87"/>
        <v>May-2024</v>
      </c>
    </row>
    <row r="1384" spans="1:13" x14ac:dyDescent="0.35">
      <c r="A1384">
        <v>11383</v>
      </c>
      <c r="B1384">
        <v>33</v>
      </c>
      <c r="C1384" t="s">
        <v>9</v>
      </c>
      <c r="D1384" t="s">
        <v>11</v>
      </c>
      <c r="E1384" s="2">
        <v>45212</v>
      </c>
      <c r="F1384" s="2">
        <v>46011</v>
      </c>
      <c r="G1384">
        <v>1200</v>
      </c>
      <c r="H1384" t="s">
        <v>14</v>
      </c>
      <c r="I1384" t="s">
        <v>16</v>
      </c>
      <c r="J1384">
        <f t="shared" si="85"/>
        <v>1200</v>
      </c>
      <c r="K1384" t="str">
        <f t="shared" si="84"/>
        <v>25-34</v>
      </c>
      <c r="L1384" t="str">
        <f t="shared" ca="1" si="86"/>
        <v>Safe</v>
      </c>
      <c r="M1384" t="str">
        <f t="shared" si="87"/>
        <v>Oct-2023</v>
      </c>
    </row>
    <row r="1385" spans="1:13" x14ac:dyDescent="0.35">
      <c r="A1385">
        <v>11384</v>
      </c>
      <c r="B1385">
        <v>21</v>
      </c>
      <c r="C1385" t="s">
        <v>10</v>
      </c>
      <c r="D1385" t="s">
        <v>11</v>
      </c>
      <c r="E1385" s="2">
        <v>45243</v>
      </c>
      <c r="F1385" s="2">
        <v>46024</v>
      </c>
      <c r="G1385">
        <v>1700</v>
      </c>
      <c r="H1385" t="s">
        <v>15</v>
      </c>
      <c r="I1385" t="s">
        <v>16</v>
      </c>
      <c r="J1385">
        <f t="shared" si="85"/>
        <v>1700</v>
      </c>
      <c r="K1385" t="str">
        <f t="shared" si="84"/>
        <v>18-24</v>
      </c>
      <c r="L1385" t="str">
        <f t="shared" ca="1" si="86"/>
        <v>Safe</v>
      </c>
      <c r="M1385" t="str">
        <f t="shared" si="87"/>
        <v>Nov-2023</v>
      </c>
    </row>
    <row r="1386" spans="1:13" x14ac:dyDescent="0.35">
      <c r="A1386">
        <v>11385</v>
      </c>
      <c r="B1386">
        <v>22</v>
      </c>
      <c r="C1386" t="s">
        <v>9</v>
      </c>
      <c r="D1386" t="s">
        <v>12</v>
      </c>
      <c r="E1386" s="2">
        <v>45512</v>
      </c>
      <c r="F1386" s="2">
        <v>46010</v>
      </c>
      <c r="G1386">
        <v>1300</v>
      </c>
      <c r="H1386" t="s">
        <v>15</v>
      </c>
      <c r="I1386" t="s">
        <v>16</v>
      </c>
      <c r="J1386">
        <f t="shared" si="85"/>
        <v>15600</v>
      </c>
      <c r="K1386" t="str">
        <f t="shared" si="84"/>
        <v>18-24</v>
      </c>
      <c r="L1386" t="str">
        <f t="shared" ca="1" si="86"/>
        <v>Safe</v>
      </c>
      <c r="M1386" t="str">
        <f t="shared" si="87"/>
        <v>Aug-2024</v>
      </c>
    </row>
    <row r="1387" spans="1:13" x14ac:dyDescent="0.35">
      <c r="A1387">
        <v>11386</v>
      </c>
      <c r="B1387">
        <v>41</v>
      </c>
      <c r="C1387" t="s">
        <v>9</v>
      </c>
      <c r="D1387" t="s">
        <v>11</v>
      </c>
      <c r="E1387" s="2">
        <v>45971</v>
      </c>
      <c r="F1387" s="2">
        <v>45915</v>
      </c>
      <c r="G1387">
        <v>1700</v>
      </c>
      <c r="H1387" t="s">
        <v>15</v>
      </c>
      <c r="I1387" t="s">
        <v>17</v>
      </c>
      <c r="J1387">
        <f t="shared" si="85"/>
        <v>1700</v>
      </c>
      <c r="K1387" t="str">
        <f t="shared" si="84"/>
        <v>35+</v>
      </c>
      <c r="L1387" t="str">
        <f t="shared" ca="1" si="86"/>
        <v>High Risk</v>
      </c>
      <c r="M1387" t="str">
        <f t="shared" si="87"/>
        <v>Nov-2025</v>
      </c>
    </row>
    <row r="1388" spans="1:13" x14ac:dyDescent="0.35">
      <c r="A1388">
        <v>11387</v>
      </c>
      <c r="B1388">
        <v>22</v>
      </c>
      <c r="C1388" t="s">
        <v>9</v>
      </c>
      <c r="D1388" t="s">
        <v>11</v>
      </c>
      <c r="E1388" s="2">
        <v>45598</v>
      </c>
      <c r="F1388" s="2">
        <v>45976</v>
      </c>
      <c r="G1388">
        <v>1700</v>
      </c>
      <c r="H1388" t="s">
        <v>15</v>
      </c>
      <c r="I1388" t="s">
        <v>17</v>
      </c>
      <c r="J1388">
        <f t="shared" si="85"/>
        <v>1700</v>
      </c>
      <c r="K1388" t="str">
        <f t="shared" si="84"/>
        <v>18-24</v>
      </c>
      <c r="L1388" t="str">
        <f t="shared" ca="1" si="86"/>
        <v>High Risk</v>
      </c>
      <c r="M1388" t="str">
        <f t="shared" si="87"/>
        <v>Nov-2024</v>
      </c>
    </row>
    <row r="1389" spans="1:13" x14ac:dyDescent="0.35">
      <c r="A1389">
        <v>11388</v>
      </c>
      <c r="B1389">
        <v>25</v>
      </c>
      <c r="C1389" t="s">
        <v>9</v>
      </c>
      <c r="D1389" t="s">
        <v>13</v>
      </c>
      <c r="E1389" s="2">
        <v>45996</v>
      </c>
      <c r="F1389" s="2">
        <v>46028</v>
      </c>
      <c r="G1389">
        <v>1000</v>
      </c>
      <c r="H1389" t="s">
        <v>14</v>
      </c>
      <c r="I1389" t="s">
        <v>16</v>
      </c>
      <c r="J1389">
        <f t="shared" si="85"/>
        <v>3000</v>
      </c>
      <c r="K1389" t="str">
        <f t="shared" si="84"/>
        <v>25-34</v>
      </c>
      <c r="L1389" t="str">
        <f t="shared" ca="1" si="86"/>
        <v>Safe</v>
      </c>
      <c r="M1389" t="str">
        <f t="shared" si="87"/>
        <v>Dec-2025</v>
      </c>
    </row>
    <row r="1390" spans="1:13" x14ac:dyDescent="0.35">
      <c r="A1390">
        <v>11389</v>
      </c>
      <c r="B1390">
        <v>27</v>
      </c>
      <c r="C1390" t="s">
        <v>9</v>
      </c>
      <c r="D1390" t="s">
        <v>13</v>
      </c>
      <c r="E1390" s="2">
        <v>45465</v>
      </c>
      <c r="F1390" s="2">
        <v>46017</v>
      </c>
      <c r="G1390">
        <v>1000</v>
      </c>
      <c r="H1390" t="s">
        <v>14</v>
      </c>
      <c r="I1390" t="s">
        <v>16</v>
      </c>
      <c r="J1390">
        <f t="shared" si="85"/>
        <v>3000</v>
      </c>
      <c r="K1390" t="str">
        <f t="shared" si="84"/>
        <v>25-34</v>
      </c>
      <c r="L1390" t="str">
        <f t="shared" ca="1" si="86"/>
        <v>Safe</v>
      </c>
      <c r="M1390" t="str">
        <f t="shared" si="87"/>
        <v>Jun-2024</v>
      </c>
    </row>
    <row r="1391" spans="1:13" x14ac:dyDescent="0.35">
      <c r="A1391">
        <v>11390</v>
      </c>
      <c r="B1391">
        <v>34</v>
      </c>
      <c r="C1391" t="s">
        <v>9</v>
      </c>
      <c r="D1391" t="s">
        <v>11</v>
      </c>
      <c r="E1391" s="2">
        <v>45248</v>
      </c>
      <c r="F1391" s="2">
        <v>46022</v>
      </c>
      <c r="G1391">
        <v>1200</v>
      </c>
      <c r="H1391" t="s">
        <v>14</v>
      </c>
      <c r="I1391" t="s">
        <v>16</v>
      </c>
      <c r="J1391">
        <f t="shared" si="85"/>
        <v>1200</v>
      </c>
      <c r="K1391" t="str">
        <f t="shared" si="84"/>
        <v>25-34</v>
      </c>
      <c r="L1391" t="str">
        <f t="shared" ca="1" si="86"/>
        <v>Safe</v>
      </c>
      <c r="M1391" t="str">
        <f t="shared" si="87"/>
        <v>Nov-2023</v>
      </c>
    </row>
    <row r="1392" spans="1:13" x14ac:dyDescent="0.35">
      <c r="A1392">
        <v>11391</v>
      </c>
      <c r="B1392">
        <v>45</v>
      </c>
      <c r="C1392" t="s">
        <v>9</v>
      </c>
      <c r="D1392" t="s">
        <v>12</v>
      </c>
      <c r="E1392" s="2">
        <v>45656</v>
      </c>
      <c r="F1392" s="2">
        <v>45985</v>
      </c>
      <c r="G1392">
        <v>1300</v>
      </c>
      <c r="H1392" t="s">
        <v>15</v>
      </c>
      <c r="I1392" t="s">
        <v>17</v>
      </c>
      <c r="J1392">
        <f t="shared" si="85"/>
        <v>15600</v>
      </c>
      <c r="K1392" t="str">
        <f t="shared" si="84"/>
        <v>35+</v>
      </c>
      <c r="L1392" t="str">
        <f t="shared" ca="1" si="86"/>
        <v>High Risk</v>
      </c>
      <c r="M1392" t="str">
        <f t="shared" si="87"/>
        <v>Dec-2024</v>
      </c>
    </row>
    <row r="1393" spans="1:13" x14ac:dyDescent="0.35">
      <c r="A1393">
        <v>11392</v>
      </c>
      <c r="B1393">
        <v>43</v>
      </c>
      <c r="C1393" t="s">
        <v>10</v>
      </c>
      <c r="D1393" t="s">
        <v>11</v>
      </c>
      <c r="E1393" s="2">
        <v>46003</v>
      </c>
      <c r="F1393" s="2">
        <v>45943</v>
      </c>
      <c r="G1393">
        <v>1200</v>
      </c>
      <c r="H1393" t="s">
        <v>14</v>
      </c>
      <c r="I1393" t="s">
        <v>17</v>
      </c>
      <c r="J1393">
        <f t="shared" si="85"/>
        <v>1200</v>
      </c>
      <c r="K1393" t="str">
        <f t="shared" si="84"/>
        <v>35+</v>
      </c>
      <c r="L1393" t="str">
        <f t="shared" ca="1" si="86"/>
        <v>High Risk</v>
      </c>
      <c r="M1393" t="str">
        <f t="shared" si="87"/>
        <v>Dec-2025</v>
      </c>
    </row>
    <row r="1394" spans="1:13" x14ac:dyDescent="0.35">
      <c r="A1394">
        <v>11393</v>
      </c>
      <c r="B1394">
        <v>26</v>
      </c>
      <c r="C1394" t="s">
        <v>10</v>
      </c>
      <c r="D1394" t="s">
        <v>13</v>
      </c>
      <c r="E1394" s="2">
        <v>45659</v>
      </c>
      <c r="F1394" s="2">
        <v>46029</v>
      </c>
      <c r="G1394">
        <v>1000</v>
      </c>
      <c r="H1394" t="s">
        <v>14</v>
      </c>
      <c r="I1394" t="s">
        <v>16</v>
      </c>
      <c r="J1394">
        <f t="shared" si="85"/>
        <v>3000</v>
      </c>
      <c r="K1394" t="str">
        <f t="shared" si="84"/>
        <v>25-34</v>
      </c>
      <c r="L1394" t="str">
        <f t="shared" ca="1" si="86"/>
        <v>Safe</v>
      </c>
      <c r="M1394" t="str">
        <f t="shared" si="87"/>
        <v>Jan-2025</v>
      </c>
    </row>
    <row r="1395" spans="1:13" x14ac:dyDescent="0.35">
      <c r="A1395">
        <v>11394</v>
      </c>
      <c r="B1395">
        <v>39</v>
      </c>
      <c r="C1395" t="s">
        <v>10</v>
      </c>
      <c r="D1395" t="s">
        <v>12</v>
      </c>
      <c r="E1395" s="2">
        <v>45442</v>
      </c>
      <c r="F1395" s="2">
        <v>45952</v>
      </c>
      <c r="G1395">
        <v>800</v>
      </c>
      <c r="H1395" t="s">
        <v>14</v>
      </c>
      <c r="I1395" t="s">
        <v>17</v>
      </c>
      <c r="J1395">
        <f t="shared" si="85"/>
        <v>9600</v>
      </c>
      <c r="K1395" t="str">
        <f t="shared" si="84"/>
        <v>35+</v>
      </c>
      <c r="L1395" t="str">
        <f t="shared" ca="1" si="86"/>
        <v>High Risk</v>
      </c>
      <c r="M1395" t="str">
        <f t="shared" si="87"/>
        <v>May-2024</v>
      </c>
    </row>
    <row r="1396" spans="1:13" x14ac:dyDescent="0.35">
      <c r="A1396">
        <v>11395</v>
      </c>
      <c r="B1396">
        <v>36</v>
      </c>
      <c r="C1396" t="s">
        <v>10</v>
      </c>
      <c r="D1396" t="s">
        <v>13</v>
      </c>
      <c r="E1396" s="2">
        <v>45543</v>
      </c>
      <c r="F1396" s="2">
        <v>45960</v>
      </c>
      <c r="G1396">
        <v>1000</v>
      </c>
      <c r="H1396" t="s">
        <v>14</v>
      </c>
      <c r="I1396" t="s">
        <v>17</v>
      </c>
      <c r="J1396">
        <f t="shared" si="85"/>
        <v>3000</v>
      </c>
      <c r="K1396" t="str">
        <f t="shared" si="84"/>
        <v>35+</v>
      </c>
      <c r="L1396" t="str">
        <f t="shared" ca="1" si="86"/>
        <v>High Risk</v>
      </c>
      <c r="M1396" t="str">
        <f t="shared" si="87"/>
        <v>Sep-2024</v>
      </c>
    </row>
    <row r="1397" spans="1:13" x14ac:dyDescent="0.35">
      <c r="A1397">
        <v>11396</v>
      </c>
      <c r="B1397">
        <v>31</v>
      </c>
      <c r="C1397" t="s">
        <v>10</v>
      </c>
      <c r="D1397" t="s">
        <v>13</v>
      </c>
      <c r="E1397" s="2">
        <v>45646</v>
      </c>
      <c r="F1397" s="2">
        <v>45982</v>
      </c>
      <c r="G1397">
        <v>1500</v>
      </c>
      <c r="H1397" t="s">
        <v>15</v>
      </c>
      <c r="I1397" t="s">
        <v>17</v>
      </c>
      <c r="J1397">
        <f t="shared" si="85"/>
        <v>4500</v>
      </c>
      <c r="K1397" t="str">
        <f t="shared" si="84"/>
        <v>25-34</v>
      </c>
      <c r="L1397" t="str">
        <f t="shared" ca="1" si="86"/>
        <v>High Risk</v>
      </c>
      <c r="M1397" t="str">
        <f t="shared" si="87"/>
        <v>Dec-2024</v>
      </c>
    </row>
    <row r="1398" spans="1:13" x14ac:dyDescent="0.35">
      <c r="A1398">
        <v>11397</v>
      </c>
      <c r="B1398">
        <v>25</v>
      </c>
      <c r="C1398" t="s">
        <v>9</v>
      </c>
      <c r="D1398" t="s">
        <v>11</v>
      </c>
      <c r="E1398" s="2">
        <v>45381</v>
      </c>
      <c r="F1398" s="2">
        <v>45977</v>
      </c>
      <c r="G1398">
        <v>1200</v>
      </c>
      <c r="H1398" t="s">
        <v>14</v>
      </c>
      <c r="I1398" t="s">
        <v>17</v>
      </c>
      <c r="J1398">
        <f t="shared" si="85"/>
        <v>1200</v>
      </c>
      <c r="K1398" t="str">
        <f t="shared" si="84"/>
        <v>25-34</v>
      </c>
      <c r="L1398" t="str">
        <f t="shared" ca="1" si="86"/>
        <v>High Risk</v>
      </c>
      <c r="M1398" t="str">
        <f t="shared" si="87"/>
        <v>Mar-2024</v>
      </c>
    </row>
    <row r="1399" spans="1:13" x14ac:dyDescent="0.35">
      <c r="A1399">
        <v>11398</v>
      </c>
      <c r="B1399">
        <v>26</v>
      </c>
      <c r="C1399" t="s">
        <v>9</v>
      </c>
      <c r="D1399" t="s">
        <v>11</v>
      </c>
      <c r="E1399" s="2">
        <v>45401</v>
      </c>
      <c r="F1399" s="2">
        <v>46014</v>
      </c>
      <c r="G1399">
        <v>1200</v>
      </c>
      <c r="H1399" t="s">
        <v>14</v>
      </c>
      <c r="I1399" t="s">
        <v>16</v>
      </c>
      <c r="J1399">
        <f t="shared" si="85"/>
        <v>1200</v>
      </c>
      <c r="K1399" t="str">
        <f t="shared" si="84"/>
        <v>25-34</v>
      </c>
      <c r="L1399" t="str">
        <f t="shared" ca="1" si="86"/>
        <v>Safe</v>
      </c>
      <c r="M1399" t="str">
        <f t="shared" si="87"/>
        <v>Apr-2024</v>
      </c>
    </row>
    <row r="1400" spans="1:13" x14ac:dyDescent="0.35">
      <c r="A1400">
        <v>11399</v>
      </c>
      <c r="B1400">
        <v>39</v>
      </c>
      <c r="C1400" t="s">
        <v>10</v>
      </c>
      <c r="D1400" t="s">
        <v>13</v>
      </c>
      <c r="E1400" s="2">
        <v>45441</v>
      </c>
      <c r="F1400" s="2">
        <v>46025</v>
      </c>
      <c r="G1400">
        <v>1000</v>
      </c>
      <c r="H1400" t="s">
        <v>14</v>
      </c>
      <c r="I1400" t="s">
        <v>16</v>
      </c>
      <c r="J1400">
        <f t="shared" si="85"/>
        <v>3000</v>
      </c>
      <c r="K1400" t="str">
        <f t="shared" si="84"/>
        <v>35+</v>
      </c>
      <c r="L1400" t="str">
        <f t="shared" ca="1" si="86"/>
        <v>Safe</v>
      </c>
      <c r="M1400" t="str">
        <f t="shared" si="87"/>
        <v>May-2024</v>
      </c>
    </row>
    <row r="1401" spans="1:13" x14ac:dyDescent="0.35">
      <c r="A1401">
        <v>11400</v>
      </c>
      <c r="B1401">
        <v>28</v>
      </c>
      <c r="C1401" t="s">
        <v>9</v>
      </c>
      <c r="D1401" t="s">
        <v>11</v>
      </c>
      <c r="E1401" s="2">
        <v>45231</v>
      </c>
      <c r="F1401" s="2">
        <v>46013</v>
      </c>
      <c r="G1401">
        <v>1200</v>
      </c>
      <c r="H1401" t="s">
        <v>14</v>
      </c>
      <c r="I1401" t="s">
        <v>16</v>
      </c>
      <c r="J1401">
        <f t="shared" si="85"/>
        <v>1200</v>
      </c>
      <c r="K1401" t="str">
        <f t="shared" si="84"/>
        <v>25-34</v>
      </c>
      <c r="L1401" t="str">
        <f t="shared" ca="1" si="86"/>
        <v>Safe</v>
      </c>
      <c r="M1401" t="str">
        <f t="shared" si="87"/>
        <v>Nov-2023</v>
      </c>
    </row>
    <row r="1402" spans="1:13" x14ac:dyDescent="0.35">
      <c r="A1402">
        <v>11401</v>
      </c>
      <c r="B1402">
        <v>40</v>
      </c>
      <c r="C1402" t="s">
        <v>9</v>
      </c>
      <c r="D1402" t="s">
        <v>12</v>
      </c>
      <c r="E1402" s="2">
        <v>45450</v>
      </c>
      <c r="F1402" s="2">
        <v>45950</v>
      </c>
      <c r="G1402">
        <v>1300</v>
      </c>
      <c r="H1402" t="s">
        <v>15</v>
      </c>
      <c r="I1402" t="s">
        <v>17</v>
      </c>
      <c r="J1402">
        <f t="shared" si="85"/>
        <v>15600</v>
      </c>
      <c r="K1402" t="str">
        <f t="shared" si="84"/>
        <v>35+</v>
      </c>
      <c r="L1402" t="str">
        <f t="shared" ca="1" si="86"/>
        <v>High Risk</v>
      </c>
      <c r="M1402" t="str">
        <f t="shared" si="87"/>
        <v>Jun-2024</v>
      </c>
    </row>
    <row r="1403" spans="1:13" x14ac:dyDescent="0.35">
      <c r="A1403">
        <v>11402</v>
      </c>
      <c r="B1403">
        <v>18</v>
      </c>
      <c r="C1403" t="s">
        <v>9</v>
      </c>
      <c r="D1403" t="s">
        <v>11</v>
      </c>
      <c r="E1403" s="2">
        <v>45941</v>
      </c>
      <c r="F1403" s="2">
        <v>45993</v>
      </c>
      <c r="G1403">
        <v>1200</v>
      </c>
      <c r="H1403" t="s">
        <v>14</v>
      </c>
      <c r="I1403" t="s">
        <v>17</v>
      </c>
      <c r="J1403">
        <f t="shared" si="85"/>
        <v>1200</v>
      </c>
      <c r="K1403" t="str">
        <f t="shared" si="84"/>
        <v>18-24</v>
      </c>
      <c r="L1403" t="str">
        <f t="shared" ca="1" si="86"/>
        <v>High Risk</v>
      </c>
      <c r="M1403" t="str">
        <f t="shared" si="87"/>
        <v>Oct-2025</v>
      </c>
    </row>
    <row r="1404" spans="1:13" x14ac:dyDescent="0.35">
      <c r="A1404">
        <v>11403</v>
      </c>
      <c r="B1404">
        <v>31</v>
      </c>
      <c r="C1404" t="s">
        <v>9</v>
      </c>
      <c r="D1404" t="s">
        <v>11</v>
      </c>
      <c r="E1404" s="2">
        <v>45418</v>
      </c>
      <c r="F1404" s="2">
        <v>45954</v>
      </c>
      <c r="G1404">
        <v>1200</v>
      </c>
      <c r="H1404" t="s">
        <v>14</v>
      </c>
      <c r="I1404" t="s">
        <v>17</v>
      </c>
      <c r="J1404">
        <f t="shared" si="85"/>
        <v>1200</v>
      </c>
      <c r="K1404" t="str">
        <f t="shared" si="84"/>
        <v>25-34</v>
      </c>
      <c r="L1404" t="str">
        <f t="shared" ca="1" si="86"/>
        <v>High Risk</v>
      </c>
      <c r="M1404" t="str">
        <f t="shared" si="87"/>
        <v>May-2024</v>
      </c>
    </row>
    <row r="1405" spans="1:13" x14ac:dyDescent="0.35">
      <c r="A1405">
        <v>11404</v>
      </c>
      <c r="B1405">
        <v>22</v>
      </c>
      <c r="C1405" t="s">
        <v>9</v>
      </c>
      <c r="D1405" t="s">
        <v>11</v>
      </c>
      <c r="E1405" s="2">
        <v>45499</v>
      </c>
      <c r="F1405" s="2">
        <v>46025</v>
      </c>
      <c r="G1405">
        <v>1700</v>
      </c>
      <c r="H1405" t="s">
        <v>15</v>
      </c>
      <c r="I1405" t="s">
        <v>16</v>
      </c>
      <c r="J1405">
        <f t="shared" si="85"/>
        <v>1700</v>
      </c>
      <c r="K1405" t="str">
        <f t="shared" si="84"/>
        <v>18-24</v>
      </c>
      <c r="L1405" t="str">
        <f t="shared" ca="1" si="86"/>
        <v>Safe</v>
      </c>
      <c r="M1405" t="str">
        <f t="shared" si="87"/>
        <v>Jul-2024</v>
      </c>
    </row>
    <row r="1406" spans="1:13" x14ac:dyDescent="0.35">
      <c r="A1406">
        <v>11405</v>
      </c>
      <c r="B1406">
        <v>38</v>
      </c>
      <c r="C1406" t="s">
        <v>9</v>
      </c>
      <c r="D1406" t="s">
        <v>11</v>
      </c>
      <c r="E1406" s="2">
        <v>45944</v>
      </c>
      <c r="F1406" s="2">
        <v>46022</v>
      </c>
      <c r="G1406">
        <v>1200</v>
      </c>
      <c r="H1406" t="s">
        <v>14</v>
      </c>
      <c r="I1406" t="s">
        <v>16</v>
      </c>
      <c r="J1406">
        <f t="shared" si="85"/>
        <v>1200</v>
      </c>
      <c r="K1406" t="str">
        <f t="shared" si="84"/>
        <v>35+</v>
      </c>
      <c r="L1406" t="str">
        <f t="shared" ca="1" si="86"/>
        <v>Safe</v>
      </c>
      <c r="M1406" t="str">
        <f t="shared" si="87"/>
        <v>Oct-2025</v>
      </c>
    </row>
    <row r="1407" spans="1:13" x14ac:dyDescent="0.35">
      <c r="A1407">
        <v>11406</v>
      </c>
      <c r="B1407">
        <v>43</v>
      </c>
      <c r="C1407" t="s">
        <v>9</v>
      </c>
      <c r="D1407" t="s">
        <v>13</v>
      </c>
      <c r="E1407" s="2">
        <v>45214</v>
      </c>
      <c r="F1407" s="2">
        <v>45917</v>
      </c>
      <c r="G1407">
        <v>1500</v>
      </c>
      <c r="H1407" t="s">
        <v>15</v>
      </c>
      <c r="I1407" t="s">
        <v>17</v>
      </c>
      <c r="J1407">
        <f t="shared" si="85"/>
        <v>4500</v>
      </c>
      <c r="K1407" t="str">
        <f t="shared" si="84"/>
        <v>35+</v>
      </c>
      <c r="L1407" t="str">
        <f t="shared" ca="1" si="86"/>
        <v>High Risk</v>
      </c>
      <c r="M1407" t="str">
        <f t="shared" si="87"/>
        <v>Oct-2023</v>
      </c>
    </row>
    <row r="1408" spans="1:13" x14ac:dyDescent="0.35">
      <c r="A1408">
        <v>11407</v>
      </c>
      <c r="B1408">
        <v>31</v>
      </c>
      <c r="C1408" t="s">
        <v>9</v>
      </c>
      <c r="D1408" t="s">
        <v>13</v>
      </c>
      <c r="E1408" s="2">
        <v>45634</v>
      </c>
      <c r="F1408" s="2">
        <v>46022</v>
      </c>
      <c r="G1408">
        <v>1500</v>
      </c>
      <c r="H1408" t="s">
        <v>15</v>
      </c>
      <c r="I1408" t="s">
        <v>16</v>
      </c>
      <c r="J1408">
        <f t="shared" si="85"/>
        <v>4500</v>
      </c>
      <c r="K1408" t="str">
        <f t="shared" si="84"/>
        <v>25-34</v>
      </c>
      <c r="L1408" t="str">
        <f t="shared" ca="1" si="86"/>
        <v>Safe</v>
      </c>
      <c r="M1408" t="str">
        <f t="shared" si="87"/>
        <v>Dec-2024</v>
      </c>
    </row>
    <row r="1409" spans="1:13" x14ac:dyDescent="0.35">
      <c r="A1409">
        <v>11408</v>
      </c>
      <c r="B1409">
        <v>21</v>
      </c>
      <c r="C1409" t="s">
        <v>9</v>
      </c>
      <c r="D1409" t="s">
        <v>13</v>
      </c>
      <c r="E1409" s="2">
        <v>45228</v>
      </c>
      <c r="F1409" s="2">
        <v>46026</v>
      </c>
      <c r="G1409">
        <v>1500</v>
      </c>
      <c r="H1409" t="s">
        <v>15</v>
      </c>
      <c r="I1409" t="s">
        <v>16</v>
      </c>
      <c r="J1409">
        <f t="shared" si="85"/>
        <v>4500</v>
      </c>
      <c r="K1409" t="str">
        <f t="shared" si="84"/>
        <v>18-24</v>
      </c>
      <c r="L1409" t="str">
        <f t="shared" ca="1" si="86"/>
        <v>Safe</v>
      </c>
      <c r="M1409" t="str">
        <f t="shared" si="87"/>
        <v>Oct-2023</v>
      </c>
    </row>
    <row r="1410" spans="1:13" x14ac:dyDescent="0.35">
      <c r="A1410">
        <v>11409</v>
      </c>
      <c r="B1410">
        <v>39</v>
      </c>
      <c r="C1410" t="s">
        <v>9</v>
      </c>
      <c r="D1410" t="s">
        <v>12</v>
      </c>
      <c r="E1410" s="2">
        <v>45356</v>
      </c>
      <c r="F1410" s="2">
        <v>45973</v>
      </c>
      <c r="G1410">
        <v>1300</v>
      </c>
      <c r="H1410" t="s">
        <v>15</v>
      </c>
      <c r="I1410" t="s">
        <v>17</v>
      </c>
      <c r="J1410">
        <f t="shared" si="85"/>
        <v>15600</v>
      </c>
      <c r="K1410" t="str">
        <f t="shared" ref="K1410:K1473" si="88">IF(B1410&lt;25,"18-24",IF(B1410&lt;35,"25-34","35+"))</f>
        <v>35+</v>
      </c>
      <c r="L1410" t="str">
        <f t="shared" ca="1" si="86"/>
        <v>High Risk</v>
      </c>
      <c r="M1410" t="str">
        <f t="shared" si="87"/>
        <v>Mar-2024</v>
      </c>
    </row>
    <row r="1411" spans="1:13" x14ac:dyDescent="0.35">
      <c r="A1411">
        <v>11410</v>
      </c>
      <c r="B1411">
        <v>40</v>
      </c>
      <c r="C1411" t="s">
        <v>10</v>
      </c>
      <c r="D1411" t="s">
        <v>12</v>
      </c>
      <c r="E1411" s="2">
        <v>45443</v>
      </c>
      <c r="F1411" s="2">
        <v>46032</v>
      </c>
      <c r="G1411">
        <v>800</v>
      </c>
      <c r="H1411" t="s">
        <v>14</v>
      </c>
      <c r="I1411" t="s">
        <v>16</v>
      </c>
      <c r="J1411">
        <f t="shared" ref="J1411:J1474" si="89">IF(D1411="Monthly",G1411,IF(D1411="Quarterly",G1411*3,G1411*12))</f>
        <v>9600</v>
      </c>
      <c r="K1411" t="str">
        <f t="shared" si="88"/>
        <v>35+</v>
      </c>
      <c r="L1411" t="str">
        <f t="shared" ref="L1411:L1474" ca="1" si="90">IF(F1411&lt;TODAY()-30,"High Risk","Safe")</f>
        <v>Safe</v>
      </c>
      <c r="M1411" t="str">
        <f t="shared" ref="M1411:M1474" si="91">TEXT(E1411,"mmm-yyyy")</f>
        <v>May-2024</v>
      </c>
    </row>
    <row r="1412" spans="1:13" x14ac:dyDescent="0.35">
      <c r="A1412">
        <v>11411</v>
      </c>
      <c r="B1412">
        <v>42</v>
      </c>
      <c r="C1412" t="s">
        <v>9</v>
      </c>
      <c r="D1412" t="s">
        <v>12</v>
      </c>
      <c r="E1412" s="2">
        <v>45714</v>
      </c>
      <c r="F1412" s="2">
        <v>45962</v>
      </c>
      <c r="G1412">
        <v>1300</v>
      </c>
      <c r="H1412" t="s">
        <v>15</v>
      </c>
      <c r="I1412" t="s">
        <v>17</v>
      </c>
      <c r="J1412">
        <f t="shared" si="89"/>
        <v>15600</v>
      </c>
      <c r="K1412" t="str">
        <f t="shared" si="88"/>
        <v>35+</v>
      </c>
      <c r="L1412" t="str">
        <f t="shared" ca="1" si="90"/>
        <v>High Risk</v>
      </c>
      <c r="M1412" t="str">
        <f t="shared" si="91"/>
        <v>Feb-2025</v>
      </c>
    </row>
    <row r="1413" spans="1:13" x14ac:dyDescent="0.35">
      <c r="A1413">
        <v>11412</v>
      </c>
      <c r="B1413">
        <v>18</v>
      </c>
      <c r="C1413" t="s">
        <v>9</v>
      </c>
      <c r="D1413" t="s">
        <v>11</v>
      </c>
      <c r="E1413" s="2">
        <v>45203</v>
      </c>
      <c r="F1413" s="2">
        <v>45990</v>
      </c>
      <c r="G1413">
        <v>1700</v>
      </c>
      <c r="H1413" t="s">
        <v>15</v>
      </c>
      <c r="I1413" t="s">
        <v>17</v>
      </c>
      <c r="J1413">
        <f t="shared" si="89"/>
        <v>1700</v>
      </c>
      <c r="K1413" t="str">
        <f t="shared" si="88"/>
        <v>18-24</v>
      </c>
      <c r="L1413" t="str">
        <f t="shared" ca="1" si="90"/>
        <v>High Risk</v>
      </c>
      <c r="M1413" t="str">
        <f t="shared" si="91"/>
        <v>Oct-2023</v>
      </c>
    </row>
    <row r="1414" spans="1:13" x14ac:dyDescent="0.35">
      <c r="A1414">
        <v>11413</v>
      </c>
      <c r="B1414">
        <v>39</v>
      </c>
      <c r="C1414" t="s">
        <v>10</v>
      </c>
      <c r="D1414" t="s">
        <v>13</v>
      </c>
      <c r="E1414" s="2">
        <v>45767</v>
      </c>
      <c r="F1414" s="2">
        <v>45989</v>
      </c>
      <c r="G1414">
        <v>1000</v>
      </c>
      <c r="H1414" t="s">
        <v>14</v>
      </c>
      <c r="I1414" t="s">
        <v>17</v>
      </c>
      <c r="J1414">
        <f t="shared" si="89"/>
        <v>3000</v>
      </c>
      <c r="K1414" t="str">
        <f t="shared" si="88"/>
        <v>35+</v>
      </c>
      <c r="L1414" t="str">
        <f t="shared" ca="1" si="90"/>
        <v>High Risk</v>
      </c>
      <c r="M1414" t="str">
        <f t="shared" si="91"/>
        <v>Apr-2025</v>
      </c>
    </row>
    <row r="1415" spans="1:13" x14ac:dyDescent="0.35">
      <c r="A1415">
        <v>11414</v>
      </c>
      <c r="B1415">
        <v>40</v>
      </c>
      <c r="C1415" t="s">
        <v>9</v>
      </c>
      <c r="D1415" t="s">
        <v>11</v>
      </c>
      <c r="E1415" s="2">
        <v>45617</v>
      </c>
      <c r="F1415" s="2">
        <v>45969</v>
      </c>
      <c r="G1415">
        <v>1200</v>
      </c>
      <c r="H1415" t="s">
        <v>14</v>
      </c>
      <c r="I1415" t="s">
        <v>17</v>
      </c>
      <c r="J1415">
        <f t="shared" si="89"/>
        <v>1200</v>
      </c>
      <c r="K1415" t="str">
        <f t="shared" si="88"/>
        <v>35+</v>
      </c>
      <c r="L1415" t="str">
        <f t="shared" ca="1" si="90"/>
        <v>High Risk</v>
      </c>
      <c r="M1415" t="str">
        <f t="shared" si="91"/>
        <v>Nov-2024</v>
      </c>
    </row>
    <row r="1416" spans="1:13" x14ac:dyDescent="0.35">
      <c r="A1416">
        <v>11415</v>
      </c>
      <c r="B1416">
        <v>36</v>
      </c>
      <c r="C1416" t="s">
        <v>9</v>
      </c>
      <c r="D1416" t="s">
        <v>11</v>
      </c>
      <c r="E1416" s="2">
        <v>45327</v>
      </c>
      <c r="F1416" s="2">
        <v>46017</v>
      </c>
      <c r="G1416">
        <v>1200</v>
      </c>
      <c r="H1416" t="s">
        <v>14</v>
      </c>
      <c r="I1416" t="s">
        <v>16</v>
      </c>
      <c r="J1416">
        <f t="shared" si="89"/>
        <v>1200</v>
      </c>
      <c r="K1416" t="str">
        <f t="shared" si="88"/>
        <v>35+</v>
      </c>
      <c r="L1416" t="str">
        <f t="shared" ca="1" si="90"/>
        <v>Safe</v>
      </c>
      <c r="M1416" t="str">
        <f t="shared" si="91"/>
        <v>Feb-2024</v>
      </c>
    </row>
    <row r="1417" spans="1:13" x14ac:dyDescent="0.35">
      <c r="A1417">
        <v>11416</v>
      </c>
      <c r="B1417">
        <v>25</v>
      </c>
      <c r="C1417" t="s">
        <v>9</v>
      </c>
      <c r="D1417" t="s">
        <v>13</v>
      </c>
      <c r="E1417" s="2">
        <v>45633</v>
      </c>
      <c r="F1417" s="2">
        <v>46017</v>
      </c>
      <c r="G1417">
        <v>1000</v>
      </c>
      <c r="H1417" t="s">
        <v>14</v>
      </c>
      <c r="I1417" t="s">
        <v>16</v>
      </c>
      <c r="J1417">
        <f t="shared" si="89"/>
        <v>3000</v>
      </c>
      <c r="K1417" t="str">
        <f t="shared" si="88"/>
        <v>25-34</v>
      </c>
      <c r="L1417" t="str">
        <f t="shared" ca="1" si="90"/>
        <v>Safe</v>
      </c>
      <c r="M1417" t="str">
        <f t="shared" si="91"/>
        <v>Dec-2024</v>
      </c>
    </row>
    <row r="1418" spans="1:13" x14ac:dyDescent="0.35">
      <c r="A1418">
        <v>11417</v>
      </c>
      <c r="B1418">
        <v>32</v>
      </c>
      <c r="C1418" t="s">
        <v>10</v>
      </c>
      <c r="D1418" t="s">
        <v>11</v>
      </c>
      <c r="E1418" s="2">
        <v>45759</v>
      </c>
      <c r="F1418" s="2">
        <v>46019</v>
      </c>
      <c r="G1418">
        <v>1200</v>
      </c>
      <c r="H1418" t="s">
        <v>14</v>
      </c>
      <c r="I1418" t="s">
        <v>16</v>
      </c>
      <c r="J1418">
        <f t="shared" si="89"/>
        <v>1200</v>
      </c>
      <c r="K1418" t="str">
        <f t="shared" si="88"/>
        <v>25-34</v>
      </c>
      <c r="L1418" t="str">
        <f t="shared" ca="1" si="90"/>
        <v>Safe</v>
      </c>
      <c r="M1418" t="str">
        <f t="shared" si="91"/>
        <v>Apr-2025</v>
      </c>
    </row>
    <row r="1419" spans="1:13" x14ac:dyDescent="0.35">
      <c r="A1419">
        <v>11418</v>
      </c>
      <c r="B1419">
        <v>38</v>
      </c>
      <c r="C1419" t="s">
        <v>9</v>
      </c>
      <c r="D1419" t="s">
        <v>11</v>
      </c>
      <c r="E1419" s="2">
        <v>45969</v>
      </c>
      <c r="F1419" s="2">
        <v>46014</v>
      </c>
      <c r="G1419">
        <v>1700</v>
      </c>
      <c r="H1419" t="s">
        <v>15</v>
      </c>
      <c r="I1419" t="s">
        <v>16</v>
      </c>
      <c r="J1419">
        <f t="shared" si="89"/>
        <v>1700</v>
      </c>
      <c r="K1419" t="str">
        <f t="shared" si="88"/>
        <v>35+</v>
      </c>
      <c r="L1419" t="str">
        <f t="shared" ca="1" si="90"/>
        <v>Safe</v>
      </c>
      <c r="M1419" t="str">
        <f t="shared" si="91"/>
        <v>Nov-2025</v>
      </c>
    </row>
    <row r="1420" spans="1:13" x14ac:dyDescent="0.35">
      <c r="A1420">
        <v>11419</v>
      </c>
      <c r="B1420">
        <v>32</v>
      </c>
      <c r="C1420" t="s">
        <v>9</v>
      </c>
      <c r="D1420" t="s">
        <v>11</v>
      </c>
      <c r="E1420" s="2">
        <v>45147</v>
      </c>
      <c r="F1420" s="2">
        <v>46018</v>
      </c>
      <c r="G1420">
        <v>1200</v>
      </c>
      <c r="H1420" t="s">
        <v>14</v>
      </c>
      <c r="I1420" t="s">
        <v>16</v>
      </c>
      <c r="J1420">
        <f t="shared" si="89"/>
        <v>1200</v>
      </c>
      <c r="K1420" t="str">
        <f t="shared" si="88"/>
        <v>25-34</v>
      </c>
      <c r="L1420" t="str">
        <f t="shared" ca="1" si="90"/>
        <v>Safe</v>
      </c>
      <c r="M1420" t="str">
        <f t="shared" si="91"/>
        <v>Aug-2023</v>
      </c>
    </row>
    <row r="1421" spans="1:13" x14ac:dyDescent="0.35">
      <c r="A1421">
        <v>11420</v>
      </c>
      <c r="B1421">
        <v>26</v>
      </c>
      <c r="C1421" t="s">
        <v>10</v>
      </c>
      <c r="D1421" t="s">
        <v>11</v>
      </c>
      <c r="E1421" s="2">
        <v>45235</v>
      </c>
      <c r="F1421" s="2">
        <v>46009</v>
      </c>
      <c r="G1421">
        <v>1700</v>
      </c>
      <c r="H1421" t="s">
        <v>15</v>
      </c>
      <c r="I1421" t="s">
        <v>16</v>
      </c>
      <c r="J1421">
        <f t="shared" si="89"/>
        <v>1700</v>
      </c>
      <c r="K1421" t="str">
        <f t="shared" si="88"/>
        <v>25-34</v>
      </c>
      <c r="L1421" t="str">
        <f t="shared" ca="1" si="90"/>
        <v>Safe</v>
      </c>
      <c r="M1421" t="str">
        <f t="shared" si="91"/>
        <v>Nov-2023</v>
      </c>
    </row>
    <row r="1422" spans="1:13" x14ac:dyDescent="0.35">
      <c r="A1422">
        <v>11421</v>
      </c>
      <c r="B1422">
        <v>38</v>
      </c>
      <c r="C1422" t="s">
        <v>9</v>
      </c>
      <c r="D1422" t="s">
        <v>12</v>
      </c>
      <c r="E1422" s="2">
        <v>45415</v>
      </c>
      <c r="F1422" s="2">
        <v>46013</v>
      </c>
      <c r="G1422">
        <v>800</v>
      </c>
      <c r="H1422" t="s">
        <v>14</v>
      </c>
      <c r="I1422" t="s">
        <v>16</v>
      </c>
      <c r="J1422">
        <f t="shared" si="89"/>
        <v>9600</v>
      </c>
      <c r="K1422" t="str">
        <f t="shared" si="88"/>
        <v>35+</v>
      </c>
      <c r="L1422" t="str">
        <f t="shared" ca="1" si="90"/>
        <v>Safe</v>
      </c>
      <c r="M1422" t="str">
        <f t="shared" si="91"/>
        <v>May-2024</v>
      </c>
    </row>
    <row r="1423" spans="1:13" x14ac:dyDescent="0.35">
      <c r="A1423">
        <v>11422</v>
      </c>
      <c r="B1423">
        <v>26</v>
      </c>
      <c r="C1423" t="s">
        <v>9</v>
      </c>
      <c r="D1423" t="s">
        <v>11</v>
      </c>
      <c r="E1423" s="2">
        <v>45416</v>
      </c>
      <c r="F1423" s="2">
        <v>46024</v>
      </c>
      <c r="G1423">
        <v>1700</v>
      </c>
      <c r="H1423" t="s">
        <v>15</v>
      </c>
      <c r="I1423" t="s">
        <v>16</v>
      </c>
      <c r="J1423">
        <f t="shared" si="89"/>
        <v>1700</v>
      </c>
      <c r="K1423" t="str">
        <f t="shared" si="88"/>
        <v>25-34</v>
      </c>
      <c r="L1423" t="str">
        <f t="shared" ca="1" si="90"/>
        <v>Safe</v>
      </c>
      <c r="M1423" t="str">
        <f t="shared" si="91"/>
        <v>May-2024</v>
      </c>
    </row>
    <row r="1424" spans="1:13" x14ac:dyDescent="0.35">
      <c r="A1424">
        <v>11423</v>
      </c>
      <c r="B1424">
        <v>27</v>
      </c>
      <c r="C1424" t="s">
        <v>9</v>
      </c>
      <c r="D1424" t="s">
        <v>11</v>
      </c>
      <c r="E1424" s="2">
        <v>45869</v>
      </c>
      <c r="F1424" s="2">
        <v>46028</v>
      </c>
      <c r="G1424">
        <v>1200</v>
      </c>
      <c r="H1424" t="s">
        <v>14</v>
      </c>
      <c r="I1424" t="s">
        <v>16</v>
      </c>
      <c r="J1424">
        <f t="shared" si="89"/>
        <v>1200</v>
      </c>
      <c r="K1424" t="str">
        <f t="shared" si="88"/>
        <v>25-34</v>
      </c>
      <c r="L1424" t="str">
        <f t="shared" ca="1" si="90"/>
        <v>Safe</v>
      </c>
      <c r="M1424" t="str">
        <f t="shared" si="91"/>
        <v>Jul-2025</v>
      </c>
    </row>
    <row r="1425" spans="1:13" x14ac:dyDescent="0.35">
      <c r="A1425">
        <v>11424</v>
      </c>
      <c r="B1425">
        <v>37</v>
      </c>
      <c r="C1425" t="s">
        <v>9</v>
      </c>
      <c r="D1425" t="s">
        <v>11</v>
      </c>
      <c r="E1425" s="2">
        <v>45366</v>
      </c>
      <c r="F1425" s="2">
        <v>46025</v>
      </c>
      <c r="G1425">
        <v>1200</v>
      </c>
      <c r="H1425" t="s">
        <v>14</v>
      </c>
      <c r="I1425" t="s">
        <v>16</v>
      </c>
      <c r="J1425">
        <f t="shared" si="89"/>
        <v>1200</v>
      </c>
      <c r="K1425" t="str">
        <f t="shared" si="88"/>
        <v>35+</v>
      </c>
      <c r="L1425" t="str">
        <f t="shared" ca="1" si="90"/>
        <v>Safe</v>
      </c>
      <c r="M1425" t="str">
        <f t="shared" si="91"/>
        <v>Mar-2024</v>
      </c>
    </row>
    <row r="1426" spans="1:13" x14ac:dyDescent="0.35">
      <c r="A1426">
        <v>11425</v>
      </c>
      <c r="B1426">
        <v>42</v>
      </c>
      <c r="C1426" t="s">
        <v>9</v>
      </c>
      <c r="D1426" t="s">
        <v>11</v>
      </c>
      <c r="E1426" s="2">
        <v>45311</v>
      </c>
      <c r="F1426" s="2">
        <v>46024</v>
      </c>
      <c r="G1426">
        <v>1200</v>
      </c>
      <c r="H1426" t="s">
        <v>14</v>
      </c>
      <c r="I1426" t="s">
        <v>16</v>
      </c>
      <c r="J1426">
        <f t="shared" si="89"/>
        <v>1200</v>
      </c>
      <c r="K1426" t="str">
        <f t="shared" si="88"/>
        <v>35+</v>
      </c>
      <c r="L1426" t="str">
        <f t="shared" ca="1" si="90"/>
        <v>Safe</v>
      </c>
      <c r="M1426" t="str">
        <f t="shared" si="91"/>
        <v>Jan-2024</v>
      </c>
    </row>
    <row r="1427" spans="1:13" x14ac:dyDescent="0.35">
      <c r="A1427">
        <v>11426</v>
      </c>
      <c r="B1427">
        <v>38</v>
      </c>
      <c r="C1427" t="s">
        <v>9</v>
      </c>
      <c r="D1427" t="s">
        <v>12</v>
      </c>
      <c r="E1427" s="2">
        <v>45837</v>
      </c>
      <c r="F1427" s="2">
        <v>46020</v>
      </c>
      <c r="G1427">
        <v>1300</v>
      </c>
      <c r="H1427" t="s">
        <v>15</v>
      </c>
      <c r="I1427" t="s">
        <v>16</v>
      </c>
      <c r="J1427">
        <f t="shared" si="89"/>
        <v>15600</v>
      </c>
      <c r="K1427" t="str">
        <f t="shared" si="88"/>
        <v>35+</v>
      </c>
      <c r="L1427" t="str">
        <f t="shared" ca="1" si="90"/>
        <v>Safe</v>
      </c>
      <c r="M1427" t="str">
        <f t="shared" si="91"/>
        <v>Jun-2025</v>
      </c>
    </row>
    <row r="1428" spans="1:13" x14ac:dyDescent="0.35">
      <c r="A1428">
        <v>11427</v>
      </c>
      <c r="B1428">
        <v>43</v>
      </c>
      <c r="C1428" t="s">
        <v>10</v>
      </c>
      <c r="D1428" t="s">
        <v>11</v>
      </c>
      <c r="E1428" s="2">
        <v>45140</v>
      </c>
      <c r="F1428" s="2">
        <v>46022</v>
      </c>
      <c r="G1428">
        <v>1200</v>
      </c>
      <c r="H1428" t="s">
        <v>14</v>
      </c>
      <c r="I1428" t="s">
        <v>16</v>
      </c>
      <c r="J1428">
        <f t="shared" si="89"/>
        <v>1200</v>
      </c>
      <c r="K1428" t="str">
        <f t="shared" si="88"/>
        <v>35+</v>
      </c>
      <c r="L1428" t="str">
        <f t="shared" ca="1" si="90"/>
        <v>Safe</v>
      </c>
      <c r="M1428" t="str">
        <f t="shared" si="91"/>
        <v>Aug-2023</v>
      </c>
    </row>
    <row r="1429" spans="1:13" x14ac:dyDescent="0.35">
      <c r="A1429">
        <v>11428</v>
      </c>
      <c r="B1429">
        <v>26</v>
      </c>
      <c r="C1429" t="s">
        <v>9</v>
      </c>
      <c r="D1429" t="s">
        <v>13</v>
      </c>
      <c r="E1429" s="2">
        <v>45988</v>
      </c>
      <c r="F1429" s="2">
        <v>46008</v>
      </c>
      <c r="G1429">
        <v>1000</v>
      </c>
      <c r="H1429" t="s">
        <v>14</v>
      </c>
      <c r="I1429" t="s">
        <v>16</v>
      </c>
      <c r="J1429">
        <f t="shared" si="89"/>
        <v>3000</v>
      </c>
      <c r="K1429" t="str">
        <f t="shared" si="88"/>
        <v>25-34</v>
      </c>
      <c r="L1429" t="str">
        <f t="shared" ca="1" si="90"/>
        <v>Safe</v>
      </c>
      <c r="M1429" t="str">
        <f t="shared" si="91"/>
        <v>Nov-2025</v>
      </c>
    </row>
    <row r="1430" spans="1:13" x14ac:dyDescent="0.35">
      <c r="A1430">
        <v>11429</v>
      </c>
      <c r="B1430">
        <v>20</v>
      </c>
      <c r="C1430" t="s">
        <v>9</v>
      </c>
      <c r="D1430" t="s">
        <v>13</v>
      </c>
      <c r="E1430" s="2">
        <v>45777</v>
      </c>
      <c r="F1430" s="2">
        <v>46021</v>
      </c>
      <c r="G1430">
        <v>1000</v>
      </c>
      <c r="H1430" t="s">
        <v>14</v>
      </c>
      <c r="I1430" t="s">
        <v>16</v>
      </c>
      <c r="J1430">
        <f t="shared" si="89"/>
        <v>3000</v>
      </c>
      <c r="K1430" t="str">
        <f t="shared" si="88"/>
        <v>18-24</v>
      </c>
      <c r="L1430" t="str">
        <f t="shared" ca="1" si="90"/>
        <v>Safe</v>
      </c>
      <c r="M1430" t="str">
        <f t="shared" si="91"/>
        <v>Apr-2025</v>
      </c>
    </row>
    <row r="1431" spans="1:13" x14ac:dyDescent="0.35">
      <c r="A1431">
        <v>11430</v>
      </c>
      <c r="B1431">
        <v>37</v>
      </c>
      <c r="C1431" t="s">
        <v>9</v>
      </c>
      <c r="D1431" t="s">
        <v>12</v>
      </c>
      <c r="E1431" s="2">
        <v>45871</v>
      </c>
      <c r="F1431" s="2">
        <v>45935</v>
      </c>
      <c r="G1431">
        <v>1300</v>
      </c>
      <c r="H1431" t="s">
        <v>15</v>
      </c>
      <c r="I1431" t="s">
        <v>17</v>
      </c>
      <c r="J1431">
        <f t="shared" si="89"/>
        <v>15600</v>
      </c>
      <c r="K1431" t="str">
        <f t="shared" si="88"/>
        <v>35+</v>
      </c>
      <c r="L1431" t="str">
        <f t="shared" ca="1" si="90"/>
        <v>High Risk</v>
      </c>
      <c r="M1431" t="str">
        <f t="shared" si="91"/>
        <v>Aug-2025</v>
      </c>
    </row>
    <row r="1432" spans="1:13" x14ac:dyDescent="0.35">
      <c r="A1432">
        <v>11431</v>
      </c>
      <c r="B1432">
        <v>42</v>
      </c>
      <c r="C1432" t="s">
        <v>9</v>
      </c>
      <c r="D1432" t="s">
        <v>13</v>
      </c>
      <c r="E1432" s="2">
        <v>45320</v>
      </c>
      <c r="F1432" s="2">
        <v>46011</v>
      </c>
      <c r="G1432">
        <v>1000</v>
      </c>
      <c r="H1432" t="s">
        <v>14</v>
      </c>
      <c r="I1432" t="s">
        <v>16</v>
      </c>
      <c r="J1432">
        <f t="shared" si="89"/>
        <v>3000</v>
      </c>
      <c r="K1432" t="str">
        <f t="shared" si="88"/>
        <v>35+</v>
      </c>
      <c r="L1432" t="str">
        <f t="shared" ca="1" si="90"/>
        <v>Safe</v>
      </c>
      <c r="M1432" t="str">
        <f t="shared" si="91"/>
        <v>Jan-2024</v>
      </c>
    </row>
    <row r="1433" spans="1:13" x14ac:dyDescent="0.35">
      <c r="A1433">
        <v>11432</v>
      </c>
      <c r="B1433">
        <v>43</v>
      </c>
      <c r="C1433" t="s">
        <v>9</v>
      </c>
      <c r="D1433" t="s">
        <v>12</v>
      </c>
      <c r="E1433" s="2">
        <v>45759</v>
      </c>
      <c r="F1433" s="2">
        <v>46008</v>
      </c>
      <c r="G1433">
        <v>800</v>
      </c>
      <c r="H1433" t="s">
        <v>14</v>
      </c>
      <c r="I1433" t="s">
        <v>16</v>
      </c>
      <c r="J1433">
        <f t="shared" si="89"/>
        <v>9600</v>
      </c>
      <c r="K1433" t="str">
        <f t="shared" si="88"/>
        <v>35+</v>
      </c>
      <c r="L1433" t="str">
        <f t="shared" ca="1" si="90"/>
        <v>Safe</v>
      </c>
      <c r="M1433" t="str">
        <f t="shared" si="91"/>
        <v>Apr-2025</v>
      </c>
    </row>
    <row r="1434" spans="1:13" x14ac:dyDescent="0.35">
      <c r="A1434">
        <v>11433</v>
      </c>
      <c r="B1434">
        <v>28</v>
      </c>
      <c r="C1434" t="s">
        <v>10</v>
      </c>
      <c r="D1434" t="s">
        <v>11</v>
      </c>
      <c r="E1434" s="2">
        <v>45866</v>
      </c>
      <c r="F1434" s="2">
        <v>45959</v>
      </c>
      <c r="G1434">
        <v>1200</v>
      </c>
      <c r="H1434" t="s">
        <v>14</v>
      </c>
      <c r="I1434" t="s">
        <v>17</v>
      </c>
      <c r="J1434">
        <f t="shared" si="89"/>
        <v>1200</v>
      </c>
      <c r="K1434" t="str">
        <f t="shared" si="88"/>
        <v>25-34</v>
      </c>
      <c r="L1434" t="str">
        <f t="shared" ca="1" si="90"/>
        <v>High Risk</v>
      </c>
      <c r="M1434" t="str">
        <f t="shared" si="91"/>
        <v>Jul-2025</v>
      </c>
    </row>
    <row r="1435" spans="1:13" x14ac:dyDescent="0.35">
      <c r="A1435">
        <v>11434</v>
      </c>
      <c r="B1435">
        <v>23</v>
      </c>
      <c r="C1435" t="s">
        <v>9</v>
      </c>
      <c r="D1435" t="s">
        <v>11</v>
      </c>
      <c r="E1435" s="2">
        <v>45642</v>
      </c>
      <c r="F1435" s="2">
        <v>46028</v>
      </c>
      <c r="G1435">
        <v>1200</v>
      </c>
      <c r="H1435" t="s">
        <v>14</v>
      </c>
      <c r="I1435" t="s">
        <v>16</v>
      </c>
      <c r="J1435">
        <f t="shared" si="89"/>
        <v>1200</v>
      </c>
      <c r="K1435" t="str">
        <f t="shared" si="88"/>
        <v>18-24</v>
      </c>
      <c r="L1435" t="str">
        <f t="shared" ca="1" si="90"/>
        <v>Safe</v>
      </c>
      <c r="M1435" t="str">
        <f t="shared" si="91"/>
        <v>Dec-2024</v>
      </c>
    </row>
    <row r="1436" spans="1:13" x14ac:dyDescent="0.35">
      <c r="A1436">
        <v>11435</v>
      </c>
      <c r="B1436">
        <v>19</v>
      </c>
      <c r="C1436" t="s">
        <v>10</v>
      </c>
      <c r="D1436" t="s">
        <v>11</v>
      </c>
      <c r="E1436" s="2">
        <v>45535</v>
      </c>
      <c r="F1436" s="2">
        <v>46018</v>
      </c>
      <c r="G1436">
        <v>1200</v>
      </c>
      <c r="H1436" t="s">
        <v>14</v>
      </c>
      <c r="I1436" t="s">
        <v>16</v>
      </c>
      <c r="J1436">
        <f t="shared" si="89"/>
        <v>1200</v>
      </c>
      <c r="K1436" t="str">
        <f t="shared" si="88"/>
        <v>18-24</v>
      </c>
      <c r="L1436" t="str">
        <f t="shared" ca="1" si="90"/>
        <v>Safe</v>
      </c>
      <c r="M1436" t="str">
        <f t="shared" si="91"/>
        <v>Aug-2024</v>
      </c>
    </row>
    <row r="1437" spans="1:13" x14ac:dyDescent="0.35">
      <c r="A1437">
        <v>11436</v>
      </c>
      <c r="B1437">
        <v>24</v>
      </c>
      <c r="C1437" t="s">
        <v>10</v>
      </c>
      <c r="D1437" t="s">
        <v>12</v>
      </c>
      <c r="E1437" s="2">
        <v>45789</v>
      </c>
      <c r="F1437" s="2">
        <v>46025</v>
      </c>
      <c r="G1437">
        <v>800</v>
      </c>
      <c r="H1437" t="s">
        <v>14</v>
      </c>
      <c r="I1437" t="s">
        <v>16</v>
      </c>
      <c r="J1437">
        <f t="shared" si="89"/>
        <v>9600</v>
      </c>
      <c r="K1437" t="str">
        <f t="shared" si="88"/>
        <v>18-24</v>
      </c>
      <c r="L1437" t="str">
        <f t="shared" ca="1" si="90"/>
        <v>Safe</v>
      </c>
      <c r="M1437" t="str">
        <f t="shared" si="91"/>
        <v>May-2025</v>
      </c>
    </row>
    <row r="1438" spans="1:13" x14ac:dyDescent="0.35">
      <c r="A1438">
        <v>11437</v>
      </c>
      <c r="B1438">
        <v>35</v>
      </c>
      <c r="C1438" t="s">
        <v>9</v>
      </c>
      <c r="D1438" t="s">
        <v>11</v>
      </c>
      <c r="E1438" s="2">
        <v>45183</v>
      </c>
      <c r="F1438" s="2">
        <v>46017</v>
      </c>
      <c r="G1438">
        <v>1200</v>
      </c>
      <c r="H1438" t="s">
        <v>14</v>
      </c>
      <c r="I1438" t="s">
        <v>16</v>
      </c>
      <c r="J1438">
        <f t="shared" si="89"/>
        <v>1200</v>
      </c>
      <c r="K1438" t="str">
        <f t="shared" si="88"/>
        <v>35+</v>
      </c>
      <c r="L1438" t="str">
        <f t="shared" ca="1" si="90"/>
        <v>Safe</v>
      </c>
      <c r="M1438" t="str">
        <f t="shared" si="91"/>
        <v>Sep-2023</v>
      </c>
    </row>
    <row r="1439" spans="1:13" x14ac:dyDescent="0.35">
      <c r="A1439">
        <v>11438</v>
      </c>
      <c r="B1439">
        <v>44</v>
      </c>
      <c r="C1439" t="s">
        <v>10</v>
      </c>
      <c r="D1439" t="s">
        <v>11</v>
      </c>
      <c r="E1439" s="2">
        <v>45384</v>
      </c>
      <c r="F1439" s="2">
        <v>46014</v>
      </c>
      <c r="G1439">
        <v>1200</v>
      </c>
      <c r="H1439" t="s">
        <v>14</v>
      </c>
      <c r="I1439" t="s">
        <v>16</v>
      </c>
      <c r="J1439">
        <f t="shared" si="89"/>
        <v>1200</v>
      </c>
      <c r="K1439" t="str">
        <f t="shared" si="88"/>
        <v>35+</v>
      </c>
      <c r="L1439" t="str">
        <f t="shared" ca="1" si="90"/>
        <v>Safe</v>
      </c>
      <c r="M1439" t="str">
        <f t="shared" si="91"/>
        <v>Apr-2024</v>
      </c>
    </row>
    <row r="1440" spans="1:13" x14ac:dyDescent="0.35">
      <c r="A1440">
        <v>11439</v>
      </c>
      <c r="B1440">
        <v>19</v>
      </c>
      <c r="C1440" t="s">
        <v>9</v>
      </c>
      <c r="D1440" t="s">
        <v>11</v>
      </c>
      <c r="E1440" s="2">
        <v>45816</v>
      </c>
      <c r="F1440" s="2">
        <v>46018</v>
      </c>
      <c r="G1440">
        <v>1700</v>
      </c>
      <c r="H1440" t="s">
        <v>15</v>
      </c>
      <c r="I1440" t="s">
        <v>16</v>
      </c>
      <c r="J1440">
        <f t="shared" si="89"/>
        <v>1700</v>
      </c>
      <c r="K1440" t="str">
        <f t="shared" si="88"/>
        <v>18-24</v>
      </c>
      <c r="L1440" t="str">
        <f t="shared" ca="1" si="90"/>
        <v>Safe</v>
      </c>
      <c r="M1440" t="str">
        <f t="shared" si="91"/>
        <v>Jun-2025</v>
      </c>
    </row>
    <row r="1441" spans="1:13" x14ac:dyDescent="0.35">
      <c r="A1441">
        <v>11440</v>
      </c>
      <c r="B1441">
        <v>44</v>
      </c>
      <c r="C1441" t="s">
        <v>9</v>
      </c>
      <c r="D1441" t="s">
        <v>11</v>
      </c>
      <c r="E1441" s="2">
        <v>45379</v>
      </c>
      <c r="F1441" s="2">
        <v>46031</v>
      </c>
      <c r="G1441">
        <v>1200</v>
      </c>
      <c r="H1441" t="s">
        <v>14</v>
      </c>
      <c r="I1441" t="s">
        <v>16</v>
      </c>
      <c r="J1441">
        <f t="shared" si="89"/>
        <v>1200</v>
      </c>
      <c r="K1441" t="str">
        <f t="shared" si="88"/>
        <v>35+</v>
      </c>
      <c r="L1441" t="str">
        <f t="shared" ca="1" si="90"/>
        <v>Safe</v>
      </c>
      <c r="M1441" t="str">
        <f t="shared" si="91"/>
        <v>Mar-2024</v>
      </c>
    </row>
    <row r="1442" spans="1:13" x14ac:dyDescent="0.35">
      <c r="A1442">
        <v>11441</v>
      </c>
      <c r="B1442">
        <v>34</v>
      </c>
      <c r="C1442" t="s">
        <v>9</v>
      </c>
      <c r="D1442" t="s">
        <v>11</v>
      </c>
      <c r="E1442" s="2">
        <v>45369</v>
      </c>
      <c r="F1442" s="2">
        <v>46010</v>
      </c>
      <c r="G1442">
        <v>1700</v>
      </c>
      <c r="H1442" t="s">
        <v>15</v>
      </c>
      <c r="I1442" t="s">
        <v>16</v>
      </c>
      <c r="J1442">
        <f t="shared" si="89"/>
        <v>1700</v>
      </c>
      <c r="K1442" t="str">
        <f t="shared" si="88"/>
        <v>25-34</v>
      </c>
      <c r="L1442" t="str">
        <f t="shared" ca="1" si="90"/>
        <v>Safe</v>
      </c>
      <c r="M1442" t="str">
        <f t="shared" si="91"/>
        <v>Mar-2024</v>
      </c>
    </row>
    <row r="1443" spans="1:13" x14ac:dyDescent="0.35">
      <c r="A1443">
        <v>11442</v>
      </c>
      <c r="B1443">
        <v>28</v>
      </c>
      <c r="C1443" t="s">
        <v>9</v>
      </c>
      <c r="D1443" t="s">
        <v>12</v>
      </c>
      <c r="E1443" s="2">
        <v>45907</v>
      </c>
      <c r="F1443" s="2">
        <v>46013</v>
      </c>
      <c r="G1443">
        <v>1300</v>
      </c>
      <c r="H1443" t="s">
        <v>15</v>
      </c>
      <c r="I1443" t="s">
        <v>16</v>
      </c>
      <c r="J1443">
        <f t="shared" si="89"/>
        <v>15600</v>
      </c>
      <c r="K1443" t="str">
        <f t="shared" si="88"/>
        <v>25-34</v>
      </c>
      <c r="L1443" t="str">
        <f t="shared" ca="1" si="90"/>
        <v>Safe</v>
      </c>
      <c r="M1443" t="str">
        <f t="shared" si="91"/>
        <v>Sep-2025</v>
      </c>
    </row>
    <row r="1444" spans="1:13" x14ac:dyDescent="0.35">
      <c r="A1444">
        <v>11443</v>
      </c>
      <c r="B1444">
        <v>44</v>
      </c>
      <c r="C1444" t="s">
        <v>9</v>
      </c>
      <c r="D1444" t="s">
        <v>11</v>
      </c>
      <c r="E1444" s="2">
        <v>45266</v>
      </c>
      <c r="F1444" s="2">
        <v>45946</v>
      </c>
      <c r="G1444">
        <v>1200</v>
      </c>
      <c r="H1444" t="s">
        <v>14</v>
      </c>
      <c r="I1444" t="s">
        <v>17</v>
      </c>
      <c r="J1444">
        <f t="shared" si="89"/>
        <v>1200</v>
      </c>
      <c r="K1444" t="str">
        <f t="shared" si="88"/>
        <v>35+</v>
      </c>
      <c r="L1444" t="str">
        <f t="shared" ca="1" si="90"/>
        <v>High Risk</v>
      </c>
      <c r="M1444" t="str">
        <f t="shared" si="91"/>
        <v>Dec-2023</v>
      </c>
    </row>
    <row r="1445" spans="1:13" x14ac:dyDescent="0.35">
      <c r="A1445">
        <v>11444</v>
      </c>
      <c r="B1445">
        <v>29</v>
      </c>
      <c r="C1445" t="s">
        <v>9</v>
      </c>
      <c r="D1445" t="s">
        <v>13</v>
      </c>
      <c r="E1445" s="2">
        <v>45281</v>
      </c>
      <c r="F1445" s="2">
        <v>45975</v>
      </c>
      <c r="G1445">
        <v>1500</v>
      </c>
      <c r="H1445" t="s">
        <v>15</v>
      </c>
      <c r="I1445" t="s">
        <v>17</v>
      </c>
      <c r="J1445">
        <f t="shared" si="89"/>
        <v>4500</v>
      </c>
      <c r="K1445" t="str">
        <f t="shared" si="88"/>
        <v>25-34</v>
      </c>
      <c r="L1445" t="str">
        <f t="shared" ca="1" si="90"/>
        <v>High Risk</v>
      </c>
      <c r="M1445" t="str">
        <f t="shared" si="91"/>
        <v>Dec-2023</v>
      </c>
    </row>
    <row r="1446" spans="1:13" x14ac:dyDescent="0.35">
      <c r="A1446">
        <v>11445</v>
      </c>
      <c r="B1446">
        <v>44</v>
      </c>
      <c r="C1446" t="s">
        <v>9</v>
      </c>
      <c r="D1446" t="s">
        <v>13</v>
      </c>
      <c r="E1446" s="2">
        <v>45543</v>
      </c>
      <c r="F1446" s="2">
        <v>46026</v>
      </c>
      <c r="G1446">
        <v>1000</v>
      </c>
      <c r="H1446" t="s">
        <v>14</v>
      </c>
      <c r="I1446" t="s">
        <v>16</v>
      </c>
      <c r="J1446">
        <f t="shared" si="89"/>
        <v>3000</v>
      </c>
      <c r="K1446" t="str">
        <f t="shared" si="88"/>
        <v>35+</v>
      </c>
      <c r="L1446" t="str">
        <f t="shared" ca="1" si="90"/>
        <v>Safe</v>
      </c>
      <c r="M1446" t="str">
        <f t="shared" si="91"/>
        <v>Sep-2024</v>
      </c>
    </row>
    <row r="1447" spans="1:13" x14ac:dyDescent="0.35">
      <c r="A1447">
        <v>11446</v>
      </c>
      <c r="B1447">
        <v>36</v>
      </c>
      <c r="C1447" t="s">
        <v>9</v>
      </c>
      <c r="D1447" t="s">
        <v>11</v>
      </c>
      <c r="E1447" s="2">
        <v>45618</v>
      </c>
      <c r="F1447" s="2">
        <v>46024</v>
      </c>
      <c r="G1447">
        <v>1200</v>
      </c>
      <c r="H1447" t="s">
        <v>14</v>
      </c>
      <c r="I1447" t="s">
        <v>16</v>
      </c>
      <c r="J1447">
        <f t="shared" si="89"/>
        <v>1200</v>
      </c>
      <c r="K1447" t="str">
        <f t="shared" si="88"/>
        <v>35+</v>
      </c>
      <c r="L1447" t="str">
        <f t="shared" ca="1" si="90"/>
        <v>Safe</v>
      </c>
      <c r="M1447" t="str">
        <f t="shared" si="91"/>
        <v>Nov-2024</v>
      </c>
    </row>
    <row r="1448" spans="1:13" x14ac:dyDescent="0.35">
      <c r="A1448">
        <v>11447</v>
      </c>
      <c r="B1448">
        <v>39</v>
      </c>
      <c r="C1448" t="s">
        <v>9</v>
      </c>
      <c r="D1448" t="s">
        <v>11</v>
      </c>
      <c r="E1448" s="2">
        <v>45174</v>
      </c>
      <c r="F1448" s="2">
        <v>45943</v>
      </c>
      <c r="G1448">
        <v>1200</v>
      </c>
      <c r="H1448" t="s">
        <v>14</v>
      </c>
      <c r="I1448" t="s">
        <v>17</v>
      </c>
      <c r="J1448">
        <f t="shared" si="89"/>
        <v>1200</v>
      </c>
      <c r="K1448" t="str">
        <f t="shared" si="88"/>
        <v>35+</v>
      </c>
      <c r="L1448" t="str">
        <f t="shared" ca="1" si="90"/>
        <v>High Risk</v>
      </c>
      <c r="M1448" t="str">
        <f t="shared" si="91"/>
        <v>Sep-2023</v>
      </c>
    </row>
    <row r="1449" spans="1:13" x14ac:dyDescent="0.35">
      <c r="A1449">
        <v>11448</v>
      </c>
      <c r="B1449">
        <v>41</v>
      </c>
      <c r="C1449" t="s">
        <v>10</v>
      </c>
      <c r="D1449" t="s">
        <v>11</v>
      </c>
      <c r="E1449" s="2">
        <v>45339</v>
      </c>
      <c r="F1449" s="2">
        <v>46018</v>
      </c>
      <c r="G1449">
        <v>1200</v>
      </c>
      <c r="H1449" t="s">
        <v>14</v>
      </c>
      <c r="I1449" t="s">
        <v>16</v>
      </c>
      <c r="J1449">
        <f t="shared" si="89"/>
        <v>1200</v>
      </c>
      <c r="K1449" t="str">
        <f t="shared" si="88"/>
        <v>35+</v>
      </c>
      <c r="L1449" t="str">
        <f t="shared" ca="1" si="90"/>
        <v>Safe</v>
      </c>
      <c r="M1449" t="str">
        <f t="shared" si="91"/>
        <v>Feb-2024</v>
      </c>
    </row>
    <row r="1450" spans="1:13" x14ac:dyDescent="0.35">
      <c r="A1450">
        <v>11449</v>
      </c>
      <c r="B1450">
        <v>42</v>
      </c>
      <c r="C1450" t="s">
        <v>10</v>
      </c>
      <c r="D1450" t="s">
        <v>11</v>
      </c>
      <c r="E1450" s="2">
        <v>45891</v>
      </c>
      <c r="F1450" s="2">
        <v>45943</v>
      </c>
      <c r="G1450">
        <v>1200</v>
      </c>
      <c r="H1450" t="s">
        <v>14</v>
      </c>
      <c r="I1450" t="s">
        <v>17</v>
      </c>
      <c r="J1450">
        <f t="shared" si="89"/>
        <v>1200</v>
      </c>
      <c r="K1450" t="str">
        <f t="shared" si="88"/>
        <v>35+</v>
      </c>
      <c r="L1450" t="str">
        <f t="shared" ca="1" si="90"/>
        <v>High Risk</v>
      </c>
      <c r="M1450" t="str">
        <f t="shared" si="91"/>
        <v>Aug-2025</v>
      </c>
    </row>
    <row r="1451" spans="1:13" x14ac:dyDescent="0.35">
      <c r="A1451">
        <v>11450</v>
      </c>
      <c r="B1451">
        <v>24</v>
      </c>
      <c r="C1451" t="s">
        <v>9</v>
      </c>
      <c r="D1451" t="s">
        <v>13</v>
      </c>
      <c r="E1451" s="2">
        <v>45691</v>
      </c>
      <c r="F1451" s="2">
        <v>45979</v>
      </c>
      <c r="G1451">
        <v>1500</v>
      </c>
      <c r="H1451" t="s">
        <v>15</v>
      </c>
      <c r="I1451" t="s">
        <v>17</v>
      </c>
      <c r="J1451">
        <f t="shared" si="89"/>
        <v>4500</v>
      </c>
      <c r="K1451" t="str">
        <f t="shared" si="88"/>
        <v>18-24</v>
      </c>
      <c r="L1451" t="str">
        <f t="shared" ca="1" si="90"/>
        <v>High Risk</v>
      </c>
      <c r="M1451" t="str">
        <f t="shared" si="91"/>
        <v>Feb-2025</v>
      </c>
    </row>
    <row r="1452" spans="1:13" x14ac:dyDescent="0.35">
      <c r="A1452">
        <v>11451</v>
      </c>
      <c r="B1452">
        <v>37</v>
      </c>
      <c r="C1452" t="s">
        <v>9</v>
      </c>
      <c r="D1452" t="s">
        <v>11</v>
      </c>
      <c r="E1452" s="2">
        <v>45225</v>
      </c>
      <c r="F1452" s="2">
        <v>46023</v>
      </c>
      <c r="G1452">
        <v>1200</v>
      </c>
      <c r="H1452" t="s">
        <v>14</v>
      </c>
      <c r="I1452" t="s">
        <v>16</v>
      </c>
      <c r="J1452">
        <f t="shared" si="89"/>
        <v>1200</v>
      </c>
      <c r="K1452" t="str">
        <f t="shared" si="88"/>
        <v>35+</v>
      </c>
      <c r="L1452" t="str">
        <f t="shared" ca="1" si="90"/>
        <v>Safe</v>
      </c>
      <c r="M1452" t="str">
        <f t="shared" si="91"/>
        <v>Oct-2023</v>
      </c>
    </row>
    <row r="1453" spans="1:13" x14ac:dyDescent="0.35">
      <c r="A1453">
        <v>11452</v>
      </c>
      <c r="B1453">
        <v>23</v>
      </c>
      <c r="C1453" t="s">
        <v>10</v>
      </c>
      <c r="D1453" t="s">
        <v>11</v>
      </c>
      <c r="E1453" s="2">
        <v>45810</v>
      </c>
      <c r="F1453" s="2">
        <v>46031</v>
      </c>
      <c r="G1453">
        <v>1200</v>
      </c>
      <c r="H1453" t="s">
        <v>14</v>
      </c>
      <c r="I1453" t="s">
        <v>16</v>
      </c>
      <c r="J1453">
        <f t="shared" si="89"/>
        <v>1200</v>
      </c>
      <c r="K1453" t="str">
        <f t="shared" si="88"/>
        <v>18-24</v>
      </c>
      <c r="L1453" t="str">
        <f t="shared" ca="1" si="90"/>
        <v>Safe</v>
      </c>
      <c r="M1453" t="str">
        <f t="shared" si="91"/>
        <v>Jun-2025</v>
      </c>
    </row>
    <row r="1454" spans="1:13" x14ac:dyDescent="0.35">
      <c r="A1454">
        <v>11453</v>
      </c>
      <c r="B1454">
        <v>38</v>
      </c>
      <c r="C1454" t="s">
        <v>10</v>
      </c>
      <c r="D1454" t="s">
        <v>13</v>
      </c>
      <c r="E1454" s="2">
        <v>45142</v>
      </c>
      <c r="F1454" s="2">
        <v>45944</v>
      </c>
      <c r="G1454">
        <v>1000</v>
      </c>
      <c r="H1454" t="s">
        <v>14</v>
      </c>
      <c r="I1454" t="s">
        <v>17</v>
      </c>
      <c r="J1454">
        <f t="shared" si="89"/>
        <v>3000</v>
      </c>
      <c r="K1454" t="str">
        <f t="shared" si="88"/>
        <v>35+</v>
      </c>
      <c r="L1454" t="str">
        <f t="shared" ca="1" si="90"/>
        <v>High Risk</v>
      </c>
      <c r="M1454" t="str">
        <f t="shared" si="91"/>
        <v>Aug-2023</v>
      </c>
    </row>
    <row r="1455" spans="1:13" x14ac:dyDescent="0.35">
      <c r="A1455">
        <v>11454</v>
      </c>
      <c r="B1455">
        <v>41</v>
      </c>
      <c r="C1455" t="s">
        <v>10</v>
      </c>
      <c r="D1455" t="s">
        <v>12</v>
      </c>
      <c r="E1455" s="2">
        <v>45940</v>
      </c>
      <c r="F1455" s="2">
        <v>45927</v>
      </c>
      <c r="G1455">
        <v>800</v>
      </c>
      <c r="H1455" t="s">
        <v>14</v>
      </c>
      <c r="I1455" t="s">
        <v>17</v>
      </c>
      <c r="J1455">
        <f t="shared" si="89"/>
        <v>9600</v>
      </c>
      <c r="K1455" t="str">
        <f t="shared" si="88"/>
        <v>35+</v>
      </c>
      <c r="L1455" t="str">
        <f t="shared" ca="1" si="90"/>
        <v>High Risk</v>
      </c>
      <c r="M1455" t="str">
        <f t="shared" si="91"/>
        <v>Oct-2025</v>
      </c>
    </row>
    <row r="1456" spans="1:13" x14ac:dyDescent="0.35">
      <c r="A1456">
        <v>11455</v>
      </c>
      <c r="B1456">
        <v>18</v>
      </c>
      <c r="C1456" t="s">
        <v>9</v>
      </c>
      <c r="D1456" t="s">
        <v>12</v>
      </c>
      <c r="E1456" s="2">
        <v>45678</v>
      </c>
      <c r="F1456" s="2">
        <v>46025</v>
      </c>
      <c r="G1456">
        <v>800</v>
      </c>
      <c r="H1456" t="s">
        <v>14</v>
      </c>
      <c r="I1456" t="s">
        <v>16</v>
      </c>
      <c r="J1456">
        <f t="shared" si="89"/>
        <v>9600</v>
      </c>
      <c r="K1456" t="str">
        <f t="shared" si="88"/>
        <v>18-24</v>
      </c>
      <c r="L1456" t="str">
        <f t="shared" ca="1" si="90"/>
        <v>Safe</v>
      </c>
      <c r="M1456" t="str">
        <f t="shared" si="91"/>
        <v>Jan-2025</v>
      </c>
    </row>
    <row r="1457" spans="1:13" x14ac:dyDescent="0.35">
      <c r="A1457">
        <v>11456</v>
      </c>
      <c r="B1457">
        <v>34</v>
      </c>
      <c r="C1457" t="s">
        <v>9</v>
      </c>
      <c r="D1457" t="s">
        <v>12</v>
      </c>
      <c r="E1457" s="2">
        <v>45841</v>
      </c>
      <c r="F1457" s="2">
        <v>46022</v>
      </c>
      <c r="G1457">
        <v>1300</v>
      </c>
      <c r="H1457" t="s">
        <v>15</v>
      </c>
      <c r="I1457" t="s">
        <v>16</v>
      </c>
      <c r="J1457">
        <f t="shared" si="89"/>
        <v>15600</v>
      </c>
      <c r="K1457" t="str">
        <f t="shared" si="88"/>
        <v>25-34</v>
      </c>
      <c r="L1457" t="str">
        <f t="shared" ca="1" si="90"/>
        <v>Safe</v>
      </c>
      <c r="M1457" t="str">
        <f t="shared" si="91"/>
        <v>Jul-2025</v>
      </c>
    </row>
    <row r="1458" spans="1:13" x14ac:dyDescent="0.35">
      <c r="A1458">
        <v>11457</v>
      </c>
      <c r="B1458">
        <v>28</v>
      </c>
      <c r="C1458" t="s">
        <v>9</v>
      </c>
      <c r="D1458" t="s">
        <v>12</v>
      </c>
      <c r="E1458" s="2">
        <v>45167</v>
      </c>
      <c r="F1458" s="2">
        <v>45915</v>
      </c>
      <c r="G1458">
        <v>800</v>
      </c>
      <c r="H1458" t="s">
        <v>14</v>
      </c>
      <c r="I1458" t="s">
        <v>17</v>
      </c>
      <c r="J1458">
        <f t="shared" si="89"/>
        <v>9600</v>
      </c>
      <c r="K1458" t="str">
        <f t="shared" si="88"/>
        <v>25-34</v>
      </c>
      <c r="L1458" t="str">
        <f t="shared" ca="1" si="90"/>
        <v>High Risk</v>
      </c>
      <c r="M1458" t="str">
        <f t="shared" si="91"/>
        <v>Aug-2023</v>
      </c>
    </row>
    <row r="1459" spans="1:13" x14ac:dyDescent="0.35">
      <c r="A1459">
        <v>11458</v>
      </c>
      <c r="B1459">
        <v>39</v>
      </c>
      <c r="C1459" t="s">
        <v>9</v>
      </c>
      <c r="D1459" t="s">
        <v>11</v>
      </c>
      <c r="E1459" s="2">
        <v>45494</v>
      </c>
      <c r="F1459" s="2">
        <v>45931</v>
      </c>
      <c r="G1459">
        <v>1200</v>
      </c>
      <c r="H1459" t="s">
        <v>14</v>
      </c>
      <c r="I1459" t="s">
        <v>17</v>
      </c>
      <c r="J1459">
        <f t="shared" si="89"/>
        <v>1200</v>
      </c>
      <c r="K1459" t="str">
        <f t="shared" si="88"/>
        <v>35+</v>
      </c>
      <c r="L1459" t="str">
        <f t="shared" ca="1" si="90"/>
        <v>High Risk</v>
      </c>
      <c r="M1459" t="str">
        <f t="shared" si="91"/>
        <v>Jul-2024</v>
      </c>
    </row>
    <row r="1460" spans="1:13" x14ac:dyDescent="0.35">
      <c r="A1460">
        <v>11459</v>
      </c>
      <c r="B1460">
        <v>43</v>
      </c>
      <c r="C1460" t="s">
        <v>10</v>
      </c>
      <c r="D1460" t="s">
        <v>12</v>
      </c>
      <c r="E1460" s="2">
        <v>45298</v>
      </c>
      <c r="F1460" s="2">
        <v>46030</v>
      </c>
      <c r="G1460">
        <v>1300</v>
      </c>
      <c r="H1460" t="s">
        <v>15</v>
      </c>
      <c r="I1460" t="s">
        <v>16</v>
      </c>
      <c r="J1460">
        <f t="shared" si="89"/>
        <v>15600</v>
      </c>
      <c r="K1460" t="str">
        <f t="shared" si="88"/>
        <v>35+</v>
      </c>
      <c r="L1460" t="str">
        <f t="shared" ca="1" si="90"/>
        <v>Safe</v>
      </c>
      <c r="M1460" t="str">
        <f t="shared" si="91"/>
        <v>Jan-2024</v>
      </c>
    </row>
    <row r="1461" spans="1:13" x14ac:dyDescent="0.35">
      <c r="A1461">
        <v>11460</v>
      </c>
      <c r="B1461">
        <v>45</v>
      </c>
      <c r="C1461" t="s">
        <v>10</v>
      </c>
      <c r="D1461" t="s">
        <v>11</v>
      </c>
      <c r="E1461" s="2">
        <v>45154</v>
      </c>
      <c r="F1461" s="2">
        <v>46021</v>
      </c>
      <c r="G1461">
        <v>1200</v>
      </c>
      <c r="H1461" t="s">
        <v>14</v>
      </c>
      <c r="I1461" t="s">
        <v>16</v>
      </c>
      <c r="J1461">
        <f t="shared" si="89"/>
        <v>1200</v>
      </c>
      <c r="K1461" t="str">
        <f t="shared" si="88"/>
        <v>35+</v>
      </c>
      <c r="L1461" t="str">
        <f t="shared" ca="1" si="90"/>
        <v>Safe</v>
      </c>
      <c r="M1461" t="str">
        <f t="shared" si="91"/>
        <v>Aug-2023</v>
      </c>
    </row>
    <row r="1462" spans="1:13" x14ac:dyDescent="0.35">
      <c r="A1462">
        <v>11461</v>
      </c>
      <c r="B1462">
        <v>35</v>
      </c>
      <c r="C1462" t="s">
        <v>9</v>
      </c>
      <c r="D1462" t="s">
        <v>13</v>
      </c>
      <c r="E1462" s="2">
        <v>45627</v>
      </c>
      <c r="F1462" s="2">
        <v>46028</v>
      </c>
      <c r="G1462">
        <v>1000</v>
      </c>
      <c r="H1462" t="s">
        <v>14</v>
      </c>
      <c r="I1462" t="s">
        <v>16</v>
      </c>
      <c r="J1462">
        <f t="shared" si="89"/>
        <v>3000</v>
      </c>
      <c r="K1462" t="str">
        <f t="shared" si="88"/>
        <v>35+</v>
      </c>
      <c r="L1462" t="str">
        <f t="shared" ca="1" si="90"/>
        <v>Safe</v>
      </c>
      <c r="M1462" t="str">
        <f t="shared" si="91"/>
        <v>Dec-2024</v>
      </c>
    </row>
    <row r="1463" spans="1:13" x14ac:dyDescent="0.35">
      <c r="A1463">
        <v>11462</v>
      </c>
      <c r="B1463">
        <v>38</v>
      </c>
      <c r="C1463" t="s">
        <v>10</v>
      </c>
      <c r="D1463" t="s">
        <v>13</v>
      </c>
      <c r="E1463" s="2">
        <v>45936</v>
      </c>
      <c r="F1463" s="2">
        <v>46021</v>
      </c>
      <c r="G1463">
        <v>1000</v>
      </c>
      <c r="H1463" t="s">
        <v>14</v>
      </c>
      <c r="I1463" t="s">
        <v>16</v>
      </c>
      <c r="J1463">
        <f t="shared" si="89"/>
        <v>3000</v>
      </c>
      <c r="K1463" t="str">
        <f t="shared" si="88"/>
        <v>35+</v>
      </c>
      <c r="L1463" t="str">
        <f t="shared" ca="1" si="90"/>
        <v>Safe</v>
      </c>
      <c r="M1463" t="str">
        <f t="shared" si="91"/>
        <v>Oct-2025</v>
      </c>
    </row>
    <row r="1464" spans="1:13" x14ac:dyDescent="0.35">
      <c r="A1464">
        <v>11463</v>
      </c>
      <c r="B1464">
        <v>34</v>
      </c>
      <c r="C1464" t="s">
        <v>9</v>
      </c>
      <c r="D1464" t="s">
        <v>11</v>
      </c>
      <c r="E1464" s="2">
        <v>45818</v>
      </c>
      <c r="F1464" s="2">
        <v>46023</v>
      </c>
      <c r="G1464">
        <v>1700</v>
      </c>
      <c r="H1464" t="s">
        <v>15</v>
      </c>
      <c r="I1464" t="s">
        <v>16</v>
      </c>
      <c r="J1464">
        <f t="shared" si="89"/>
        <v>1700</v>
      </c>
      <c r="K1464" t="str">
        <f t="shared" si="88"/>
        <v>25-34</v>
      </c>
      <c r="L1464" t="str">
        <f t="shared" ca="1" si="90"/>
        <v>Safe</v>
      </c>
      <c r="M1464" t="str">
        <f t="shared" si="91"/>
        <v>Jun-2025</v>
      </c>
    </row>
    <row r="1465" spans="1:13" x14ac:dyDescent="0.35">
      <c r="A1465">
        <v>11464</v>
      </c>
      <c r="B1465">
        <v>24</v>
      </c>
      <c r="C1465" t="s">
        <v>9</v>
      </c>
      <c r="D1465" t="s">
        <v>12</v>
      </c>
      <c r="E1465" s="2">
        <v>45281</v>
      </c>
      <c r="F1465" s="2">
        <v>46010</v>
      </c>
      <c r="G1465">
        <v>1300</v>
      </c>
      <c r="H1465" t="s">
        <v>15</v>
      </c>
      <c r="I1465" t="s">
        <v>16</v>
      </c>
      <c r="J1465">
        <f t="shared" si="89"/>
        <v>15600</v>
      </c>
      <c r="K1465" t="str">
        <f t="shared" si="88"/>
        <v>18-24</v>
      </c>
      <c r="L1465" t="str">
        <f t="shared" ca="1" si="90"/>
        <v>Safe</v>
      </c>
      <c r="M1465" t="str">
        <f t="shared" si="91"/>
        <v>Dec-2023</v>
      </c>
    </row>
    <row r="1466" spans="1:13" x14ac:dyDescent="0.35">
      <c r="A1466">
        <v>11465</v>
      </c>
      <c r="B1466">
        <v>34</v>
      </c>
      <c r="C1466" t="s">
        <v>9</v>
      </c>
      <c r="D1466" t="s">
        <v>12</v>
      </c>
      <c r="E1466" s="2">
        <v>45644</v>
      </c>
      <c r="F1466" s="2">
        <v>46010</v>
      </c>
      <c r="G1466">
        <v>800</v>
      </c>
      <c r="H1466" t="s">
        <v>14</v>
      </c>
      <c r="I1466" t="s">
        <v>16</v>
      </c>
      <c r="J1466">
        <f t="shared" si="89"/>
        <v>9600</v>
      </c>
      <c r="K1466" t="str">
        <f t="shared" si="88"/>
        <v>25-34</v>
      </c>
      <c r="L1466" t="str">
        <f t="shared" ca="1" si="90"/>
        <v>Safe</v>
      </c>
      <c r="M1466" t="str">
        <f t="shared" si="91"/>
        <v>Dec-2024</v>
      </c>
    </row>
    <row r="1467" spans="1:13" x14ac:dyDescent="0.35">
      <c r="A1467">
        <v>11466</v>
      </c>
      <c r="B1467">
        <v>37</v>
      </c>
      <c r="C1467" t="s">
        <v>10</v>
      </c>
      <c r="D1467" t="s">
        <v>11</v>
      </c>
      <c r="E1467" s="2">
        <v>45823</v>
      </c>
      <c r="F1467" s="2">
        <v>46032</v>
      </c>
      <c r="G1467">
        <v>1700</v>
      </c>
      <c r="H1467" t="s">
        <v>15</v>
      </c>
      <c r="I1467" t="s">
        <v>16</v>
      </c>
      <c r="J1467">
        <f t="shared" si="89"/>
        <v>1700</v>
      </c>
      <c r="K1467" t="str">
        <f t="shared" si="88"/>
        <v>35+</v>
      </c>
      <c r="L1467" t="str">
        <f t="shared" ca="1" si="90"/>
        <v>Safe</v>
      </c>
      <c r="M1467" t="str">
        <f t="shared" si="91"/>
        <v>Jun-2025</v>
      </c>
    </row>
    <row r="1468" spans="1:13" x14ac:dyDescent="0.35">
      <c r="A1468">
        <v>11467</v>
      </c>
      <c r="B1468">
        <v>26</v>
      </c>
      <c r="C1468" t="s">
        <v>9</v>
      </c>
      <c r="D1468" t="s">
        <v>12</v>
      </c>
      <c r="E1468" s="2">
        <v>45991</v>
      </c>
      <c r="F1468" s="2">
        <v>46025</v>
      </c>
      <c r="G1468">
        <v>800</v>
      </c>
      <c r="H1468" t="s">
        <v>14</v>
      </c>
      <c r="I1468" t="s">
        <v>16</v>
      </c>
      <c r="J1468">
        <f t="shared" si="89"/>
        <v>9600</v>
      </c>
      <c r="K1468" t="str">
        <f t="shared" si="88"/>
        <v>25-34</v>
      </c>
      <c r="L1468" t="str">
        <f t="shared" ca="1" si="90"/>
        <v>Safe</v>
      </c>
      <c r="M1468" t="str">
        <f t="shared" si="91"/>
        <v>Nov-2025</v>
      </c>
    </row>
    <row r="1469" spans="1:13" x14ac:dyDescent="0.35">
      <c r="A1469">
        <v>11468</v>
      </c>
      <c r="B1469">
        <v>34</v>
      </c>
      <c r="C1469" t="s">
        <v>10</v>
      </c>
      <c r="D1469" t="s">
        <v>11</v>
      </c>
      <c r="E1469" s="2">
        <v>45381</v>
      </c>
      <c r="F1469" s="2">
        <v>46023</v>
      </c>
      <c r="G1469">
        <v>1200</v>
      </c>
      <c r="H1469" t="s">
        <v>14</v>
      </c>
      <c r="I1469" t="s">
        <v>16</v>
      </c>
      <c r="J1469">
        <f t="shared" si="89"/>
        <v>1200</v>
      </c>
      <c r="K1469" t="str">
        <f t="shared" si="88"/>
        <v>25-34</v>
      </c>
      <c r="L1469" t="str">
        <f t="shared" ca="1" si="90"/>
        <v>Safe</v>
      </c>
      <c r="M1469" t="str">
        <f t="shared" si="91"/>
        <v>Mar-2024</v>
      </c>
    </row>
    <row r="1470" spans="1:13" x14ac:dyDescent="0.35">
      <c r="A1470">
        <v>11469</v>
      </c>
      <c r="B1470">
        <v>37</v>
      </c>
      <c r="C1470" t="s">
        <v>10</v>
      </c>
      <c r="D1470" t="s">
        <v>13</v>
      </c>
      <c r="E1470" s="2">
        <v>45625</v>
      </c>
      <c r="F1470" s="2">
        <v>46011</v>
      </c>
      <c r="G1470">
        <v>1000</v>
      </c>
      <c r="H1470" t="s">
        <v>14</v>
      </c>
      <c r="I1470" t="s">
        <v>16</v>
      </c>
      <c r="J1470">
        <f t="shared" si="89"/>
        <v>3000</v>
      </c>
      <c r="K1470" t="str">
        <f t="shared" si="88"/>
        <v>35+</v>
      </c>
      <c r="L1470" t="str">
        <f t="shared" ca="1" si="90"/>
        <v>Safe</v>
      </c>
      <c r="M1470" t="str">
        <f t="shared" si="91"/>
        <v>Nov-2024</v>
      </c>
    </row>
    <row r="1471" spans="1:13" x14ac:dyDescent="0.35">
      <c r="A1471">
        <v>11470</v>
      </c>
      <c r="B1471">
        <v>39</v>
      </c>
      <c r="C1471" t="s">
        <v>9</v>
      </c>
      <c r="D1471" t="s">
        <v>13</v>
      </c>
      <c r="E1471" s="2">
        <v>45274</v>
      </c>
      <c r="F1471" s="2">
        <v>46032</v>
      </c>
      <c r="G1471">
        <v>1000</v>
      </c>
      <c r="H1471" t="s">
        <v>14</v>
      </c>
      <c r="I1471" t="s">
        <v>16</v>
      </c>
      <c r="J1471">
        <f t="shared" si="89"/>
        <v>3000</v>
      </c>
      <c r="K1471" t="str">
        <f t="shared" si="88"/>
        <v>35+</v>
      </c>
      <c r="L1471" t="str">
        <f t="shared" ca="1" si="90"/>
        <v>Safe</v>
      </c>
      <c r="M1471" t="str">
        <f t="shared" si="91"/>
        <v>Dec-2023</v>
      </c>
    </row>
    <row r="1472" spans="1:13" x14ac:dyDescent="0.35">
      <c r="A1472">
        <v>11471</v>
      </c>
      <c r="B1472">
        <v>39</v>
      </c>
      <c r="C1472" t="s">
        <v>9</v>
      </c>
      <c r="D1472" t="s">
        <v>13</v>
      </c>
      <c r="E1472" s="2">
        <v>45722</v>
      </c>
      <c r="F1472" s="2">
        <v>46030</v>
      </c>
      <c r="G1472">
        <v>1000</v>
      </c>
      <c r="H1472" t="s">
        <v>14</v>
      </c>
      <c r="I1472" t="s">
        <v>16</v>
      </c>
      <c r="J1472">
        <f t="shared" si="89"/>
        <v>3000</v>
      </c>
      <c r="K1472" t="str">
        <f t="shared" si="88"/>
        <v>35+</v>
      </c>
      <c r="L1472" t="str">
        <f t="shared" ca="1" si="90"/>
        <v>Safe</v>
      </c>
      <c r="M1472" t="str">
        <f t="shared" si="91"/>
        <v>Mar-2025</v>
      </c>
    </row>
    <row r="1473" spans="1:13" x14ac:dyDescent="0.35">
      <c r="A1473">
        <v>11472</v>
      </c>
      <c r="B1473">
        <v>45</v>
      </c>
      <c r="C1473" t="s">
        <v>10</v>
      </c>
      <c r="D1473" t="s">
        <v>12</v>
      </c>
      <c r="E1473" s="2">
        <v>45401</v>
      </c>
      <c r="F1473" s="2">
        <v>46002</v>
      </c>
      <c r="G1473">
        <v>1300</v>
      </c>
      <c r="H1473" t="s">
        <v>15</v>
      </c>
      <c r="I1473" t="s">
        <v>17</v>
      </c>
      <c r="J1473">
        <f t="shared" si="89"/>
        <v>15600</v>
      </c>
      <c r="K1473" t="str">
        <f t="shared" si="88"/>
        <v>35+</v>
      </c>
      <c r="L1473" t="str">
        <f t="shared" ca="1" si="90"/>
        <v>High Risk</v>
      </c>
      <c r="M1473" t="str">
        <f t="shared" si="91"/>
        <v>Apr-2024</v>
      </c>
    </row>
    <row r="1474" spans="1:13" x14ac:dyDescent="0.35">
      <c r="A1474">
        <v>11473</v>
      </c>
      <c r="B1474">
        <v>25</v>
      </c>
      <c r="C1474" t="s">
        <v>9</v>
      </c>
      <c r="D1474" t="s">
        <v>12</v>
      </c>
      <c r="E1474" s="2">
        <v>45888</v>
      </c>
      <c r="F1474" s="2">
        <v>46028</v>
      </c>
      <c r="G1474">
        <v>1300</v>
      </c>
      <c r="H1474" t="s">
        <v>15</v>
      </c>
      <c r="I1474" t="s">
        <v>16</v>
      </c>
      <c r="J1474">
        <f t="shared" si="89"/>
        <v>15600</v>
      </c>
      <c r="K1474" t="str">
        <f t="shared" ref="K1474:K1537" si="92">IF(B1474&lt;25,"18-24",IF(B1474&lt;35,"25-34","35+"))</f>
        <v>25-34</v>
      </c>
      <c r="L1474" t="str">
        <f t="shared" ca="1" si="90"/>
        <v>Safe</v>
      </c>
      <c r="M1474" t="str">
        <f t="shared" si="91"/>
        <v>Aug-2025</v>
      </c>
    </row>
    <row r="1475" spans="1:13" x14ac:dyDescent="0.35">
      <c r="A1475">
        <v>11474</v>
      </c>
      <c r="B1475">
        <v>34</v>
      </c>
      <c r="C1475" t="s">
        <v>10</v>
      </c>
      <c r="D1475" t="s">
        <v>12</v>
      </c>
      <c r="E1475" s="2">
        <v>45922</v>
      </c>
      <c r="F1475" s="2">
        <v>46030</v>
      </c>
      <c r="G1475">
        <v>800</v>
      </c>
      <c r="H1475" t="s">
        <v>14</v>
      </c>
      <c r="I1475" t="s">
        <v>16</v>
      </c>
      <c r="J1475">
        <f t="shared" ref="J1475:J1538" si="93">IF(D1475="Monthly",G1475,IF(D1475="Quarterly",G1475*3,G1475*12))</f>
        <v>9600</v>
      </c>
      <c r="K1475" t="str">
        <f t="shared" si="92"/>
        <v>25-34</v>
      </c>
      <c r="L1475" t="str">
        <f t="shared" ref="L1475:L1538" ca="1" si="94">IF(F1475&lt;TODAY()-30,"High Risk","Safe")</f>
        <v>Safe</v>
      </c>
      <c r="M1475" t="str">
        <f t="shared" ref="M1475:M1538" si="95">TEXT(E1475,"mmm-yyyy")</f>
        <v>Sep-2025</v>
      </c>
    </row>
    <row r="1476" spans="1:13" x14ac:dyDescent="0.35">
      <c r="A1476">
        <v>11475</v>
      </c>
      <c r="B1476">
        <v>24</v>
      </c>
      <c r="C1476" t="s">
        <v>10</v>
      </c>
      <c r="D1476" t="s">
        <v>11</v>
      </c>
      <c r="E1476" s="2">
        <v>45870</v>
      </c>
      <c r="F1476" s="2">
        <v>46026</v>
      </c>
      <c r="G1476">
        <v>1200</v>
      </c>
      <c r="H1476" t="s">
        <v>14</v>
      </c>
      <c r="I1476" t="s">
        <v>16</v>
      </c>
      <c r="J1476">
        <f t="shared" si="93"/>
        <v>1200</v>
      </c>
      <c r="K1476" t="str">
        <f t="shared" si="92"/>
        <v>18-24</v>
      </c>
      <c r="L1476" t="str">
        <f t="shared" ca="1" si="94"/>
        <v>Safe</v>
      </c>
      <c r="M1476" t="str">
        <f t="shared" si="95"/>
        <v>Aug-2025</v>
      </c>
    </row>
    <row r="1477" spans="1:13" x14ac:dyDescent="0.35">
      <c r="A1477">
        <v>11476</v>
      </c>
      <c r="B1477">
        <v>18</v>
      </c>
      <c r="C1477" t="s">
        <v>9</v>
      </c>
      <c r="D1477" t="s">
        <v>12</v>
      </c>
      <c r="E1477" s="2">
        <v>45920</v>
      </c>
      <c r="F1477" s="2">
        <v>46026</v>
      </c>
      <c r="G1477">
        <v>800</v>
      </c>
      <c r="H1477" t="s">
        <v>14</v>
      </c>
      <c r="I1477" t="s">
        <v>16</v>
      </c>
      <c r="J1477">
        <f t="shared" si="93"/>
        <v>9600</v>
      </c>
      <c r="K1477" t="str">
        <f t="shared" si="92"/>
        <v>18-24</v>
      </c>
      <c r="L1477" t="str">
        <f t="shared" ca="1" si="94"/>
        <v>Safe</v>
      </c>
      <c r="M1477" t="str">
        <f t="shared" si="95"/>
        <v>Sep-2025</v>
      </c>
    </row>
    <row r="1478" spans="1:13" x14ac:dyDescent="0.35">
      <c r="A1478">
        <v>11477</v>
      </c>
      <c r="B1478">
        <v>30</v>
      </c>
      <c r="C1478" t="s">
        <v>9</v>
      </c>
      <c r="D1478" t="s">
        <v>11</v>
      </c>
      <c r="E1478" s="2">
        <v>45169</v>
      </c>
      <c r="F1478" s="2">
        <v>46032</v>
      </c>
      <c r="G1478">
        <v>1200</v>
      </c>
      <c r="H1478" t="s">
        <v>14</v>
      </c>
      <c r="I1478" t="s">
        <v>16</v>
      </c>
      <c r="J1478">
        <f t="shared" si="93"/>
        <v>1200</v>
      </c>
      <c r="K1478" t="str">
        <f t="shared" si="92"/>
        <v>25-34</v>
      </c>
      <c r="L1478" t="str">
        <f t="shared" ca="1" si="94"/>
        <v>Safe</v>
      </c>
      <c r="M1478" t="str">
        <f t="shared" si="95"/>
        <v>Aug-2023</v>
      </c>
    </row>
    <row r="1479" spans="1:13" x14ac:dyDescent="0.35">
      <c r="A1479">
        <v>11478</v>
      </c>
      <c r="B1479">
        <v>40</v>
      </c>
      <c r="C1479" t="s">
        <v>10</v>
      </c>
      <c r="D1479" t="s">
        <v>12</v>
      </c>
      <c r="E1479" s="2">
        <v>45221</v>
      </c>
      <c r="F1479" s="2">
        <v>45960</v>
      </c>
      <c r="G1479">
        <v>800</v>
      </c>
      <c r="H1479" t="s">
        <v>14</v>
      </c>
      <c r="I1479" t="s">
        <v>17</v>
      </c>
      <c r="J1479">
        <f t="shared" si="93"/>
        <v>9600</v>
      </c>
      <c r="K1479" t="str">
        <f t="shared" si="92"/>
        <v>35+</v>
      </c>
      <c r="L1479" t="str">
        <f t="shared" ca="1" si="94"/>
        <v>High Risk</v>
      </c>
      <c r="M1479" t="str">
        <f t="shared" si="95"/>
        <v>Oct-2023</v>
      </c>
    </row>
    <row r="1480" spans="1:13" x14ac:dyDescent="0.35">
      <c r="A1480">
        <v>11479</v>
      </c>
      <c r="B1480">
        <v>36</v>
      </c>
      <c r="C1480" t="s">
        <v>9</v>
      </c>
      <c r="D1480" t="s">
        <v>11</v>
      </c>
      <c r="E1480" s="2">
        <v>45942</v>
      </c>
      <c r="F1480" s="2">
        <v>45981</v>
      </c>
      <c r="G1480">
        <v>1700</v>
      </c>
      <c r="H1480" t="s">
        <v>15</v>
      </c>
      <c r="I1480" t="s">
        <v>17</v>
      </c>
      <c r="J1480">
        <f t="shared" si="93"/>
        <v>1700</v>
      </c>
      <c r="K1480" t="str">
        <f t="shared" si="92"/>
        <v>35+</v>
      </c>
      <c r="L1480" t="str">
        <f t="shared" ca="1" si="94"/>
        <v>High Risk</v>
      </c>
      <c r="M1480" t="str">
        <f t="shared" si="95"/>
        <v>Oct-2025</v>
      </c>
    </row>
    <row r="1481" spans="1:13" x14ac:dyDescent="0.35">
      <c r="A1481">
        <v>11480</v>
      </c>
      <c r="B1481">
        <v>44</v>
      </c>
      <c r="C1481" t="s">
        <v>9</v>
      </c>
      <c r="D1481" t="s">
        <v>11</v>
      </c>
      <c r="E1481" s="2">
        <v>45374</v>
      </c>
      <c r="F1481" s="2">
        <v>46021</v>
      </c>
      <c r="G1481">
        <v>1700</v>
      </c>
      <c r="H1481" t="s">
        <v>15</v>
      </c>
      <c r="I1481" t="s">
        <v>16</v>
      </c>
      <c r="J1481">
        <f t="shared" si="93"/>
        <v>1700</v>
      </c>
      <c r="K1481" t="str">
        <f t="shared" si="92"/>
        <v>35+</v>
      </c>
      <c r="L1481" t="str">
        <f t="shared" ca="1" si="94"/>
        <v>Safe</v>
      </c>
      <c r="M1481" t="str">
        <f t="shared" si="95"/>
        <v>Mar-2024</v>
      </c>
    </row>
    <row r="1482" spans="1:13" x14ac:dyDescent="0.35">
      <c r="A1482">
        <v>11481</v>
      </c>
      <c r="B1482">
        <v>41</v>
      </c>
      <c r="C1482" t="s">
        <v>9</v>
      </c>
      <c r="D1482" t="s">
        <v>13</v>
      </c>
      <c r="E1482" s="2">
        <v>45514</v>
      </c>
      <c r="F1482" s="2">
        <v>45955</v>
      </c>
      <c r="G1482">
        <v>1500</v>
      </c>
      <c r="H1482" t="s">
        <v>15</v>
      </c>
      <c r="I1482" t="s">
        <v>17</v>
      </c>
      <c r="J1482">
        <f t="shared" si="93"/>
        <v>4500</v>
      </c>
      <c r="K1482" t="str">
        <f t="shared" si="92"/>
        <v>35+</v>
      </c>
      <c r="L1482" t="str">
        <f t="shared" ca="1" si="94"/>
        <v>High Risk</v>
      </c>
      <c r="M1482" t="str">
        <f t="shared" si="95"/>
        <v>Aug-2024</v>
      </c>
    </row>
    <row r="1483" spans="1:13" x14ac:dyDescent="0.35">
      <c r="A1483">
        <v>11482</v>
      </c>
      <c r="B1483">
        <v>36</v>
      </c>
      <c r="C1483" t="s">
        <v>9</v>
      </c>
      <c r="D1483" t="s">
        <v>11</v>
      </c>
      <c r="E1483" s="2">
        <v>45533</v>
      </c>
      <c r="F1483" s="2">
        <v>46022</v>
      </c>
      <c r="G1483">
        <v>1200</v>
      </c>
      <c r="H1483" t="s">
        <v>14</v>
      </c>
      <c r="I1483" t="s">
        <v>16</v>
      </c>
      <c r="J1483">
        <f t="shared" si="93"/>
        <v>1200</v>
      </c>
      <c r="K1483" t="str">
        <f t="shared" si="92"/>
        <v>35+</v>
      </c>
      <c r="L1483" t="str">
        <f t="shared" ca="1" si="94"/>
        <v>Safe</v>
      </c>
      <c r="M1483" t="str">
        <f t="shared" si="95"/>
        <v>Aug-2024</v>
      </c>
    </row>
    <row r="1484" spans="1:13" x14ac:dyDescent="0.35">
      <c r="A1484">
        <v>11483</v>
      </c>
      <c r="B1484">
        <v>34</v>
      </c>
      <c r="C1484" t="s">
        <v>10</v>
      </c>
      <c r="D1484" t="s">
        <v>11</v>
      </c>
      <c r="E1484" s="2">
        <v>45676</v>
      </c>
      <c r="F1484" s="2">
        <v>45945</v>
      </c>
      <c r="G1484">
        <v>1200</v>
      </c>
      <c r="H1484" t="s">
        <v>14</v>
      </c>
      <c r="I1484" t="s">
        <v>17</v>
      </c>
      <c r="J1484">
        <f t="shared" si="93"/>
        <v>1200</v>
      </c>
      <c r="K1484" t="str">
        <f t="shared" si="92"/>
        <v>25-34</v>
      </c>
      <c r="L1484" t="str">
        <f t="shared" ca="1" si="94"/>
        <v>High Risk</v>
      </c>
      <c r="M1484" t="str">
        <f t="shared" si="95"/>
        <v>Jan-2025</v>
      </c>
    </row>
    <row r="1485" spans="1:13" x14ac:dyDescent="0.35">
      <c r="A1485">
        <v>11484</v>
      </c>
      <c r="B1485">
        <v>30</v>
      </c>
      <c r="C1485" t="s">
        <v>10</v>
      </c>
      <c r="D1485" t="s">
        <v>11</v>
      </c>
      <c r="E1485" s="2">
        <v>45501</v>
      </c>
      <c r="F1485" s="2">
        <v>46029</v>
      </c>
      <c r="G1485">
        <v>1200</v>
      </c>
      <c r="H1485" t="s">
        <v>14</v>
      </c>
      <c r="I1485" t="s">
        <v>16</v>
      </c>
      <c r="J1485">
        <f t="shared" si="93"/>
        <v>1200</v>
      </c>
      <c r="K1485" t="str">
        <f t="shared" si="92"/>
        <v>25-34</v>
      </c>
      <c r="L1485" t="str">
        <f t="shared" ca="1" si="94"/>
        <v>Safe</v>
      </c>
      <c r="M1485" t="str">
        <f t="shared" si="95"/>
        <v>Jul-2024</v>
      </c>
    </row>
    <row r="1486" spans="1:13" x14ac:dyDescent="0.35">
      <c r="A1486">
        <v>11485</v>
      </c>
      <c r="B1486">
        <v>33</v>
      </c>
      <c r="C1486" t="s">
        <v>9</v>
      </c>
      <c r="D1486" t="s">
        <v>11</v>
      </c>
      <c r="E1486" s="2">
        <v>45454</v>
      </c>
      <c r="F1486" s="2">
        <v>46024</v>
      </c>
      <c r="G1486">
        <v>1200</v>
      </c>
      <c r="H1486" t="s">
        <v>14</v>
      </c>
      <c r="I1486" t="s">
        <v>16</v>
      </c>
      <c r="J1486">
        <f t="shared" si="93"/>
        <v>1200</v>
      </c>
      <c r="K1486" t="str">
        <f t="shared" si="92"/>
        <v>25-34</v>
      </c>
      <c r="L1486" t="str">
        <f t="shared" ca="1" si="94"/>
        <v>Safe</v>
      </c>
      <c r="M1486" t="str">
        <f t="shared" si="95"/>
        <v>Jun-2024</v>
      </c>
    </row>
    <row r="1487" spans="1:13" x14ac:dyDescent="0.35">
      <c r="A1487">
        <v>11486</v>
      </c>
      <c r="B1487">
        <v>25</v>
      </c>
      <c r="C1487" t="s">
        <v>9</v>
      </c>
      <c r="D1487" t="s">
        <v>11</v>
      </c>
      <c r="E1487" s="2">
        <v>45743</v>
      </c>
      <c r="F1487" s="2">
        <v>46020</v>
      </c>
      <c r="G1487">
        <v>1200</v>
      </c>
      <c r="H1487" t="s">
        <v>14</v>
      </c>
      <c r="I1487" t="s">
        <v>16</v>
      </c>
      <c r="J1487">
        <f t="shared" si="93"/>
        <v>1200</v>
      </c>
      <c r="K1487" t="str">
        <f t="shared" si="92"/>
        <v>25-34</v>
      </c>
      <c r="L1487" t="str">
        <f t="shared" ca="1" si="94"/>
        <v>Safe</v>
      </c>
      <c r="M1487" t="str">
        <f t="shared" si="95"/>
        <v>Mar-2025</v>
      </c>
    </row>
    <row r="1488" spans="1:13" x14ac:dyDescent="0.35">
      <c r="A1488">
        <v>11487</v>
      </c>
      <c r="B1488">
        <v>36</v>
      </c>
      <c r="C1488" t="s">
        <v>9</v>
      </c>
      <c r="D1488" t="s">
        <v>11</v>
      </c>
      <c r="E1488" s="2">
        <v>45720</v>
      </c>
      <c r="F1488" s="2">
        <v>46030</v>
      </c>
      <c r="G1488">
        <v>1200</v>
      </c>
      <c r="H1488" t="s">
        <v>14</v>
      </c>
      <c r="I1488" t="s">
        <v>16</v>
      </c>
      <c r="J1488">
        <f t="shared" si="93"/>
        <v>1200</v>
      </c>
      <c r="K1488" t="str">
        <f t="shared" si="92"/>
        <v>35+</v>
      </c>
      <c r="L1488" t="str">
        <f t="shared" ca="1" si="94"/>
        <v>Safe</v>
      </c>
      <c r="M1488" t="str">
        <f t="shared" si="95"/>
        <v>Mar-2025</v>
      </c>
    </row>
    <row r="1489" spans="1:13" x14ac:dyDescent="0.35">
      <c r="A1489">
        <v>11488</v>
      </c>
      <c r="B1489">
        <v>35</v>
      </c>
      <c r="C1489" t="s">
        <v>10</v>
      </c>
      <c r="D1489" t="s">
        <v>11</v>
      </c>
      <c r="E1489" s="2">
        <v>45155</v>
      </c>
      <c r="F1489" s="2">
        <v>45972</v>
      </c>
      <c r="G1489">
        <v>1700</v>
      </c>
      <c r="H1489" t="s">
        <v>15</v>
      </c>
      <c r="I1489" t="s">
        <v>17</v>
      </c>
      <c r="J1489">
        <f t="shared" si="93"/>
        <v>1700</v>
      </c>
      <c r="K1489" t="str">
        <f t="shared" si="92"/>
        <v>35+</v>
      </c>
      <c r="L1489" t="str">
        <f t="shared" ca="1" si="94"/>
        <v>High Risk</v>
      </c>
      <c r="M1489" t="str">
        <f t="shared" si="95"/>
        <v>Aug-2023</v>
      </c>
    </row>
    <row r="1490" spans="1:13" x14ac:dyDescent="0.35">
      <c r="A1490">
        <v>11489</v>
      </c>
      <c r="B1490">
        <v>18</v>
      </c>
      <c r="C1490" t="s">
        <v>9</v>
      </c>
      <c r="D1490" t="s">
        <v>11</v>
      </c>
      <c r="E1490" s="2">
        <v>45451</v>
      </c>
      <c r="F1490" s="2">
        <v>46012</v>
      </c>
      <c r="G1490">
        <v>1200</v>
      </c>
      <c r="H1490" t="s">
        <v>14</v>
      </c>
      <c r="I1490" t="s">
        <v>16</v>
      </c>
      <c r="J1490">
        <f t="shared" si="93"/>
        <v>1200</v>
      </c>
      <c r="K1490" t="str">
        <f t="shared" si="92"/>
        <v>18-24</v>
      </c>
      <c r="L1490" t="str">
        <f t="shared" ca="1" si="94"/>
        <v>Safe</v>
      </c>
      <c r="M1490" t="str">
        <f t="shared" si="95"/>
        <v>Jun-2024</v>
      </c>
    </row>
    <row r="1491" spans="1:13" x14ac:dyDescent="0.35">
      <c r="A1491">
        <v>11490</v>
      </c>
      <c r="B1491">
        <v>31</v>
      </c>
      <c r="C1491" t="s">
        <v>9</v>
      </c>
      <c r="D1491" t="s">
        <v>13</v>
      </c>
      <c r="E1491" s="2">
        <v>45510</v>
      </c>
      <c r="F1491" s="2">
        <v>46015</v>
      </c>
      <c r="G1491">
        <v>1000</v>
      </c>
      <c r="H1491" t="s">
        <v>14</v>
      </c>
      <c r="I1491" t="s">
        <v>16</v>
      </c>
      <c r="J1491">
        <f t="shared" si="93"/>
        <v>3000</v>
      </c>
      <c r="K1491" t="str">
        <f t="shared" si="92"/>
        <v>25-34</v>
      </c>
      <c r="L1491" t="str">
        <f t="shared" ca="1" si="94"/>
        <v>Safe</v>
      </c>
      <c r="M1491" t="str">
        <f t="shared" si="95"/>
        <v>Aug-2024</v>
      </c>
    </row>
    <row r="1492" spans="1:13" x14ac:dyDescent="0.35">
      <c r="A1492">
        <v>11491</v>
      </c>
      <c r="B1492">
        <v>36</v>
      </c>
      <c r="C1492" t="s">
        <v>9</v>
      </c>
      <c r="D1492" t="s">
        <v>11</v>
      </c>
      <c r="E1492" s="2">
        <v>45370</v>
      </c>
      <c r="F1492" s="2">
        <v>46019</v>
      </c>
      <c r="G1492">
        <v>1700</v>
      </c>
      <c r="H1492" t="s">
        <v>15</v>
      </c>
      <c r="I1492" t="s">
        <v>16</v>
      </c>
      <c r="J1492">
        <f t="shared" si="93"/>
        <v>1700</v>
      </c>
      <c r="K1492" t="str">
        <f t="shared" si="92"/>
        <v>35+</v>
      </c>
      <c r="L1492" t="str">
        <f t="shared" ca="1" si="94"/>
        <v>Safe</v>
      </c>
      <c r="M1492" t="str">
        <f t="shared" si="95"/>
        <v>Mar-2024</v>
      </c>
    </row>
    <row r="1493" spans="1:13" x14ac:dyDescent="0.35">
      <c r="A1493">
        <v>11492</v>
      </c>
      <c r="B1493">
        <v>32</v>
      </c>
      <c r="C1493" t="s">
        <v>9</v>
      </c>
      <c r="D1493" t="s">
        <v>12</v>
      </c>
      <c r="E1493" s="2">
        <v>45777</v>
      </c>
      <c r="F1493" s="2">
        <v>46010</v>
      </c>
      <c r="G1493">
        <v>800</v>
      </c>
      <c r="H1493" t="s">
        <v>14</v>
      </c>
      <c r="I1493" t="s">
        <v>16</v>
      </c>
      <c r="J1493">
        <f t="shared" si="93"/>
        <v>9600</v>
      </c>
      <c r="K1493" t="str">
        <f t="shared" si="92"/>
        <v>25-34</v>
      </c>
      <c r="L1493" t="str">
        <f t="shared" ca="1" si="94"/>
        <v>Safe</v>
      </c>
      <c r="M1493" t="str">
        <f t="shared" si="95"/>
        <v>Apr-2025</v>
      </c>
    </row>
    <row r="1494" spans="1:13" x14ac:dyDescent="0.35">
      <c r="A1494">
        <v>11493</v>
      </c>
      <c r="B1494">
        <v>35</v>
      </c>
      <c r="C1494" t="s">
        <v>10</v>
      </c>
      <c r="D1494" t="s">
        <v>12</v>
      </c>
      <c r="E1494" s="2">
        <v>45891</v>
      </c>
      <c r="F1494" s="2">
        <v>46011</v>
      </c>
      <c r="G1494">
        <v>800</v>
      </c>
      <c r="H1494" t="s">
        <v>14</v>
      </c>
      <c r="I1494" t="s">
        <v>16</v>
      </c>
      <c r="J1494">
        <f t="shared" si="93"/>
        <v>9600</v>
      </c>
      <c r="K1494" t="str">
        <f t="shared" si="92"/>
        <v>35+</v>
      </c>
      <c r="L1494" t="str">
        <f t="shared" ca="1" si="94"/>
        <v>Safe</v>
      </c>
      <c r="M1494" t="str">
        <f t="shared" si="95"/>
        <v>Aug-2025</v>
      </c>
    </row>
    <row r="1495" spans="1:13" x14ac:dyDescent="0.35">
      <c r="A1495">
        <v>11494</v>
      </c>
      <c r="B1495">
        <v>19</v>
      </c>
      <c r="C1495" t="s">
        <v>9</v>
      </c>
      <c r="D1495" t="s">
        <v>11</v>
      </c>
      <c r="E1495" s="2">
        <v>45798</v>
      </c>
      <c r="F1495" s="2">
        <v>46016</v>
      </c>
      <c r="G1495">
        <v>1700</v>
      </c>
      <c r="H1495" t="s">
        <v>15</v>
      </c>
      <c r="I1495" t="s">
        <v>16</v>
      </c>
      <c r="J1495">
        <f t="shared" si="93"/>
        <v>1700</v>
      </c>
      <c r="K1495" t="str">
        <f t="shared" si="92"/>
        <v>18-24</v>
      </c>
      <c r="L1495" t="str">
        <f t="shared" ca="1" si="94"/>
        <v>Safe</v>
      </c>
      <c r="M1495" t="str">
        <f t="shared" si="95"/>
        <v>May-2025</v>
      </c>
    </row>
    <row r="1496" spans="1:13" x14ac:dyDescent="0.35">
      <c r="A1496">
        <v>11495</v>
      </c>
      <c r="B1496">
        <v>39</v>
      </c>
      <c r="C1496" t="s">
        <v>9</v>
      </c>
      <c r="D1496" t="s">
        <v>12</v>
      </c>
      <c r="E1496" s="2">
        <v>45727</v>
      </c>
      <c r="F1496" s="2">
        <v>45929</v>
      </c>
      <c r="G1496">
        <v>800</v>
      </c>
      <c r="H1496" t="s">
        <v>14</v>
      </c>
      <c r="I1496" t="s">
        <v>17</v>
      </c>
      <c r="J1496">
        <f t="shared" si="93"/>
        <v>9600</v>
      </c>
      <c r="K1496" t="str">
        <f t="shared" si="92"/>
        <v>35+</v>
      </c>
      <c r="L1496" t="str">
        <f t="shared" ca="1" si="94"/>
        <v>High Risk</v>
      </c>
      <c r="M1496" t="str">
        <f t="shared" si="95"/>
        <v>Mar-2025</v>
      </c>
    </row>
    <row r="1497" spans="1:13" x14ac:dyDescent="0.35">
      <c r="A1497">
        <v>11496</v>
      </c>
      <c r="B1497">
        <v>45</v>
      </c>
      <c r="C1497" t="s">
        <v>9</v>
      </c>
      <c r="D1497" t="s">
        <v>12</v>
      </c>
      <c r="E1497" s="2">
        <v>45920</v>
      </c>
      <c r="F1497" s="2">
        <v>46026</v>
      </c>
      <c r="G1497">
        <v>800</v>
      </c>
      <c r="H1497" t="s">
        <v>14</v>
      </c>
      <c r="I1497" t="s">
        <v>16</v>
      </c>
      <c r="J1497">
        <f t="shared" si="93"/>
        <v>9600</v>
      </c>
      <c r="K1497" t="str">
        <f t="shared" si="92"/>
        <v>35+</v>
      </c>
      <c r="L1497" t="str">
        <f t="shared" ca="1" si="94"/>
        <v>Safe</v>
      </c>
      <c r="M1497" t="str">
        <f t="shared" si="95"/>
        <v>Sep-2025</v>
      </c>
    </row>
    <row r="1498" spans="1:13" x14ac:dyDescent="0.35">
      <c r="A1498">
        <v>11497</v>
      </c>
      <c r="B1498">
        <v>34</v>
      </c>
      <c r="C1498" t="s">
        <v>10</v>
      </c>
      <c r="D1498" t="s">
        <v>12</v>
      </c>
      <c r="E1498" s="2">
        <v>45576</v>
      </c>
      <c r="F1498" s="2">
        <v>46023</v>
      </c>
      <c r="G1498">
        <v>1300</v>
      </c>
      <c r="H1498" t="s">
        <v>15</v>
      </c>
      <c r="I1498" t="s">
        <v>16</v>
      </c>
      <c r="J1498">
        <f t="shared" si="93"/>
        <v>15600</v>
      </c>
      <c r="K1498" t="str">
        <f t="shared" si="92"/>
        <v>25-34</v>
      </c>
      <c r="L1498" t="str">
        <f t="shared" ca="1" si="94"/>
        <v>Safe</v>
      </c>
      <c r="M1498" t="str">
        <f t="shared" si="95"/>
        <v>Oct-2024</v>
      </c>
    </row>
    <row r="1499" spans="1:13" x14ac:dyDescent="0.35">
      <c r="A1499">
        <v>11498</v>
      </c>
      <c r="B1499">
        <v>35</v>
      </c>
      <c r="C1499" t="s">
        <v>9</v>
      </c>
      <c r="D1499" t="s">
        <v>13</v>
      </c>
      <c r="E1499" s="2">
        <v>45324</v>
      </c>
      <c r="F1499" s="2">
        <v>46029</v>
      </c>
      <c r="G1499">
        <v>1000</v>
      </c>
      <c r="H1499" t="s">
        <v>14</v>
      </c>
      <c r="I1499" t="s">
        <v>16</v>
      </c>
      <c r="J1499">
        <f t="shared" si="93"/>
        <v>3000</v>
      </c>
      <c r="K1499" t="str">
        <f t="shared" si="92"/>
        <v>35+</v>
      </c>
      <c r="L1499" t="str">
        <f t="shared" ca="1" si="94"/>
        <v>Safe</v>
      </c>
      <c r="M1499" t="str">
        <f t="shared" si="95"/>
        <v>Feb-2024</v>
      </c>
    </row>
    <row r="1500" spans="1:13" x14ac:dyDescent="0.35">
      <c r="A1500">
        <v>11499</v>
      </c>
      <c r="B1500">
        <v>23</v>
      </c>
      <c r="C1500" t="s">
        <v>9</v>
      </c>
      <c r="D1500" t="s">
        <v>11</v>
      </c>
      <c r="E1500" s="2">
        <v>45706</v>
      </c>
      <c r="F1500" s="2">
        <v>46026</v>
      </c>
      <c r="G1500">
        <v>1700</v>
      </c>
      <c r="H1500" t="s">
        <v>15</v>
      </c>
      <c r="I1500" t="s">
        <v>16</v>
      </c>
      <c r="J1500">
        <f t="shared" si="93"/>
        <v>1700</v>
      </c>
      <c r="K1500" t="str">
        <f t="shared" si="92"/>
        <v>18-24</v>
      </c>
      <c r="L1500" t="str">
        <f t="shared" ca="1" si="94"/>
        <v>Safe</v>
      </c>
      <c r="M1500" t="str">
        <f t="shared" si="95"/>
        <v>Feb-2025</v>
      </c>
    </row>
    <row r="1501" spans="1:13" x14ac:dyDescent="0.35">
      <c r="A1501">
        <v>11500</v>
      </c>
      <c r="B1501">
        <v>36</v>
      </c>
      <c r="C1501" t="s">
        <v>9</v>
      </c>
      <c r="D1501" t="s">
        <v>13</v>
      </c>
      <c r="E1501" s="2">
        <v>45673</v>
      </c>
      <c r="F1501" s="2">
        <v>46009</v>
      </c>
      <c r="G1501">
        <v>1000</v>
      </c>
      <c r="H1501" t="s">
        <v>14</v>
      </c>
      <c r="I1501" t="s">
        <v>16</v>
      </c>
      <c r="J1501">
        <f t="shared" si="93"/>
        <v>3000</v>
      </c>
      <c r="K1501" t="str">
        <f t="shared" si="92"/>
        <v>35+</v>
      </c>
      <c r="L1501" t="str">
        <f t="shared" ca="1" si="94"/>
        <v>Safe</v>
      </c>
      <c r="M1501" t="str">
        <f t="shared" si="95"/>
        <v>Jan-2025</v>
      </c>
    </row>
    <row r="1502" spans="1:13" x14ac:dyDescent="0.35">
      <c r="A1502">
        <v>11501</v>
      </c>
      <c r="B1502">
        <v>21</v>
      </c>
      <c r="C1502" t="s">
        <v>10</v>
      </c>
      <c r="D1502" t="s">
        <v>13</v>
      </c>
      <c r="E1502" s="2">
        <v>45560</v>
      </c>
      <c r="F1502" s="2">
        <v>46026</v>
      </c>
      <c r="G1502">
        <v>1500</v>
      </c>
      <c r="H1502" t="s">
        <v>15</v>
      </c>
      <c r="I1502" t="s">
        <v>16</v>
      </c>
      <c r="J1502">
        <f t="shared" si="93"/>
        <v>4500</v>
      </c>
      <c r="K1502" t="str">
        <f t="shared" si="92"/>
        <v>18-24</v>
      </c>
      <c r="L1502" t="str">
        <f t="shared" ca="1" si="94"/>
        <v>Safe</v>
      </c>
      <c r="M1502" t="str">
        <f t="shared" si="95"/>
        <v>Sep-2024</v>
      </c>
    </row>
    <row r="1503" spans="1:13" x14ac:dyDescent="0.35">
      <c r="A1503">
        <v>11502</v>
      </c>
      <c r="B1503">
        <v>18</v>
      </c>
      <c r="C1503" t="s">
        <v>9</v>
      </c>
      <c r="D1503" t="s">
        <v>13</v>
      </c>
      <c r="E1503" s="2">
        <v>45204</v>
      </c>
      <c r="F1503" s="2">
        <v>45931</v>
      </c>
      <c r="G1503">
        <v>1000</v>
      </c>
      <c r="H1503" t="s">
        <v>14</v>
      </c>
      <c r="I1503" t="s">
        <v>17</v>
      </c>
      <c r="J1503">
        <f t="shared" si="93"/>
        <v>3000</v>
      </c>
      <c r="K1503" t="str">
        <f t="shared" si="92"/>
        <v>18-24</v>
      </c>
      <c r="L1503" t="str">
        <f t="shared" ca="1" si="94"/>
        <v>High Risk</v>
      </c>
      <c r="M1503" t="str">
        <f t="shared" si="95"/>
        <v>Oct-2023</v>
      </c>
    </row>
    <row r="1504" spans="1:13" x14ac:dyDescent="0.35">
      <c r="A1504">
        <v>11503</v>
      </c>
      <c r="B1504">
        <v>25</v>
      </c>
      <c r="C1504" t="s">
        <v>9</v>
      </c>
      <c r="D1504" t="s">
        <v>11</v>
      </c>
      <c r="E1504" s="2">
        <v>45593</v>
      </c>
      <c r="F1504" s="2">
        <v>46031</v>
      </c>
      <c r="G1504">
        <v>1200</v>
      </c>
      <c r="H1504" t="s">
        <v>14</v>
      </c>
      <c r="I1504" t="s">
        <v>16</v>
      </c>
      <c r="J1504">
        <f t="shared" si="93"/>
        <v>1200</v>
      </c>
      <c r="K1504" t="str">
        <f t="shared" si="92"/>
        <v>25-34</v>
      </c>
      <c r="L1504" t="str">
        <f t="shared" ca="1" si="94"/>
        <v>Safe</v>
      </c>
      <c r="M1504" t="str">
        <f t="shared" si="95"/>
        <v>Oct-2024</v>
      </c>
    </row>
    <row r="1505" spans="1:13" x14ac:dyDescent="0.35">
      <c r="A1505">
        <v>11504</v>
      </c>
      <c r="B1505">
        <v>40</v>
      </c>
      <c r="C1505" t="s">
        <v>9</v>
      </c>
      <c r="D1505" t="s">
        <v>12</v>
      </c>
      <c r="E1505" s="2">
        <v>45952</v>
      </c>
      <c r="F1505" s="2">
        <v>46017</v>
      </c>
      <c r="G1505">
        <v>1300</v>
      </c>
      <c r="H1505" t="s">
        <v>15</v>
      </c>
      <c r="I1505" t="s">
        <v>16</v>
      </c>
      <c r="J1505">
        <f t="shared" si="93"/>
        <v>15600</v>
      </c>
      <c r="K1505" t="str">
        <f t="shared" si="92"/>
        <v>35+</v>
      </c>
      <c r="L1505" t="str">
        <f t="shared" ca="1" si="94"/>
        <v>Safe</v>
      </c>
      <c r="M1505" t="str">
        <f t="shared" si="95"/>
        <v>Oct-2025</v>
      </c>
    </row>
    <row r="1506" spans="1:13" x14ac:dyDescent="0.35">
      <c r="A1506">
        <v>11505</v>
      </c>
      <c r="B1506">
        <v>24</v>
      </c>
      <c r="C1506" t="s">
        <v>10</v>
      </c>
      <c r="D1506" t="s">
        <v>12</v>
      </c>
      <c r="E1506" s="2">
        <v>45699</v>
      </c>
      <c r="F1506" s="2">
        <v>46032</v>
      </c>
      <c r="G1506">
        <v>800</v>
      </c>
      <c r="H1506" t="s">
        <v>14</v>
      </c>
      <c r="I1506" t="s">
        <v>16</v>
      </c>
      <c r="J1506">
        <f t="shared" si="93"/>
        <v>9600</v>
      </c>
      <c r="K1506" t="str">
        <f t="shared" si="92"/>
        <v>18-24</v>
      </c>
      <c r="L1506" t="str">
        <f t="shared" ca="1" si="94"/>
        <v>Safe</v>
      </c>
      <c r="M1506" t="str">
        <f t="shared" si="95"/>
        <v>Feb-2025</v>
      </c>
    </row>
    <row r="1507" spans="1:13" x14ac:dyDescent="0.35">
      <c r="A1507">
        <v>11506</v>
      </c>
      <c r="B1507">
        <v>20</v>
      </c>
      <c r="C1507" t="s">
        <v>9</v>
      </c>
      <c r="D1507" t="s">
        <v>11</v>
      </c>
      <c r="E1507" s="2">
        <v>45363</v>
      </c>
      <c r="F1507" s="2">
        <v>46031</v>
      </c>
      <c r="G1507">
        <v>1200</v>
      </c>
      <c r="H1507" t="s">
        <v>14</v>
      </c>
      <c r="I1507" t="s">
        <v>16</v>
      </c>
      <c r="J1507">
        <f t="shared" si="93"/>
        <v>1200</v>
      </c>
      <c r="K1507" t="str">
        <f t="shared" si="92"/>
        <v>18-24</v>
      </c>
      <c r="L1507" t="str">
        <f t="shared" ca="1" si="94"/>
        <v>Safe</v>
      </c>
      <c r="M1507" t="str">
        <f t="shared" si="95"/>
        <v>Mar-2024</v>
      </c>
    </row>
    <row r="1508" spans="1:13" x14ac:dyDescent="0.35">
      <c r="A1508">
        <v>11507</v>
      </c>
      <c r="B1508">
        <v>27</v>
      </c>
      <c r="C1508" t="s">
        <v>10</v>
      </c>
      <c r="D1508" t="s">
        <v>11</v>
      </c>
      <c r="E1508" s="2">
        <v>45691</v>
      </c>
      <c r="F1508" s="2">
        <v>46030</v>
      </c>
      <c r="G1508">
        <v>1200</v>
      </c>
      <c r="H1508" t="s">
        <v>14</v>
      </c>
      <c r="I1508" t="s">
        <v>16</v>
      </c>
      <c r="J1508">
        <f t="shared" si="93"/>
        <v>1200</v>
      </c>
      <c r="K1508" t="str">
        <f t="shared" si="92"/>
        <v>25-34</v>
      </c>
      <c r="L1508" t="str">
        <f t="shared" ca="1" si="94"/>
        <v>Safe</v>
      </c>
      <c r="M1508" t="str">
        <f t="shared" si="95"/>
        <v>Feb-2025</v>
      </c>
    </row>
    <row r="1509" spans="1:13" x14ac:dyDescent="0.35">
      <c r="A1509">
        <v>11508</v>
      </c>
      <c r="B1509">
        <v>27</v>
      </c>
      <c r="C1509" t="s">
        <v>9</v>
      </c>
      <c r="D1509" t="s">
        <v>11</v>
      </c>
      <c r="E1509" s="2">
        <v>45148</v>
      </c>
      <c r="F1509" s="2">
        <v>45922</v>
      </c>
      <c r="G1509">
        <v>1200</v>
      </c>
      <c r="H1509" t="s">
        <v>14</v>
      </c>
      <c r="I1509" t="s">
        <v>17</v>
      </c>
      <c r="J1509">
        <f t="shared" si="93"/>
        <v>1200</v>
      </c>
      <c r="K1509" t="str">
        <f t="shared" si="92"/>
        <v>25-34</v>
      </c>
      <c r="L1509" t="str">
        <f t="shared" ca="1" si="94"/>
        <v>High Risk</v>
      </c>
      <c r="M1509" t="str">
        <f t="shared" si="95"/>
        <v>Aug-2023</v>
      </c>
    </row>
    <row r="1510" spans="1:13" x14ac:dyDescent="0.35">
      <c r="A1510">
        <v>11509</v>
      </c>
      <c r="B1510">
        <v>36</v>
      </c>
      <c r="C1510" t="s">
        <v>9</v>
      </c>
      <c r="D1510" t="s">
        <v>12</v>
      </c>
      <c r="E1510" s="2">
        <v>45568</v>
      </c>
      <c r="F1510" s="2">
        <v>46026</v>
      </c>
      <c r="G1510">
        <v>800</v>
      </c>
      <c r="H1510" t="s">
        <v>14</v>
      </c>
      <c r="I1510" t="s">
        <v>16</v>
      </c>
      <c r="J1510">
        <f t="shared" si="93"/>
        <v>9600</v>
      </c>
      <c r="K1510" t="str">
        <f t="shared" si="92"/>
        <v>35+</v>
      </c>
      <c r="L1510" t="str">
        <f t="shared" ca="1" si="94"/>
        <v>Safe</v>
      </c>
      <c r="M1510" t="str">
        <f t="shared" si="95"/>
        <v>Oct-2024</v>
      </c>
    </row>
    <row r="1511" spans="1:13" x14ac:dyDescent="0.35">
      <c r="A1511">
        <v>11510</v>
      </c>
      <c r="B1511">
        <v>31</v>
      </c>
      <c r="C1511" t="s">
        <v>9</v>
      </c>
      <c r="D1511" t="s">
        <v>13</v>
      </c>
      <c r="E1511" s="2">
        <v>45138</v>
      </c>
      <c r="F1511" s="2">
        <v>46025</v>
      </c>
      <c r="G1511">
        <v>1500</v>
      </c>
      <c r="H1511" t="s">
        <v>15</v>
      </c>
      <c r="I1511" t="s">
        <v>16</v>
      </c>
      <c r="J1511">
        <f t="shared" si="93"/>
        <v>4500</v>
      </c>
      <c r="K1511" t="str">
        <f t="shared" si="92"/>
        <v>25-34</v>
      </c>
      <c r="L1511" t="str">
        <f t="shared" ca="1" si="94"/>
        <v>Safe</v>
      </c>
      <c r="M1511" t="str">
        <f t="shared" si="95"/>
        <v>Jul-2023</v>
      </c>
    </row>
    <row r="1512" spans="1:13" x14ac:dyDescent="0.35">
      <c r="A1512">
        <v>11511</v>
      </c>
      <c r="B1512">
        <v>19</v>
      </c>
      <c r="C1512" t="s">
        <v>10</v>
      </c>
      <c r="D1512" t="s">
        <v>13</v>
      </c>
      <c r="E1512" s="2">
        <v>45599</v>
      </c>
      <c r="F1512" s="2">
        <v>46024</v>
      </c>
      <c r="G1512">
        <v>1500</v>
      </c>
      <c r="H1512" t="s">
        <v>15</v>
      </c>
      <c r="I1512" t="s">
        <v>16</v>
      </c>
      <c r="J1512">
        <f t="shared" si="93"/>
        <v>4500</v>
      </c>
      <c r="K1512" t="str">
        <f t="shared" si="92"/>
        <v>18-24</v>
      </c>
      <c r="L1512" t="str">
        <f t="shared" ca="1" si="94"/>
        <v>Safe</v>
      </c>
      <c r="M1512" t="str">
        <f t="shared" si="95"/>
        <v>Nov-2024</v>
      </c>
    </row>
    <row r="1513" spans="1:13" x14ac:dyDescent="0.35">
      <c r="A1513">
        <v>11512</v>
      </c>
      <c r="B1513">
        <v>45</v>
      </c>
      <c r="C1513" t="s">
        <v>9</v>
      </c>
      <c r="D1513" t="s">
        <v>11</v>
      </c>
      <c r="E1513" s="2">
        <v>45462</v>
      </c>
      <c r="F1513" s="2">
        <v>46024</v>
      </c>
      <c r="G1513">
        <v>1200</v>
      </c>
      <c r="H1513" t="s">
        <v>14</v>
      </c>
      <c r="I1513" t="s">
        <v>16</v>
      </c>
      <c r="J1513">
        <f t="shared" si="93"/>
        <v>1200</v>
      </c>
      <c r="K1513" t="str">
        <f t="shared" si="92"/>
        <v>35+</v>
      </c>
      <c r="L1513" t="str">
        <f t="shared" ca="1" si="94"/>
        <v>Safe</v>
      </c>
      <c r="M1513" t="str">
        <f t="shared" si="95"/>
        <v>Jun-2024</v>
      </c>
    </row>
    <row r="1514" spans="1:13" x14ac:dyDescent="0.35">
      <c r="A1514">
        <v>11513</v>
      </c>
      <c r="B1514">
        <v>18</v>
      </c>
      <c r="C1514" t="s">
        <v>10</v>
      </c>
      <c r="D1514" t="s">
        <v>13</v>
      </c>
      <c r="E1514" s="2">
        <v>45895</v>
      </c>
      <c r="F1514" s="2">
        <v>46013</v>
      </c>
      <c r="G1514">
        <v>1000</v>
      </c>
      <c r="H1514" t="s">
        <v>14</v>
      </c>
      <c r="I1514" t="s">
        <v>16</v>
      </c>
      <c r="J1514">
        <f t="shared" si="93"/>
        <v>3000</v>
      </c>
      <c r="K1514" t="str">
        <f t="shared" si="92"/>
        <v>18-24</v>
      </c>
      <c r="L1514" t="str">
        <f t="shared" ca="1" si="94"/>
        <v>Safe</v>
      </c>
      <c r="M1514" t="str">
        <f t="shared" si="95"/>
        <v>Aug-2025</v>
      </c>
    </row>
    <row r="1515" spans="1:13" x14ac:dyDescent="0.35">
      <c r="A1515">
        <v>11514</v>
      </c>
      <c r="B1515">
        <v>40</v>
      </c>
      <c r="C1515" t="s">
        <v>10</v>
      </c>
      <c r="D1515" t="s">
        <v>11</v>
      </c>
      <c r="E1515" s="2">
        <v>45449</v>
      </c>
      <c r="F1515" s="2">
        <v>46024</v>
      </c>
      <c r="G1515">
        <v>1200</v>
      </c>
      <c r="H1515" t="s">
        <v>14</v>
      </c>
      <c r="I1515" t="s">
        <v>16</v>
      </c>
      <c r="J1515">
        <f t="shared" si="93"/>
        <v>1200</v>
      </c>
      <c r="K1515" t="str">
        <f t="shared" si="92"/>
        <v>35+</v>
      </c>
      <c r="L1515" t="str">
        <f t="shared" ca="1" si="94"/>
        <v>Safe</v>
      </c>
      <c r="M1515" t="str">
        <f t="shared" si="95"/>
        <v>Jun-2024</v>
      </c>
    </row>
    <row r="1516" spans="1:13" x14ac:dyDescent="0.35">
      <c r="A1516">
        <v>11515</v>
      </c>
      <c r="B1516">
        <v>40</v>
      </c>
      <c r="C1516" t="s">
        <v>9</v>
      </c>
      <c r="D1516" t="s">
        <v>13</v>
      </c>
      <c r="E1516" s="2">
        <v>45218</v>
      </c>
      <c r="F1516" s="2">
        <v>46013</v>
      </c>
      <c r="G1516">
        <v>1000</v>
      </c>
      <c r="H1516" t="s">
        <v>14</v>
      </c>
      <c r="I1516" t="s">
        <v>16</v>
      </c>
      <c r="J1516">
        <f t="shared" si="93"/>
        <v>3000</v>
      </c>
      <c r="K1516" t="str">
        <f t="shared" si="92"/>
        <v>35+</v>
      </c>
      <c r="L1516" t="str">
        <f t="shared" ca="1" si="94"/>
        <v>Safe</v>
      </c>
      <c r="M1516" t="str">
        <f t="shared" si="95"/>
        <v>Oct-2023</v>
      </c>
    </row>
    <row r="1517" spans="1:13" x14ac:dyDescent="0.35">
      <c r="A1517">
        <v>11516</v>
      </c>
      <c r="B1517">
        <v>45</v>
      </c>
      <c r="C1517" t="s">
        <v>10</v>
      </c>
      <c r="D1517" t="s">
        <v>12</v>
      </c>
      <c r="E1517" s="2">
        <v>45820</v>
      </c>
      <c r="F1517" s="2">
        <v>46031</v>
      </c>
      <c r="G1517">
        <v>800</v>
      </c>
      <c r="H1517" t="s">
        <v>14</v>
      </c>
      <c r="I1517" t="s">
        <v>16</v>
      </c>
      <c r="J1517">
        <f t="shared" si="93"/>
        <v>9600</v>
      </c>
      <c r="K1517" t="str">
        <f t="shared" si="92"/>
        <v>35+</v>
      </c>
      <c r="L1517" t="str">
        <f t="shared" ca="1" si="94"/>
        <v>Safe</v>
      </c>
      <c r="M1517" t="str">
        <f t="shared" si="95"/>
        <v>Jun-2025</v>
      </c>
    </row>
    <row r="1518" spans="1:13" x14ac:dyDescent="0.35">
      <c r="A1518">
        <v>11517</v>
      </c>
      <c r="B1518">
        <v>35</v>
      </c>
      <c r="C1518" t="s">
        <v>10</v>
      </c>
      <c r="D1518" t="s">
        <v>12</v>
      </c>
      <c r="E1518" s="2">
        <v>45343</v>
      </c>
      <c r="F1518" s="2">
        <v>45913</v>
      </c>
      <c r="G1518">
        <v>800</v>
      </c>
      <c r="H1518" t="s">
        <v>14</v>
      </c>
      <c r="I1518" t="s">
        <v>17</v>
      </c>
      <c r="J1518">
        <f t="shared" si="93"/>
        <v>9600</v>
      </c>
      <c r="K1518" t="str">
        <f t="shared" si="92"/>
        <v>35+</v>
      </c>
      <c r="L1518" t="str">
        <f t="shared" ca="1" si="94"/>
        <v>High Risk</v>
      </c>
      <c r="M1518" t="str">
        <f t="shared" si="95"/>
        <v>Feb-2024</v>
      </c>
    </row>
    <row r="1519" spans="1:13" x14ac:dyDescent="0.35">
      <c r="A1519">
        <v>11518</v>
      </c>
      <c r="B1519">
        <v>24</v>
      </c>
      <c r="C1519" t="s">
        <v>9</v>
      </c>
      <c r="D1519" t="s">
        <v>12</v>
      </c>
      <c r="E1519" s="2">
        <v>45527</v>
      </c>
      <c r="F1519" s="2">
        <v>46021</v>
      </c>
      <c r="G1519">
        <v>1300</v>
      </c>
      <c r="H1519" t="s">
        <v>15</v>
      </c>
      <c r="I1519" t="s">
        <v>16</v>
      </c>
      <c r="J1519">
        <f t="shared" si="93"/>
        <v>15600</v>
      </c>
      <c r="K1519" t="str">
        <f t="shared" si="92"/>
        <v>18-24</v>
      </c>
      <c r="L1519" t="str">
        <f t="shared" ca="1" si="94"/>
        <v>Safe</v>
      </c>
      <c r="M1519" t="str">
        <f t="shared" si="95"/>
        <v>Aug-2024</v>
      </c>
    </row>
    <row r="1520" spans="1:13" x14ac:dyDescent="0.35">
      <c r="A1520">
        <v>11519</v>
      </c>
      <c r="B1520">
        <v>25</v>
      </c>
      <c r="C1520" t="s">
        <v>9</v>
      </c>
      <c r="D1520" t="s">
        <v>12</v>
      </c>
      <c r="E1520" s="2">
        <v>45250</v>
      </c>
      <c r="F1520" s="2">
        <v>45931</v>
      </c>
      <c r="G1520">
        <v>1300</v>
      </c>
      <c r="H1520" t="s">
        <v>15</v>
      </c>
      <c r="I1520" t="s">
        <v>17</v>
      </c>
      <c r="J1520">
        <f t="shared" si="93"/>
        <v>15600</v>
      </c>
      <c r="K1520" t="str">
        <f t="shared" si="92"/>
        <v>25-34</v>
      </c>
      <c r="L1520" t="str">
        <f t="shared" ca="1" si="94"/>
        <v>High Risk</v>
      </c>
      <c r="M1520" t="str">
        <f t="shared" si="95"/>
        <v>Nov-2023</v>
      </c>
    </row>
    <row r="1521" spans="1:13" x14ac:dyDescent="0.35">
      <c r="A1521">
        <v>11520</v>
      </c>
      <c r="B1521">
        <v>18</v>
      </c>
      <c r="C1521" t="s">
        <v>10</v>
      </c>
      <c r="D1521" t="s">
        <v>11</v>
      </c>
      <c r="E1521" s="2">
        <v>45867</v>
      </c>
      <c r="F1521" s="2">
        <v>46019</v>
      </c>
      <c r="G1521">
        <v>1200</v>
      </c>
      <c r="H1521" t="s">
        <v>14</v>
      </c>
      <c r="I1521" t="s">
        <v>16</v>
      </c>
      <c r="J1521">
        <f t="shared" si="93"/>
        <v>1200</v>
      </c>
      <c r="K1521" t="str">
        <f t="shared" si="92"/>
        <v>18-24</v>
      </c>
      <c r="L1521" t="str">
        <f t="shared" ca="1" si="94"/>
        <v>Safe</v>
      </c>
      <c r="M1521" t="str">
        <f t="shared" si="95"/>
        <v>Jul-2025</v>
      </c>
    </row>
    <row r="1522" spans="1:13" x14ac:dyDescent="0.35">
      <c r="A1522">
        <v>11521</v>
      </c>
      <c r="B1522">
        <v>42</v>
      </c>
      <c r="C1522" t="s">
        <v>9</v>
      </c>
      <c r="D1522" t="s">
        <v>13</v>
      </c>
      <c r="E1522" s="2">
        <v>45280</v>
      </c>
      <c r="F1522" s="2">
        <v>46019</v>
      </c>
      <c r="G1522">
        <v>1000</v>
      </c>
      <c r="H1522" t="s">
        <v>14</v>
      </c>
      <c r="I1522" t="s">
        <v>16</v>
      </c>
      <c r="J1522">
        <f t="shared" si="93"/>
        <v>3000</v>
      </c>
      <c r="K1522" t="str">
        <f t="shared" si="92"/>
        <v>35+</v>
      </c>
      <c r="L1522" t="str">
        <f t="shared" ca="1" si="94"/>
        <v>Safe</v>
      </c>
      <c r="M1522" t="str">
        <f t="shared" si="95"/>
        <v>Dec-2023</v>
      </c>
    </row>
    <row r="1523" spans="1:13" x14ac:dyDescent="0.35">
      <c r="A1523">
        <v>11522</v>
      </c>
      <c r="B1523">
        <v>40</v>
      </c>
      <c r="C1523" t="s">
        <v>10</v>
      </c>
      <c r="D1523" t="s">
        <v>13</v>
      </c>
      <c r="E1523" s="2">
        <v>45504</v>
      </c>
      <c r="F1523" s="2">
        <v>46019</v>
      </c>
      <c r="G1523">
        <v>1000</v>
      </c>
      <c r="H1523" t="s">
        <v>14</v>
      </c>
      <c r="I1523" t="s">
        <v>16</v>
      </c>
      <c r="J1523">
        <f t="shared" si="93"/>
        <v>3000</v>
      </c>
      <c r="K1523" t="str">
        <f t="shared" si="92"/>
        <v>35+</v>
      </c>
      <c r="L1523" t="str">
        <f t="shared" ca="1" si="94"/>
        <v>Safe</v>
      </c>
      <c r="M1523" t="str">
        <f t="shared" si="95"/>
        <v>Jul-2024</v>
      </c>
    </row>
    <row r="1524" spans="1:13" x14ac:dyDescent="0.35">
      <c r="A1524">
        <v>11523</v>
      </c>
      <c r="B1524">
        <v>20</v>
      </c>
      <c r="C1524" t="s">
        <v>10</v>
      </c>
      <c r="D1524" t="s">
        <v>12</v>
      </c>
      <c r="E1524" s="2">
        <v>45982</v>
      </c>
      <c r="F1524" s="2">
        <v>46021</v>
      </c>
      <c r="G1524">
        <v>1300</v>
      </c>
      <c r="H1524" t="s">
        <v>15</v>
      </c>
      <c r="I1524" t="s">
        <v>16</v>
      </c>
      <c r="J1524">
        <f t="shared" si="93"/>
        <v>15600</v>
      </c>
      <c r="K1524" t="str">
        <f t="shared" si="92"/>
        <v>18-24</v>
      </c>
      <c r="L1524" t="str">
        <f t="shared" ca="1" si="94"/>
        <v>Safe</v>
      </c>
      <c r="M1524" t="str">
        <f t="shared" si="95"/>
        <v>Nov-2025</v>
      </c>
    </row>
    <row r="1525" spans="1:13" x14ac:dyDescent="0.35">
      <c r="A1525">
        <v>11524</v>
      </c>
      <c r="B1525">
        <v>41</v>
      </c>
      <c r="C1525" t="s">
        <v>9</v>
      </c>
      <c r="D1525" t="s">
        <v>11</v>
      </c>
      <c r="E1525" s="2">
        <v>45460</v>
      </c>
      <c r="F1525" s="2">
        <v>46020</v>
      </c>
      <c r="G1525">
        <v>1200</v>
      </c>
      <c r="H1525" t="s">
        <v>14</v>
      </c>
      <c r="I1525" t="s">
        <v>16</v>
      </c>
      <c r="J1525">
        <f t="shared" si="93"/>
        <v>1200</v>
      </c>
      <c r="K1525" t="str">
        <f t="shared" si="92"/>
        <v>35+</v>
      </c>
      <c r="L1525" t="str">
        <f t="shared" ca="1" si="94"/>
        <v>Safe</v>
      </c>
      <c r="M1525" t="str">
        <f t="shared" si="95"/>
        <v>Jun-2024</v>
      </c>
    </row>
    <row r="1526" spans="1:13" x14ac:dyDescent="0.35">
      <c r="A1526">
        <v>11525</v>
      </c>
      <c r="B1526">
        <v>40</v>
      </c>
      <c r="C1526" t="s">
        <v>9</v>
      </c>
      <c r="D1526" t="s">
        <v>11</v>
      </c>
      <c r="E1526" s="2">
        <v>45930</v>
      </c>
      <c r="F1526" s="2">
        <v>46008</v>
      </c>
      <c r="G1526">
        <v>1200</v>
      </c>
      <c r="H1526" t="s">
        <v>14</v>
      </c>
      <c r="I1526" t="s">
        <v>16</v>
      </c>
      <c r="J1526">
        <f t="shared" si="93"/>
        <v>1200</v>
      </c>
      <c r="K1526" t="str">
        <f t="shared" si="92"/>
        <v>35+</v>
      </c>
      <c r="L1526" t="str">
        <f t="shared" ca="1" si="94"/>
        <v>Safe</v>
      </c>
      <c r="M1526" t="str">
        <f t="shared" si="95"/>
        <v>Sep-2025</v>
      </c>
    </row>
    <row r="1527" spans="1:13" x14ac:dyDescent="0.35">
      <c r="A1527">
        <v>11526</v>
      </c>
      <c r="B1527">
        <v>44</v>
      </c>
      <c r="C1527" t="s">
        <v>9</v>
      </c>
      <c r="D1527" t="s">
        <v>11</v>
      </c>
      <c r="E1527" s="2">
        <v>45635</v>
      </c>
      <c r="F1527" s="2">
        <v>46018</v>
      </c>
      <c r="G1527">
        <v>1700</v>
      </c>
      <c r="H1527" t="s">
        <v>15</v>
      </c>
      <c r="I1527" t="s">
        <v>16</v>
      </c>
      <c r="J1527">
        <f t="shared" si="93"/>
        <v>1700</v>
      </c>
      <c r="K1527" t="str">
        <f t="shared" si="92"/>
        <v>35+</v>
      </c>
      <c r="L1527" t="str">
        <f t="shared" ca="1" si="94"/>
        <v>Safe</v>
      </c>
      <c r="M1527" t="str">
        <f t="shared" si="95"/>
        <v>Dec-2024</v>
      </c>
    </row>
    <row r="1528" spans="1:13" x14ac:dyDescent="0.35">
      <c r="A1528">
        <v>11527</v>
      </c>
      <c r="B1528">
        <v>25</v>
      </c>
      <c r="C1528" t="s">
        <v>9</v>
      </c>
      <c r="D1528" t="s">
        <v>13</v>
      </c>
      <c r="E1528" s="2">
        <v>45190</v>
      </c>
      <c r="F1528" s="2">
        <v>45928</v>
      </c>
      <c r="G1528">
        <v>1000</v>
      </c>
      <c r="H1528" t="s">
        <v>14</v>
      </c>
      <c r="I1528" t="s">
        <v>17</v>
      </c>
      <c r="J1528">
        <f t="shared" si="93"/>
        <v>3000</v>
      </c>
      <c r="K1528" t="str">
        <f t="shared" si="92"/>
        <v>25-34</v>
      </c>
      <c r="L1528" t="str">
        <f t="shared" ca="1" si="94"/>
        <v>High Risk</v>
      </c>
      <c r="M1528" t="str">
        <f t="shared" si="95"/>
        <v>Sep-2023</v>
      </c>
    </row>
    <row r="1529" spans="1:13" x14ac:dyDescent="0.35">
      <c r="A1529">
        <v>11528</v>
      </c>
      <c r="B1529">
        <v>39</v>
      </c>
      <c r="C1529" t="s">
        <v>9</v>
      </c>
      <c r="D1529" t="s">
        <v>11</v>
      </c>
      <c r="E1529" s="2">
        <v>45293</v>
      </c>
      <c r="F1529" s="2">
        <v>45964</v>
      </c>
      <c r="G1529">
        <v>1200</v>
      </c>
      <c r="H1529" t="s">
        <v>14</v>
      </c>
      <c r="I1529" t="s">
        <v>17</v>
      </c>
      <c r="J1529">
        <f t="shared" si="93"/>
        <v>1200</v>
      </c>
      <c r="K1529" t="str">
        <f t="shared" si="92"/>
        <v>35+</v>
      </c>
      <c r="L1529" t="str">
        <f t="shared" ca="1" si="94"/>
        <v>High Risk</v>
      </c>
      <c r="M1529" t="str">
        <f t="shared" si="95"/>
        <v>Jan-2024</v>
      </c>
    </row>
    <row r="1530" spans="1:13" x14ac:dyDescent="0.35">
      <c r="A1530">
        <v>11529</v>
      </c>
      <c r="B1530">
        <v>42</v>
      </c>
      <c r="C1530" t="s">
        <v>9</v>
      </c>
      <c r="D1530" t="s">
        <v>11</v>
      </c>
      <c r="E1530" s="2">
        <v>45795</v>
      </c>
      <c r="F1530" s="2">
        <v>45929</v>
      </c>
      <c r="G1530">
        <v>1200</v>
      </c>
      <c r="H1530" t="s">
        <v>14</v>
      </c>
      <c r="I1530" t="s">
        <v>17</v>
      </c>
      <c r="J1530">
        <f t="shared" si="93"/>
        <v>1200</v>
      </c>
      <c r="K1530" t="str">
        <f t="shared" si="92"/>
        <v>35+</v>
      </c>
      <c r="L1530" t="str">
        <f t="shared" ca="1" si="94"/>
        <v>High Risk</v>
      </c>
      <c r="M1530" t="str">
        <f t="shared" si="95"/>
        <v>May-2025</v>
      </c>
    </row>
    <row r="1531" spans="1:13" x14ac:dyDescent="0.35">
      <c r="A1531">
        <v>11530</v>
      </c>
      <c r="B1531">
        <v>32</v>
      </c>
      <c r="C1531" t="s">
        <v>9</v>
      </c>
      <c r="D1531" t="s">
        <v>11</v>
      </c>
      <c r="E1531" s="2">
        <v>45625</v>
      </c>
      <c r="F1531" s="2">
        <v>46028</v>
      </c>
      <c r="G1531">
        <v>1200</v>
      </c>
      <c r="H1531" t="s">
        <v>14</v>
      </c>
      <c r="I1531" t="s">
        <v>16</v>
      </c>
      <c r="J1531">
        <f t="shared" si="93"/>
        <v>1200</v>
      </c>
      <c r="K1531" t="str">
        <f t="shared" si="92"/>
        <v>25-34</v>
      </c>
      <c r="L1531" t="str">
        <f t="shared" ca="1" si="94"/>
        <v>Safe</v>
      </c>
      <c r="M1531" t="str">
        <f t="shared" si="95"/>
        <v>Nov-2024</v>
      </c>
    </row>
    <row r="1532" spans="1:13" x14ac:dyDescent="0.35">
      <c r="A1532">
        <v>11531</v>
      </c>
      <c r="B1532">
        <v>22</v>
      </c>
      <c r="C1532" t="s">
        <v>10</v>
      </c>
      <c r="D1532" t="s">
        <v>11</v>
      </c>
      <c r="E1532" s="2">
        <v>45638</v>
      </c>
      <c r="F1532" s="2">
        <v>46032</v>
      </c>
      <c r="G1532">
        <v>1200</v>
      </c>
      <c r="H1532" t="s">
        <v>14</v>
      </c>
      <c r="I1532" t="s">
        <v>16</v>
      </c>
      <c r="J1532">
        <f t="shared" si="93"/>
        <v>1200</v>
      </c>
      <c r="K1532" t="str">
        <f t="shared" si="92"/>
        <v>18-24</v>
      </c>
      <c r="L1532" t="str">
        <f t="shared" ca="1" si="94"/>
        <v>Safe</v>
      </c>
      <c r="M1532" t="str">
        <f t="shared" si="95"/>
        <v>Dec-2024</v>
      </c>
    </row>
    <row r="1533" spans="1:13" x14ac:dyDescent="0.35">
      <c r="A1533">
        <v>11532</v>
      </c>
      <c r="B1533">
        <v>20</v>
      </c>
      <c r="C1533" t="s">
        <v>10</v>
      </c>
      <c r="D1533" t="s">
        <v>12</v>
      </c>
      <c r="E1533" s="2">
        <v>45663</v>
      </c>
      <c r="F1533" s="2">
        <v>46012</v>
      </c>
      <c r="G1533">
        <v>1300</v>
      </c>
      <c r="H1533" t="s">
        <v>15</v>
      </c>
      <c r="I1533" t="s">
        <v>16</v>
      </c>
      <c r="J1533">
        <f t="shared" si="93"/>
        <v>15600</v>
      </c>
      <c r="K1533" t="str">
        <f t="shared" si="92"/>
        <v>18-24</v>
      </c>
      <c r="L1533" t="str">
        <f t="shared" ca="1" si="94"/>
        <v>Safe</v>
      </c>
      <c r="M1533" t="str">
        <f t="shared" si="95"/>
        <v>Jan-2025</v>
      </c>
    </row>
    <row r="1534" spans="1:13" x14ac:dyDescent="0.35">
      <c r="A1534">
        <v>11533</v>
      </c>
      <c r="B1534">
        <v>36</v>
      </c>
      <c r="C1534" t="s">
        <v>9</v>
      </c>
      <c r="D1534" t="s">
        <v>11</v>
      </c>
      <c r="E1534" s="2">
        <v>45580</v>
      </c>
      <c r="F1534" s="2">
        <v>45997</v>
      </c>
      <c r="G1534">
        <v>1700</v>
      </c>
      <c r="H1534" t="s">
        <v>15</v>
      </c>
      <c r="I1534" t="s">
        <v>17</v>
      </c>
      <c r="J1534">
        <f t="shared" si="93"/>
        <v>1700</v>
      </c>
      <c r="K1534" t="str">
        <f t="shared" si="92"/>
        <v>35+</v>
      </c>
      <c r="L1534" t="str">
        <f t="shared" ca="1" si="94"/>
        <v>High Risk</v>
      </c>
      <c r="M1534" t="str">
        <f t="shared" si="95"/>
        <v>Oct-2024</v>
      </c>
    </row>
    <row r="1535" spans="1:13" x14ac:dyDescent="0.35">
      <c r="A1535">
        <v>11534</v>
      </c>
      <c r="B1535">
        <v>18</v>
      </c>
      <c r="C1535" t="s">
        <v>9</v>
      </c>
      <c r="D1535" t="s">
        <v>13</v>
      </c>
      <c r="E1535" s="2">
        <v>45890</v>
      </c>
      <c r="F1535" s="2">
        <v>45966</v>
      </c>
      <c r="G1535">
        <v>1000</v>
      </c>
      <c r="H1535" t="s">
        <v>14</v>
      </c>
      <c r="I1535" t="s">
        <v>17</v>
      </c>
      <c r="J1535">
        <f t="shared" si="93"/>
        <v>3000</v>
      </c>
      <c r="K1535" t="str">
        <f t="shared" si="92"/>
        <v>18-24</v>
      </c>
      <c r="L1535" t="str">
        <f t="shared" ca="1" si="94"/>
        <v>High Risk</v>
      </c>
      <c r="M1535" t="str">
        <f t="shared" si="95"/>
        <v>Aug-2025</v>
      </c>
    </row>
    <row r="1536" spans="1:13" x14ac:dyDescent="0.35">
      <c r="A1536">
        <v>11535</v>
      </c>
      <c r="B1536">
        <v>45</v>
      </c>
      <c r="C1536" t="s">
        <v>9</v>
      </c>
      <c r="D1536" t="s">
        <v>13</v>
      </c>
      <c r="E1536" s="2">
        <v>45774</v>
      </c>
      <c r="F1536" s="2">
        <v>45959</v>
      </c>
      <c r="G1536">
        <v>1000</v>
      </c>
      <c r="H1536" t="s">
        <v>14</v>
      </c>
      <c r="I1536" t="s">
        <v>17</v>
      </c>
      <c r="J1536">
        <f t="shared" si="93"/>
        <v>3000</v>
      </c>
      <c r="K1536" t="str">
        <f t="shared" si="92"/>
        <v>35+</v>
      </c>
      <c r="L1536" t="str">
        <f t="shared" ca="1" si="94"/>
        <v>High Risk</v>
      </c>
      <c r="M1536" t="str">
        <f t="shared" si="95"/>
        <v>Apr-2025</v>
      </c>
    </row>
    <row r="1537" spans="1:13" x14ac:dyDescent="0.35">
      <c r="A1537">
        <v>11536</v>
      </c>
      <c r="B1537">
        <v>32</v>
      </c>
      <c r="C1537" t="s">
        <v>9</v>
      </c>
      <c r="D1537" t="s">
        <v>12</v>
      </c>
      <c r="E1537" s="2">
        <v>45184</v>
      </c>
      <c r="F1537" s="2">
        <v>46020</v>
      </c>
      <c r="G1537">
        <v>1300</v>
      </c>
      <c r="H1537" t="s">
        <v>15</v>
      </c>
      <c r="I1537" t="s">
        <v>16</v>
      </c>
      <c r="J1537">
        <f t="shared" si="93"/>
        <v>15600</v>
      </c>
      <c r="K1537" t="str">
        <f t="shared" si="92"/>
        <v>25-34</v>
      </c>
      <c r="L1537" t="str">
        <f t="shared" ca="1" si="94"/>
        <v>Safe</v>
      </c>
      <c r="M1537" t="str">
        <f t="shared" si="95"/>
        <v>Sep-2023</v>
      </c>
    </row>
    <row r="1538" spans="1:13" x14ac:dyDescent="0.35">
      <c r="A1538">
        <v>11537</v>
      </c>
      <c r="B1538">
        <v>25</v>
      </c>
      <c r="C1538" t="s">
        <v>10</v>
      </c>
      <c r="D1538" t="s">
        <v>11</v>
      </c>
      <c r="E1538" s="2">
        <v>45269</v>
      </c>
      <c r="F1538" s="2">
        <v>46030</v>
      </c>
      <c r="G1538">
        <v>1200</v>
      </c>
      <c r="H1538" t="s">
        <v>14</v>
      </c>
      <c r="I1538" t="s">
        <v>16</v>
      </c>
      <c r="J1538">
        <f t="shared" si="93"/>
        <v>1200</v>
      </c>
      <c r="K1538" t="str">
        <f t="shared" ref="K1538:K1601" si="96">IF(B1538&lt;25,"18-24",IF(B1538&lt;35,"25-34","35+"))</f>
        <v>25-34</v>
      </c>
      <c r="L1538" t="str">
        <f t="shared" ca="1" si="94"/>
        <v>Safe</v>
      </c>
      <c r="M1538" t="str">
        <f t="shared" si="95"/>
        <v>Dec-2023</v>
      </c>
    </row>
    <row r="1539" spans="1:13" x14ac:dyDescent="0.35">
      <c r="A1539">
        <v>11538</v>
      </c>
      <c r="B1539">
        <v>19</v>
      </c>
      <c r="C1539" t="s">
        <v>10</v>
      </c>
      <c r="D1539" t="s">
        <v>12</v>
      </c>
      <c r="E1539" s="2">
        <v>45839</v>
      </c>
      <c r="F1539" s="2">
        <v>46024</v>
      </c>
      <c r="G1539">
        <v>800</v>
      </c>
      <c r="H1539" t="s">
        <v>14</v>
      </c>
      <c r="I1539" t="s">
        <v>16</v>
      </c>
      <c r="J1539">
        <f t="shared" ref="J1539:J1602" si="97">IF(D1539="Monthly",G1539,IF(D1539="Quarterly",G1539*3,G1539*12))</f>
        <v>9600</v>
      </c>
      <c r="K1539" t="str">
        <f t="shared" si="96"/>
        <v>18-24</v>
      </c>
      <c r="L1539" t="str">
        <f t="shared" ref="L1539:L1602" ca="1" si="98">IF(F1539&lt;TODAY()-30,"High Risk","Safe")</f>
        <v>Safe</v>
      </c>
      <c r="M1539" t="str">
        <f t="shared" ref="M1539:M1602" si="99">TEXT(E1539,"mmm-yyyy")</f>
        <v>Jul-2025</v>
      </c>
    </row>
    <row r="1540" spans="1:13" x14ac:dyDescent="0.35">
      <c r="A1540">
        <v>11539</v>
      </c>
      <c r="B1540">
        <v>20</v>
      </c>
      <c r="C1540" t="s">
        <v>10</v>
      </c>
      <c r="D1540" t="s">
        <v>13</v>
      </c>
      <c r="E1540" s="2">
        <v>45191</v>
      </c>
      <c r="F1540" s="2">
        <v>46027</v>
      </c>
      <c r="G1540">
        <v>1000</v>
      </c>
      <c r="H1540" t="s">
        <v>14</v>
      </c>
      <c r="I1540" t="s">
        <v>16</v>
      </c>
      <c r="J1540">
        <f t="shared" si="97"/>
        <v>3000</v>
      </c>
      <c r="K1540" t="str">
        <f t="shared" si="96"/>
        <v>18-24</v>
      </c>
      <c r="L1540" t="str">
        <f t="shared" ca="1" si="98"/>
        <v>Safe</v>
      </c>
      <c r="M1540" t="str">
        <f t="shared" si="99"/>
        <v>Sep-2023</v>
      </c>
    </row>
    <row r="1541" spans="1:13" x14ac:dyDescent="0.35">
      <c r="A1541">
        <v>11540</v>
      </c>
      <c r="B1541">
        <v>41</v>
      </c>
      <c r="C1541" t="s">
        <v>10</v>
      </c>
      <c r="D1541" t="s">
        <v>12</v>
      </c>
      <c r="E1541" s="2">
        <v>45465</v>
      </c>
      <c r="F1541" s="2">
        <v>46022</v>
      </c>
      <c r="G1541">
        <v>1300</v>
      </c>
      <c r="H1541" t="s">
        <v>15</v>
      </c>
      <c r="I1541" t="s">
        <v>16</v>
      </c>
      <c r="J1541">
        <f t="shared" si="97"/>
        <v>15600</v>
      </c>
      <c r="K1541" t="str">
        <f t="shared" si="96"/>
        <v>35+</v>
      </c>
      <c r="L1541" t="str">
        <f t="shared" ca="1" si="98"/>
        <v>Safe</v>
      </c>
      <c r="M1541" t="str">
        <f t="shared" si="99"/>
        <v>Jun-2024</v>
      </c>
    </row>
    <row r="1542" spans="1:13" x14ac:dyDescent="0.35">
      <c r="A1542">
        <v>11541</v>
      </c>
      <c r="B1542">
        <v>31</v>
      </c>
      <c r="C1542" t="s">
        <v>9</v>
      </c>
      <c r="D1542" t="s">
        <v>12</v>
      </c>
      <c r="E1542" s="2">
        <v>45192</v>
      </c>
      <c r="F1542" s="2">
        <v>46029</v>
      </c>
      <c r="G1542">
        <v>800</v>
      </c>
      <c r="H1542" t="s">
        <v>14</v>
      </c>
      <c r="I1542" t="s">
        <v>16</v>
      </c>
      <c r="J1542">
        <f t="shared" si="97"/>
        <v>9600</v>
      </c>
      <c r="K1542" t="str">
        <f t="shared" si="96"/>
        <v>25-34</v>
      </c>
      <c r="L1542" t="str">
        <f t="shared" ca="1" si="98"/>
        <v>Safe</v>
      </c>
      <c r="M1542" t="str">
        <f t="shared" si="99"/>
        <v>Sep-2023</v>
      </c>
    </row>
    <row r="1543" spans="1:13" x14ac:dyDescent="0.35">
      <c r="A1543">
        <v>11542</v>
      </c>
      <c r="B1543">
        <v>41</v>
      </c>
      <c r="C1543" t="s">
        <v>10</v>
      </c>
      <c r="D1543" t="s">
        <v>11</v>
      </c>
      <c r="E1543" s="2">
        <v>45322</v>
      </c>
      <c r="F1543" s="2">
        <v>46024</v>
      </c>
      <c r="G1543">
        <v>1700</v>
      </c>
      <c r="H1543" t="s">
        <v>15</v>
      </c>
      <c r="I1543" t="s">
        <v>16</v>
      </c>
      <c r="J1543">
        <f t="shared" si="97"/>
        <v>1700</v>
      </c>
      <c r="K1543" t="str">
        <f t="shared" si="96"/>
        <v>35+</v>
      </c>
      <c r="L1543" t="str">
        <f t="shared" ca="1" si="98"/>
        <v>Safe</v>
      </c>
      <c r="M1543" t="str">
        <f t="shared" si="99"/>
        <v>Jan-2024</v>
      </c>
    </row>
    <row r="1544" spans="1:13" x14ac:dyDescent="0.35">
      <c r="A1544">
        <v>11543</v>
      </c>
      <c r="B1544">
        <v>31</v>
      </c>
      <c r="C1544" t="s">
        <v>9</v>
      </c>
      <c r="D1544" t="s">
        <v>11</v>
      </c>
      <c r="E1544" s="2">
        <v>45817</v>
      </c>
      <c r="F1544" s="2">
        <v>46031</v>
      </c>
      <c r="G1544">
        <v>1200</v>
      </c>
      <c r="H1544" t="s">
        <v>14</v>
      </c>
      <c r="I1544" t="s">
        <v>16</v>
      </c>
      <c r="J1544">
        <f t="shared" si="97"/>
        <v>1200</v>
      </c>
      <c r="K1544" t="str">
        <f t="shared" si="96"/>
        <v>25-34</v>
      </c>
      <c r="L1544" t="str">
        <f t="shared" ca="1" si="98"/>
        <v>Safe</v>
      </c>
      <c r="M1544" t="str">
        <f t="shared" si="99"/>
        <v>Jun-2025</v>
      </c>
    </row>
    <row r="1545" spans="1:13" x14ac:dyDescent="0.35">
      <c r="A1545">
        <v>11544</v>
      </c>
      <c r="B1545">
        <v>28</v>
      </c>
      <c r="C1545" t="s">
        <v>10</v>
      </c>
      <c r="D1545" t="s">
        <v>11</v>
      </c>
      <c r="E1545" s="2">
        <v>45492</v>
      </c>
      <c r="F1545" s="2">
        <v>46012</v>
      </c>
      <c r="G1545">
        <v>1200</v>
      </c>
      <c r="H1545" t="s">
        <v>14</v>
      </c>
      <c r="I1545" t="s">
        <v>16</v>
      </c>
      <c r="J1545">
        <f t="shared" si="97"/>
        <v>1200</v>
      </c>
      <c r="K1545" t="str">
        <f t="shared" si="96"/>
        <v>25-34</v>
      </c>
      <c r="L1545" t="str">
        <f t="shared" ca="1" si="98"/>
        <v>Safe</v>
      </c>
      <c r="M1545" t="str">
        <f t="shared" si="99"/>
        <v>Jul-2024</v>
      </c>
    </row>
    <row r="1546" spans="1:13" x14ac:dyDescent="0.35">
      <c r="A1546">
        <v>11545</v>
      </c>
      <c r="B1546">
        <v>33</v>
      </c>
      <c r="C1546" t="s">
        <v>9</v>
      </c>
      <c r="D1546" t="s">
        <v>13</v>
      </c>
      <c r="E1546" s="2">
        <v>45357</v>
      </c>
      <c r="F1546" s="2">
        <v>45933</v>
      </c>
      <c r="G1546">
        <v>1000</v>
      </c>
      <c r="H1546" t="s">
        <v>14</v>
      </c>
      <c r="I1546" t="s">
        <v>17</v>
      </c>
      <c r="J1546">
        <f t="shared" si="97"/>
        <v>3000</v>
      </c>
      <c r="K1546" t="str">
        <f t="shared" si="96"/>
        <v>25-34</v>
      </c>
      <c r="L1546" t="str">
        <f t="shared" ca="1" si="98"/>
        <v>High Risk</v>
      </c>
      <c r="M1546" t="str">
        <f t="shared" si="99"/>
        <v>Mar-2024</v>
      </c>
    </row>
    <row r="1547" spans="1:13" x14ac:dyDescent="0.35">
      <c r="A1547">
        <v>11546</v>
      </c>
      <c r="B1547">
        <v>21</v>
      </c>
      <c r="C1547" t="s">
        <v>10</v>
      </c>
      <c r="D1547" t="s">
        <v>11</v>
      </c>
      <c r="E1547" s="2">
        <v>45940</v>
      </c>
      <c r="F1547" s="2">
        <v>46026</v>
      </c>
      <c r="G1547">
        <v>1700</v>
      </c>
      <c r="H1547" t="s">
        <v>15</v>
      </c>
      <c r="I1547" t="s">
        <v>16</v>
      </c>
      <c r="J1547">
        <f t="shared" si="97"/>
        <v>1700</v>
      </c>
      <c r="K1547" t="str">
        <f t="shared" si="96"/>
        <v>18-24</v>
      </c>
      <c r="L1547" t="str">
        <f t="shared" ca="1" si="98"/>
        <v>Safe</v>
      </c>
      <c r="M1547" t="str">
        <f t="shared" si="99"/>
        <v>Oct-2025</v>
      </c>
    </row>
    <row r="1548" spans="1:13" x14ac:dyDescent="0.35">
      <c r="A1548">
        <v>11547</v>
      </c>
      <c r="B1548">
        <v>37</v>
      </c>
      <c r="C1548" t="s">
        <v>10</v>
      </c>
      <c r="D1548" t="s">
        <v>11</v>
      </c>
      <c r="E1548" s="2">
        <v>45534</v>
      </c>
      <c r="F1548" s="2">
        <v>46028</v>
      </c>
      <c r="G1548">
        <v>1700</v>
      </c>
      <c r="H1548" t="s">
        <v>15</v>
      </c>
      <c r="I1548" t="s">
        <v>16</v>
      </c>
      <c r="J1548">
        <f t="shared" si="97"/>
        <v>1700</v>
      </c>
      <c r="K1548" t="str">
        <f t="shared" si="96"/>
        <v>35+</v>
      </c>
      <c r="L1548" t="str">
        <f t="shared" ca="1" si="98"/>
        <v>Safe</v>
      </c>
      <c r="M1548" t="str">
        <f t="shared" si="99"/>
        <v>Aug-2024</v>
      </c>
    </row>
    <row r="1549" spans="1:13" x14ac:dyDescent="0.35">
      <c r="A1549">
        <v>11548</v>
      </c>
      <c r="B1549">
        <v>22</v>
      </c>
      <c r="C1549" t="s">
        <v>9</v>
      </c>
      <c r="D1549" t="s">
        <v>13</v>
      </c>
      <c r="E1549" s="2">
        <v>45784</v>
      </c>
      <c r="F1549" s="2">
        <v>46015</v>
      </c>
      <c r="G1549">
        <v>1000</v>
      </c>
      <c r="H1549" t="s">
        <v>14</v>
      </c>
      <c r="I1549" t="s">
        <v>16</v>
      </c>
      <c r="J1549">
        <f t="shared" si="97"/>
        <v>3000</v>
      </c>
      <c r="K1549" t="str">
        <f t="shared" si="96"/>
        <v>18-24</v>
      </c>
      <c r="L1549" t="str">
        <f t="shared" ca="1" si="98"/>
        <v>Safe</v>
      </c>
      <c r="M1549" t="str">
        <f t="shared" si="99"/>
        <v>May-2025</v>
      </c>
    </row>
    <row r="1550" spans="1:13" x14ac:dyDescent="0.35">
      <c r="A1550">
        <v>11549</v>
      </c>
      <c r="B1550">
        <v>39</v>
      </c>
      <c r="C1550" t="s">
        <v>9</v>
      </c>
      <c r="D1550" t="s">
        <v>11</v>
      </c>
      <c r="E1550" s="2">
        <v>45646</v>
      </c>
      <c r="F1550" s="2">
        <v>46015</v>
      </c>
      <c r="G1550">
        <v>1200</v>
      </c>
      <c r="H1550" t="s">
        <v>14</v>
      </c>
      <c r="I1550" t="s">
        <v>16</v>
      </c>
      <c r="J1550">
        <f t="shared" si="97"/>
        <v>1200</v>
      </c>
      <c r="K1550" t="str">
        <f t="shared" si="96"/>
        <v>35+</v>
      </c>
      <c r="L1550" t="str">
        <f t="shared" ca="1" si="98"/>
        <v>Safe</v>
      </c>
      <c r="M1550" t="str">
        <f t="shared" si="99"/>
        <v>Dec-2024</v>
      </c>
    </row>
    <row r="1551" spans="1:13" x14ac:dyDescent="0.35">
      <c r="A1551">
        <v>11550</v>
      </c>
      <c r="B1551">
        <v>38</v>
      </c>
      <c r="C1551" t="s">
        <v>10</v>
      </c>
      <c r="D1551" t="s">
        <v>11</v>
      </c>
      <c r="E1551" s="2">
        <v>45661</v>
      </c>
      <c r="F1551" s="2">
        <v>46018</v>
      </c>
      <c r="G1551">
        <v>1200</v>
      </c>
      <c r="H1551" t="s">
        <v>14</v>
      </c>
      <c r="I1551" t="s">
        <v>16</v>
      </c>
      <c r="J1551">
        <f t="shared" si="97"/>
        <v>1200</v>
      </c>
      <c r="K1551" t="str">
        <f t="shared" si="96"/>
        <v>35+</v>
      </c>
      <c r="L1551" t="str">
        <f t="shared" ca="1" si="98"/>
        <v>Safe</v>
      </c>
      <c r="M1551" t="str">
        <f t="shared" si="99"/>
        <v>Jan-2025</v>
      </c>
    </row>
    <row r="1552" spans="1:13" x14ac:dyDescent="0.35">
      <c r="A1552">
        <v>11551</v>
      </c>
      <c r="B1552">
        <v>31</v>
      </c>
      <c r="C1552" t="s">
        <v>9</v>
      </c>
      <c r="D1552" t="s">
        <v>11</v>
      </c>
      <c r="E1552" s="2">
        <v>45422</v>
      </c>
      <c r="F1552" s="2">
        <v>46031</v>
      </c>
      <c r="G1552">
        <v>1200</v>
      </c>
      <c r="H1552" t="s">
        <v>14</v>
      </c>
      <c r="I1552" t="s">
        <v>16</v>
      </c>
      <c r="J1552">
        <f t="shared" si="97"/>
        <v>1200</v>
      </c>
      <c r="K1552" t="str">
        <f t="shared" si="96"/>
        <v>25-34</v>
      </c>
      <c r="L1552" t="str">
        <f t="shared" ca="1" si="98"/>
        <v>Safe</v>
      </c>
      <c r="M1552" t="str">
        <f t="shared" si="99"/>
        <v>May-2024</v>
      </c>
    </row>
    <row r="1553" spans="1:13" x14ac:dyDescent="0.35">
      <c r="A1553">
        <v>11552</v>
      </c>
      <c r="B1553">
        <v>40</v>
      </c>
      <c r="C1553" t="s">
        <v>9</v>
      </c>
      <c r="D1553" t="s">
        <v>11</v>
      </c>
      <c r="E1553" s="2">
        <v>46002</v>
      </c>
      <c r="F1553" s="2">
        <v>46025</v>
      </c>
      <c r="G1553">
        <v>1200</v>
      </c>
      <c r="H1553" t="s">
        <v>14</v>
      </c>
      <c r="I1553" t="s">
        <v>16</v>
      </c>
      <c r="J1553">
        <f t="shared" si="97"/>
        <v>1200</v>
      </c>
      <c r="K1553" t="str">
        <f t="shared" si="96"/>
        <v>35+</v>
      </c>
      <c r="L1553" t="str">
        <f t="shared" ca="1" si="98"/>
        <v>Safe</v>
      </c>
      <c r="M1553" t="str">
        <f t="shared" si="99"/>
        <v>Dec-2025</v>
      </c>
    </row>
    <row r="1554" spans="1:13" x14ac:dyDescent="0.35">
      <c r="A1554">
        <v>11553</v>
      </c>
      <c r="B1554">
        <v>33</v>
      </c>
      <c r="C1554" t="s">
        <v>9</v>
      </c>
      <c r="D1554" t="s">
        <v>11</v>
      </c>
      <c r="E1554" s="2">
        <v>45234</v>
      </c>
      <c r="F1554" s="2">
        <v>46021</v>
      </c>
      <c r="G1554">
        <v>1700</v>
      </c>
      <c r="H1554" t="s">
        <v>15</v>
      </c>
      <c r="I1554" t="s">
        <v>16</v>
      </c>
      <c r="J1554">
        <f t="shared" si="97"/>
        <v>1700</v>
      </c>
      <c r="K1554" t="str">
        <f t="shared" si="96"/>
        <v>25-34</v>
      </c>
      <c r="L1554" t="str">
        <f t="shared" ca="1" si="98"/>
        <v>Safe</v>
      </c>
      <c r="M1554" t="str">
        <f t="shared" si="99"/>
        <v>Nov-2023</v>
      </c>
    </row>
    <row r="1555" spans="1:13" x14ac:dyDescent="0.35">
      <c r="A1555">
        <v>11554</v>
      </c>
      <c r="B1555">
        <v>35</v>
      </c>
      <c r="C1555" t="s">
        <v>9</v>
      </c>
      <c r="D1555" t="s">
        <v>13</v>
      </c>
      <c r="E1555" s="2">
        <v>45475</v>
      </c>
      <c r="F1555" s="2">
        <v>46024</v>
      </c>
      <c r="G1555">
        <v>1500</v>
      </c>
      <c r="H1555" t="s">
        <v>15</v>
      </c>
      <c r="I1555" t="s">
        <v>16</v>
      </c>
      <c r="J1555">
        <f t="shared" si="97"/>
        <v>4500</v>
      </c>
      <c r="K1555" t="str">
        <f t="shared" si="96"/>
        <v>35+</v>
      </c>
      <c r="L1555" t="str">
        <f t="shared" ca="1" si="98"/>
        <v>Safe</v>
      </c>
      <c r="M1555" t="str">
        <f t="shared" si="99"/>
        <v>Jul-2024</v>
      </c>
    </row>
    <row r="1556" spans="1:13" x14ac:dyDescent="0.35">
      <c r="A1556">
        <v>11555</v>
      </c>
      <c r="B1556">
        <v>24</v>
      </c>
      <c r="C1556" t="s">
        <v>10</v>
      </c>
      <c r="D1556" t="s">
        <v>13</v>
      </c>
      <c r="E1556" s="2">
        <v>45173</v>
      </c>
      <c r="F1556" s="2">
        <v>46031</v>
      </c>
      <c r="G1556">
        <v>1500</v>
      </c>
      <c r="H1556" t="s">
        <v>15</v>
      </c>
      <c r="I1556" t="s">
        <v>16</v>
      </c>
      <c r="J1556">
        <f t="shared" si="97"/>
        <v>4500</v>
      </c>
      <c r="K1556" t="str">
        <f t="shared" si="96"/>
        <v>18-24</v>
      </c>
      <c r="L1556" t="str">
        <f t="shared" ca="1" si="98"/>
        <v>Safe</v>
      </c>
      <c r="M1556" t="str">
        <f t="shared" si="99"/>
        <v>Sep-2023</v>
      </c>
    </row>
    <row r="1557" spans="1:13" x14ac:dyDescent="0.35">
      <c r="A1557">
        <v>11556</v>
      </c>
      <c r="B1557">
        <v>27</v>
      </c>
      <c r="C1557" t="s">
        <v>9</v>
      </c>
      <c r="D1557" t="s">
        <v>12</v>
      </c>
      <c r="E1557" s="2">
        <v>45792</v>
      </c>
      <c r="F1557" s="2">
        <v>46020</v>
      </c>
      <c r="G1557">
        <v>1300</v>
      </c>
      <c r="H1557" t="s">
        <v>15</v>
      </c>
      <c r="I1557" t="s">
        <v>16</v>
      </c>
      <c r="J1557">
        <f t="shared" si="97"/>
        <v>15600</v>
      </c>
      <c r="K1557" t="str">
        <f t="shared" si="96"/>
        <v>25-34</v>
      </c>
      <c r="L1557" t="str">
        <f t="shared" ca="1" si="98"/>
        <v>Safe</v>
      </c>
      <c r="M1557" t="str">
        <f t="shared" si="99"/>
        <v>May-2025</v>
      </c>
    </row>
    <row r="1558" spans="1:13" x14ac:dyDescent="0.35">
      <c r="A1558">
        <v>11557</v>
      </c>
      <c r="B1558">
        <v>24</v>
      </c>
      <c r="C1558" t="s">
        <v>9</v>
      </c>
      <c r="D1558" t="s">
        <v>13</v>
      </c>
      <c r="E1558" s="2">
        <v>45776</v>
      </c>
      <c r="F1558" s="2">
        <v>46017</v>
      </c>
      <c r="G1558">
        <v>1000</v>
      </c>
      <c r="H1558" t="s">
        <v>14</v>
      </c>
      <c r="I1558" t="s">
        <v>16</v>
      </c>
      <c r="J1558">
        <f t="shared" si="97"/>
        <v>3000</v>
      </c>
      <c r="K1558" t="str">
        <f t="shared" si="96"/>
        <v>18-24</v>
      </c>
      <c r="L1558" t="str">
        <f t="shared" ca="1" si="98"/>
        <v>Safe</v>
      </c>
      <c r="M1558" t="str">
        <f t="shared" si="99"/>
        <v>Apr-2025</v>
      </c>
    </row>
    <row r="1559" spans="1:13" x14ac:dyDescent="0.35">
      <c r="A1559">
        <v>11558</v>
      </c>
      <c r="B1559">
        <v>18</v>
      </c>
      <c r="C1559" t="s">
        <v>9</v>
      </c>
      <c r="D1559" t="s">
        <v>13</v>
      </c>
      <c r="E1559" s="2">
        <v>45964</v>
      </c>
      <c r="F1559" s="2">
        <v>46030</v>
      </c>
      <c r="G1559">
        <v>1000</v>
      </c>
      <c r="H1559" t="s">
        <v>14</v>
      </c>
      <c r="I1559" t="s">
        <v>16</v>
      </c>
      <c r="J1559">
        <f t="shared" si="97"/>
        <v>3000</v>
      </c>
      <c r="K1559" t="str">
        <f t="shared" si="96"/>
        <v>18-24</v>
      </c>
      <c r="L1559" t="str">
        <f t="shared" ca="1" si="98"/>
        <v>Safe</v>
      </c>
      <c r="M1559" t="str">
        <f t="shared" si="99"/>
        <v>Nov-2025</v>
      </c>
    </row>
    <row r="1560" spans="1:13" x14ac:dyDescent="0.35">
      <c r="A1560">
        <v>11559</v>
      </c>
      <c r="B1560">
        <v>40</v>
      </c>
      <c r="C1560" t="s">
        <v>9</v>
      </c>
      <c r="D1560" t="s">
        <v>11</v>
      </c>
      <c r="E1560" s="2">
        <v>45767</v>
      </c>
      <c r="F1560" s="2">
        <v>46022</v>
      </c>
      <c r="G1560">
        <v>1200</v>
      </c>
      <c r="H1560" t="s">
        <v>14</v>
      </c>
      <c r="I1560" t="s">
        <v>16</v>
      </c>
      <c r="J1560">
        <f t="shared" si="97"/>
        <v>1200</v>
      </c>
      <c r="K1560" t="str">
        <f t="shared" si="96"/>
        <v>35+</v>
      </c>
      <c r="L1560" t="str">
        <f t="shared" ca="1" si="98"/>
        <v>Safe</v>
      </c>
      <c r="M1560" t="str">
        <f t="shared" si="99"/>
        <v>Apr-2025</v>
      </c>
    </row>
    <row r="1561" spans="1:13" x14ac:dyDescent="0.35">
      <c r="A1561">
        <v>11560</v>
      </c>
      <c r="B1561">
        <v>38</v>
      </c>
      <c r="C1561" t="s">
        <v>9</v>
      </c>
      <c r="D1561" t="s">
        <v>12</v>
      </c>
      <c r="E1561" s="2">
        <v>45205</v>
      </c>
      <c r="F1561" s="2">
        <v>46024</v>
      </c>
      <c r="G1561">
        <v>1300</v>
      </c>
      <c r="H1561" t="s">
        <v>15</v>
      </c>
      <c r="I1561" t="s">
        <v>16</v>
      </c>
      <c r="J1561">
        <f t="shared" si="97"/>
        <v>15600</v>
      </c>
      <c r="K1561" t="str">
        <f t="shared" si="96"/>
        <v>35+</v>
      </c>
      <c r="L1561" t="str">
        <f t="shared" ca="1" si="98"/>
        <v>Safe</v>
      </c>
      <c r="M1561" t="str">
        <f t="shared" si="99"/>
        <v>Oct-2023</v>
      </c>
    </row>
    <row r="1562" spans="1:13" x14ac:dyDescent="0.35">
      <c r="A1562">
        <v>11561</v>
      </c>
      <c r="B1562">
        <v>36</v>
      </c>
      <c r="C1562" t="s">
        <v>9</v>
      </c>
      <c r="D1562" t="s">
        <v>12</v>
      </c>
      <c r="E1562" s="2">
        <v>45576</v>
      </c>
      <c r="F1562" s="2">
        <v>46010</v>
      </c>
      <c r="G1562">
        <v>1300</v>
      </c>
      <c r="H1562" t="s">
        <v>15</v>
      </c>
      <c r="I1562" t="s">
        <v>16</v>
      </c>
      <c r="J1562">
        <f t="shared" si="97"/>
        <v>15600</v>
      </c>
      <c r="K1562" t="str">
        <f t="shared" si="96"/>
        <v>35+</v>
      </c>
      <c r="L1562" t="str">
        <f t="shared" ca="1" si="98"/>
        <v>Safe</v>
      </c>
      <c r="M1562" t="str">
        <f t="shared" si="99"/>
        <v>Oct-2024</v>
      </c>
    </row>
    <row r="1563" spans="1:13" x14ac:dyDescent="0.35">
      <c r="A1563">
        <v>11562</v>
      </c>
      <c r="B1563">
        <v>33</v>
      </c>
      <c r="C1563" t="s">
        <v>9</v>
      </c>
      <c r="D1563" t="s">
        <v>12</v>
      </c>
      <c r="E1563" s="2">
        <v>45935</v>
      </c>
      <c r="F1563" s="2">
        <v>46009</v>
      </c>
      <c r="G1563">
        <v>1300</v>
      </c>
      <c r="H1563" t="s">
        <v>15</v>
      </c>
      <c r="I1563" t="s">
        <v>16</v>
      </c>
      <c r="J1563">
        <f t="shared" si="97"/>
        <v>15600</v>
      </c>
      <c r="K1563" t="str">
        <f t="shared" si="96"/>
        <v>25-34</v>
      </c>
      <c r="L1563" t="str">
        <f t="shared" ca="1" si="98"/>
        <v>Safe</v>
      </c>
      <c r="M1563" t="str">
        <f t="shared" si="99"/>
        <v>Oct-2025</v>
      </c>
    </row>
    <row r="1564" spans="1:13" x14ac:dyDescent="0.35">
      <c r="A1564">
        <v>11563</v>
      </c>
      <c r="B1564">
        <v>36</v>
      </c>
      <c r="C1564" t="s">
        <v>9</v>
      </c>
      <c r="D1564" t="s">
        <v>13</v>
      </c>
      <c r="E1564" s="2">
        <v>45337</v>
      </c>
      <c r="F1564" s="2">
        <v>46011</v>
      </c>
      <c r="G1564">
        <v>1500</v>
      </c>
      <c r="H1564" t="s">
        <v>15</v>
      </c>
      <c r="I1564" t="s">
        <v>16</v>
      </c>
      <c r="J1564">
        <f t="shared" si="97"/>
        <v>4500</v>
      </c>
      <c r="K1564" t="str">
        <f t="shared" si="96"/>
        <v>35+</v>
      </c>
      <c r="L1564" t="str">
        <f t="shared" ca="1" si="98"/>
        <v>Safe</v>
      </c>
      <c r="M1564" t="str">
        <f t="shared" si="99"/>
        <v>Feb-2024</v>
      </c>
    </row>
    <row r="1565" spans="1:13" x14ac:dyDescent="0.35">
      <c r="A1565">
        <v>11564</v>
      </c>
      <c r="B1565">
        <v>21</v>
      </c>
      <c r="C1565" t="s">
        <v>10</v>
      </c>
      <c r="D1565" t="s">
        <v>11</v>
      </c>
      <c r="E1565" s="2">
        <v>45436</v>
      </c>
      <c r="F1565" s="2">
        <v>46015</v>
      </c>
      <c r="G1565">
        <v>1200</v>
      </c>
      <c r="H1565" t="s">
        <v>14</v>
      </c>
      <c r="I1565" t="s">
        <v>16</v>
      </c>
      <c r="J1565">
        <f t="shared" si="97"/>
        <v>1200</v>
      </c>
      <c r="K1565" t="str">
        <f t="shared" si="96"/>
        <v>18-24</v>
      </c>
      <c r="L1565" t="str">
        <f t="shared" ca="1" si="98"/>
        <v>Safe</v>
      </c>
      <c r="M1565" t="str">
        <f t="shared" si="99"/>
        <v>May-2024</v>
      </c>
    </row>
    <row r="1566" spans="1:13" x14ac:dyDescent="0.35">
      <c r="A1566">
        <v>11565</v>
      </c>
      <c r="B1566">
        <v>45</v>
      </c>
      <c r="C1566" t="s">
        <v>9</v>
      </c>
      <c r="D1566" t="s">
        <v>11</v>
      </c>
      <c r="E1566" s="2">
        <v>45814</v>
      </c>
      <c r="F1566" s="2">
        <v>46019</v>
      </c>
      <c r="G1566">
        <v>1200</v>
      </c>
      <c r="H1566" t="s">
        <v>14</v>
      </c>
      <c r="I1566" t="s">
        <v>16</v>
      </c>
      <c r="J1566">
        <f t="shared" si="97"/>
        <v>1200</v>
      </c>
      <c r="K1566" t="str">
        <f t="shared" si="96"/>
        <v>35+</v>
      </c>
      <c r="L1566" t="str">
        <f t="shared" ca="1" si="98"/>
        <v>Safe</v>
      </c>
      <c r="M1566" t="str">
        <f t="shared" si="99"/>
        <v>Jun-2025</v>
      </c>
    </row>
    <row r="1567" spans="1:13" x14ac:dyDescent="0.35">
      <c r="A1567">
        <v>11566</v>
      </c>
      <c r="B1567">
        <v>35</v>
      </c>
      <c r="C1567" t="s">
        <v>9</v>
      </c>
      <c r="D1567" t="s">
        <v>11</v>
      </c>
      <c r="E1567" s="2">
        <v>45300</v>
      </c>
      <c r="F1567" s="2">
        <v>46018</v>
      </c>
      <c r="G1567">
        <v>1700</v>
      </c>
      <c r="H1567" t="s">
        <v>15</v>
      </c>
      <c r="I1567" t="s">
        <v>16</v>
      </c>
      <c r="J1567">
        <f t="shared" si="97"/>
        <v>1700</v>
      </c>
      <c r="K1567" t="str">
        <f t="shared" si="96"/>
        <v>35+</v>
      </c>
      <c r="L1567" t="str">
        <f t="shared" ca="1" si="98"/>
        <v>Safe</v>
      </c>
      <c r="M1567" t="str">
        <f t="shared" si="99"/>
        <v>Jan-2024</v>
      </c>
    </row>
    <row r="1568" spans="1:13" x14ac:dyDescent="0.35">
      <c r="A1568">
        <v>11567</v>
      </c>
      <c r="B1568">
        <v>19</v>
      </c>
      <c r="C1568" t="s">
        <v>9</v>
      </c>
      <c r="D1568" t="s">
        <v>12</v>
      </c>
      <c r="E1568" s="2">
        <v>45295</v>
      </c>
      <c r="F1568" s="2">
        <v>46026</v>
      </c>
      <c r="G1568">
        <v>1300</v>
      </c>
      <c r="H1568" t="s">
        <v>15</v>
      </c>
      <c r="I1568" t="s">
        <v>16</v>
      </c>
      <c r="J1568">
        <f t="shared" si="97"/>
        <v>15600</v>
      </c>
      <c r="K1568" t="str">
        <f t="shared" si="96"/>
        <v>18-24</v>
      </c>
      <c r="L1568" t="str">
        <f t="shared" ca="1" si="98"/>
        <v>Safe</v>
      </c>
      <c r="M1568" t="str">
        <f t="shared" si="99"/>
        <v>Jan-2024</v>
      </c>
    </row>
    <row r="1569" spans="1:13" x14ac:dyDescent="0.35">
      <c r="A1569">
        <v>11568</v>
      </c>
      <c r="B1569">
        <v>18</v>
      </c>
      <c r="C1569" t="s">
        <v>9</v>
      </c>
      <c r="D1569" t="s">
        <v>13</v>
      </c>
      <c r="E1569" s="2">
        <v>45528</v>
      </c>
      <c r="F1569" s="2">
        <v>46032</v>
      </c>
      <c r="G1569">
        <v>1500</v>
      </c>
      <c r="H1569" t="s">
        <v>15</v>
      </c>
      <c r="I1569" t="s">
        <v>16</v>
      </c>
      <c r="J1569">
        <f t="shared" si="97"/>
        <v>4500</v>
      </c>
      <c r="K1569" t="str">
        <f t="shared" si="96"/>
        <v>18-24</v>
      </c>
      <c r="L1569" t="str">
        <f t="shared" ca="1" si="98"/>
        <v>Safe</v>
      </c>
      <c r="M1569" t="str">
        <f t="shared" si="99"/>
        <v>Aug-2024</v>
      </c>
    </row>
    <row r="1570" spans="1:13" x14ac:dyDescent="0.35">
      <c r="A1570">
        <v>11569</v>
      </c>
      <c r="B1570">
        <v>32</v>
      </c>
      <c r="C1570" t="s">
        <v>9</v>
      </c>
      <c r="D1570" t="s">
        <v>13</v>
      </c>
      <c r="E1570" s="2">
        <v>45434</v>
      </c>
      <c r="F1570" s="2">
        <v>46023</v>
      </c>
      <c r="G1570">
        <v>1500</v>
      </c>
      <c r="H1570" t="s">
        <v>15</v>
      </c>
      <c r="I1570" t="s">
        <v>16</v>
      </c>
      <c r="J1570">
        <f t="shared" si="97"/>
        <v>4500</v>
      </c>
      <c r="K1570" t="str">
        <f t="shared" si="96"/>
        <v>25-34</v>
      </c>
      <c r="L1570" t="str">
        <f t="shared" ca="1" si="98"/>
        <v>Safe</v>
      </c>
      <c r="M1570" t="str">
        <f t="shared" si="99"/>
        <v>May-2024</v>
      </c>
    </row>
    <row r="1571" spans="1:13" x14ac:dyDescent="0.35">
      <c r="A1571">
        <v>11570</v>
      </c>
      <c r="B1571">
        <v>22</v>
      </c>
      <c r="C1571" t="s">
        <v>9</v>
      </c>
      <c r="D1571" t="s">
        <v>11</v>
      </c>
      <c r="E1571" s="2">
        <v>45913</v>
      </c>
      <c r="F1571" s="2">
        <v>46019</v>
      </c>
      <c r="G1571">
        <v>1200</v>
      </c>
      <c r="H1571" t="s">
        <v>14</v>
      </c>
      <c r="I1571" t="s">
        <v>16</v>
      </c>
      <c r="J1571">
        <f t="shared" si="97"/>
        <v>1200</v>
      </c>
      <c r="K1571" t="str">
        <f t="shared" si="96"/>
        <v>18-24</v>
      </c>
      <c r="L1571" t="str">
        <f t="shared" ca="1" si="98"/>
        <v>Safe</v>
      </c>
      <c r="M1571" t="str">
        <f t="shared" si="99"/>
        <v>Sep-2025</v>
      </c>
    </row>
    <row r="1572" spans="1:13" x14ac:dyDescent="0.35">
      <c r="A1572">
        <v>11571</v>
      </c>
      <c r="B1572">
        <v>37</v>
      </c>
      <c r="C1572" t="s">
        <v>10</v>
      </c>
      <c r="D1572" t="s">
        <v>12</v>
      </c>
      <c r="E1572" s="2">
        <v>45149</v>
      </c>
      <c r="F1572" s="2">
        <v>46024</v>
      </c>
      <c r="G1572">
        <v>1300</v>
      </c>
      <c r="H1572" t="s">
        <v>15</v>
      </c>
      <c r="I1572" t="s">
        <v>16</v>
      </c>
      <c r="J1572">
        <f t="shared" si="97"/>
        <v>15600</v>
      </c>
      <c r="K1572" t="str">
        <f t="shared" si="96"/>
        <v>35+</v>
      </c>
      <c r="L1572" t="str">
        <f t="shared" ca="1" si="98"/>
        <v>Safe</v>
      </c>
      <c r="M1572" t="str">
        <f t="shared" si="99"/>
        <v>Aug-2023</v>
      </c>
    </row>
    <row r="1573" spans="1:13" x14ac:dyDescent="0.35">
      <c r="A1573">
        <v>11572</v>
      </c>
      <c r="B1573">
        <v>28</v>
      </c>
      <c r="C1573" t="s">
        <v>9</v>
      </c>
      <c r="D1573" t="s">
        <v>11</v>
      </c>
      <c r="E1573" s="2">
        <v>45860</v>
      </c>
      <c r="F1573" s="2">
        <v>46030</v>
      </c>
      <c r="G1573">
        <v>1200</v>
      </c>
      <c r="H1573" t="s">
        <v>14</v>
      </c>
      <c r="I1573" t="s">
        <v>16</v>
      </c>
      <c r="J1573">
        <f t="shared" si="97"/>
        <v>1200</v>
      </c>
      <c r="K1573" t="str">
        <f t="shared" si="96"/>
        <v>25-34</v>
      </c>
      <c r="L1573" t="str">
        <f t="shared" ca="1" si="98"/>
        <v>Safe</v>
      </c>
      <c r="M1573" t="str">
        <f t="shared" si="99"/>
        <v>Jul-2025</v>
      </c>
    </row>
    <row r="1574" spans="1:13" x14ac:dyDescent="0.35">
      <c r="A1574">
        <v>11573</v>
      </c>
      <c r="B1574">
        <v>27</v>
      </c>
      <c r="C1574" t="s">
        <v>9</v>
      </c>
      <c r="D1574" t="s">
        <v>11</v>
      </c>
      <c r="E1574" s="2">
        <v>45289</v>
      </c>
      <c r="F1574" s="2">
        <v>46018</v>
      </c>
      <c r="G1574">
        <v>1200</v>
      </c>
      <c r="H1574" t="s">
        <v>14</v>
      </c>
      <c r="I1574" t="s">
        <v>16</v>
      </c>
      <c r="J1574">
        <f t="shared" si="97"/>
        <v>1200</v>
      </c>
      <c r="K1574" t="str">
        <f t="shared" si="96"/>
        <v>25-34</v>
      </c>
      <c r="L1574" t="str">
        <f t="shared" ca="1" si="98"/>
        <v>Safe</v>
      </c>
      <c r="M1574" t="str">
        <f t="shared" si="99"/>
        <v>Dec-2023</v>
      </c>
    </row>
    <row r="1575" spans="1:13" x14ac:dyDescent="0.35">
      <c r="A1575">
        <v>11574</v>
      </c>
      <c r="B1575">
        <v>19</v>
      </c>
      <c r="C1575" t="s">
        <v>10</v>
      </c>
      <c r="D1575" t="s">
        <v>11</v>
      </c>
      <c r="E1575" s="2">
        <v>45210</v>
      </c>
      <c r="F1575" s="2">
        <v>46008</v>
      </c>
      <c r="G1575">
        <v>1200</v>
      </c>
      <c r="H1575" t="s">
        <v>14</v>
      </c>
      <c r="I1575" t="s">
        <v>16</v>
      </c>
      <c r="J1575">
        <f t="shared" si="97"/>
        <v>1200</v>
      </c>
      <c r="K1575" t="str">
        <f t="shared" si="96"/>
        <v>18-24</v>
      </c>
      <c r="L1575" t="str">
        <f t="shared" ca="1" si="98"/>
        <v>Safe</v>
      </c>
      <c r="M1575" t="str">
        <f t="shared" si="99"/>
        <v>Oct-2023</v>
      </c>
    </row>
    <row r="1576" spans="1:13" x14ac:dyDescent="0.35">
      <c r="A1576">
        <v>11575</v>
      </c>
      <c r="B1576">
        <v>20</v>
      </c>
      <c r="C1576" t="s">
        <v>9</v>
      </c>
      <c r="D1576" t="s">
        <v>13</v>
      </c>
      <c r="E1576" s="2">
        <v>45631</v>
      </c>
      <c r="F1576" s="2">
        <v>46024</v>
      </c>
      <c r="G1576">
        <v>1000</v>
      </c>
      <c r="H1576" t="s">
        <v>14</v>
      </c>
      <c r="I1576" t="s">
        <v>16</v>
      </c>
      <c r="J1576">
        <f t="shared" si="97"/>
        <v>3000</v>
      </c>
      <c r="K1576" t="str">
        <f t="shared" si="96"/>
        <v>18-24</v>
      </c>
      <c r="L1576" t="str">
        <f t="shared" ca="1" si="98"/>
        <v>Safe</v>
      </c>
      <c r="M1576" t="str">
        <f t="shared" si="99"/>
        <v>Dec-2024</v>
      </c>
    </row>
    <row r="1577" spans="1:13" x14ac:dyDescent="0.35">
      <c r="A1577">
        <v>11576</v>
      </c>
      <c r="B1577">
        <v>40</v>
      </c>
      <c r="C1577" t="s">
        <v>9</v>
      </c>
      <c r="D1577" t="s">
        <v>13</v>
      </c>
      <c r="E1577" s="2">
        <v>45158</v>
      </c>
      <c r="F1577" s="2">
        <v>46024</v>
      </c>
      <c r="G1577">
        <v>1000</v>
      </c>
      <c r="H1577" t="s">
        <v>14</v>
      </c>
      <c r="I1577" t="s">
        <v>16</v>
      </c>
      <c r="J1577">
        <f t="shared" si="97"/>
        <v>3000</v>
      </c>
      <c r="K1577" t="str">
        <f t="shared" si="96"/>
        <v>35+</v>
      </c>
      <c r="L1577" t="str">
        <f t="shared" ca="1" si="98"/>
        <v>Safe</v>
      </c>
      <c r="M1577" t="str">
        <f t="shared" si="99"/>
        <v>Aug-2023</v>
      </c>
    </row>
    <row r="1578" spans="1:13" x14ac:dyDescent="0.35">
      <c r="A1578">
        <v>11577</v>
      </c>
      <c r="B1578">
        <v>40</v>
      </c>
      <c r="C1578" t="s">
        <v>9</v>
      </c>
      <c r="D1578" t="s">
        <v>12</v>
      </c>
      <c r="E1578" s="2">
        <v>45799</v>
      </c>
      <c r="F1578" s="2">
        <v>45988</v>
      </c>
      <c r="G1578">
        <v>1300</v>
      </c>
      <c r="H1578" t="s">
        <v>15</v>
      </c>
      <c r="I1578" t="s">
        <v>17</v>
      </c>
      <c r="J1578">
        <f t="shared" si="97"/>
        <v>15600</v>
      </c>
      <c r="K1578" t="str">
        <f t="shared" si="96"/>
        <v>35+</v>
      </c>
      <c r="L1578" t="str">
        <f t="shared" ca="1" si="98"/>
        <v>High Risk</v>
      </c>
      <c r="M1578" t="str">
        <f t="shared" si="99"/>
        <v>May-2025</v>
      </c>
    </row>
    <row r="1579" spans="1:13" x14ac:dyDescent="0.35">
      <c r="A1579">
        <v>11578</v>
      </c>
      <c r="B1579">
        <v>29</v>
      </c>
      <c r="C1579" t="s">
        <v>9</v>
      </c>
      <c r="D1579" t="s">
        <v>11</v>
      </c>
      <c r="E1579" s="2">
        <v>45951</v>
      </c>
      <c r="F1579" s="2">
        <v>46019</v>
      </c>
      <c r="G1579">
        <v>1200</v>
      </c>
      <c r="H1579" t="s">
        <v>14</v>
      </c>
      <c r="I1579" t="s">
        <v>16</v>
      </c>
      <c r="J1579">
        <f t="shared" si="97"/>
        <v>1200</v>
      </c>
      <c r="K1579" t="str">
        <f t="shared" si="96"/>
        <v>25-34</v>
      </c>
      <c r="L1579" t="str">
        <f t="shared" ca="1" si="98"/>
        <v>Safe</v>
      </c>
      <c r="M1579" t="str">
        <f t="shared" si="99"/>
        <v>Oct-2025</v>
      </c>
    </row>
    <row r="1580" spans="1:13" x14ac:dyDescent="0.35">
      <c r="A1580">
        <v>11579</v>
      </c>
      <c r="B1580">
        <v>37</v>
      </c>
      <c r="C1580" t="s">
        <v>10</v>
      </c>
      <c r="D1580" t="s">
        <v>13</v>
      </c>
      <c r="E1580" s="2">
        <v>45195</v>
      </c>
      <c r="F1580" s="2">
        <v>46030</v>
      </c>
      <c r="G1580">
        <v>1000</v>
      </c>
      <c r="H1580" t="s">
        <v>14</v>
      </c>
      <c r="I1580" t="s">
        <v>16</v>
      </c>
      <c r="J1580">
        <f t="shared" si="97"/>
        <v>3000</v>
      </c>
      <c r="K1580" t="str">
        <f t="shared" si="96"/>
        <v>35+</v>
      </c>
      <c r="L1580" t="str">
        <f t="shared" ca="1" si="98"/>
        <v>Safe</v>
      </c>
      <c r="M1580" t="str">
        <f t="shared" si="99"/>
        <v>Sep-2023</v>
      </c>
    </row>
    <row r="1581" spans="1:13" x14ac:dyDescent="0.35">
      <c r="A1581">
        <v>11580</v>
      </c>
      <c r="B1581">
        <v>22</v>
      </c>
      <c r="C1581" t="s">
        <v>10</v>
      </c>
      <c r="D1581" t="s">
        <v>13</v>
      </c>
      <c r="E1581" s="2">
        <v>45619</v>
      </c>
      <c r="F1581" s="2">
        <v>46028</v>
      </c>
      <c r="G1581">
        <v>1500</v>
      </c>
      <c r="H1581" t="s">
        <v>15</v>
      </c>
      <c r="I1581" t="s">
        <v>16</v>
      </c>
      <c r="J1581">
        <f t="shared" si="97"/>
        <v>4500</v>
      </c>
      <c r="K1581" t="str">
        <f t="shared" si="96"/>
        <v>18-24</v>
      </c>
      <c r="L1581" t="str">
        <f t="shared" ca="1" si="98"/>
        <v>Safe</v>
      </c>
      <c r="M1581" t="str">
        <f t="shared" si="99"/>
        <v>Nov-2024</v>
      </c>
    </row>
    <row r="1582" spans="1:13" x14ac:dyDescent="0.35">
      <c r="A1582">
        <v>11581</v>
      </c>
      <c r="B1582">
        <v>22</v>
      </c>
      <c r="C1582" t="s">
        <v>10</v>
      </c>
      <c r="D1582" t="s">
        <v>11</v>
      </c>
      <c r="E1582" s="2">
        <v>45667</v>
      </c>
      <c r="F1582" s="2">
        <v>46019</v>
      </c>
      <c r="G1582">
        <v>1200</v>
      </c>
      <c r="H1582" t="s">
        <v>14</v>
      </c>
      <c r="I1582" t="s">
        <v>16</v>
      </c>
      <c r="J1582">
        <f t="shared" si="97"/>
        <v>1200</v>
      </c>
      <c r="K1582" t="str">
        <f t="shared" si="96"/>
        <v>18-24</v>
      </c>
      <c r="L1582" t="str">
        <f t="shared" ca="1" si="98"/>
        <v>Safe</v>
      </c>
      <c r="M1582" t="str">
        <f t="shared" si="99"/>
        <v>Jan-2025</v>
      </c>
    </row>
    <row r="1583" spans="1:13" x14ac:dyDescent="0.35">
      <c r="A1583">
        <v>11582</v>
      </c>
      <c r="B1583">
        <v>23</v>
      </c>
      <c r="C1583" t="s">
        <v>9</v>
      </c>
      <c r="D1583" t="s">
        <v>12</v>
      </c>
      <c r="E1583" s="2">
        <v>45993</v>
      </c>
      <c r="F1583" s="2">
        <v>46032</v>
      </c>
      <c r="G1583">
        <v>800</v>
      </c>
      <c r="H1583" t="s">
        <v>14</v>
      </c>
      <c r="I1583" t="s">
        <v>16</v>
      </c>
      <c r="J1583">
        <f t="shared" si="97"/>
        <v>9600</v>
      </c>
      <c r="K1583" t="str">
        <f t="shared" si="96"/>
        <v>18-24</v>
      </c>
      <c r="L1583" t="str">
        <f t="shared" ca="1" si="98"/>
        <v>Safe</v>
      </c>
      <c r="M1583" t="str">
        <f t="shared" si="99"/>
        <v>Dec-2025</v>
      </c>
    </row>
    <row r="1584" spans="1:13" x14ac:dyDescent="0.35">
      <c r="A1584">
        <v>11583</v>
      </c>
      <c r="B1584">
        <v>26</v>
      </c>
      <c r="C1584" t="s">
        <v>9</v>
      </c>
      <c r="D1584" t="s">
        <v>12</v>
      </c>
      <c r="E1584" s="2">
        <v>45866</v>
      </c>
      <c r="F1584" s="2">
        <v>46009</v>
      </c>
      <c r="G1584">
        <v>800</v>
      </c>
      <c r="H1584" t="s">
        <v>14</v>
      </c>
      <c r="I1584" t="s">
        <v>16</v>
      </c>
      <c r="J1584">
        <f t="shared" si="97"/>
        <v>9600</v>
      </c>
      <c r="K1584" t="str">
        <f t="shared" si="96"/>
        <v>25-34</v>
      </c>
      <c r="L1584" t="str">
        <f t="shared" ca="1" si="98"/>
        <v>Safe</v>
      </c>
      <c r="M1584" t="str">
        <f t="shared" si="99"/>
        <v>Jul-2025</v>
      </c>
    </row>
    <row r="1585" spans="1:13" x14ac:dyDescent="0.35">
      <c r="A1585">
        <v>11584</v>
      </c>
      <c r="B1585">
        <v>19</v>
      </c>
      <c r="C1585" t="s">
        <v>9</v>
      </c>
      <c r="D1585" t="s">
        <v>13</v>
      </c>
      <c r="E1585" s="2">
        <v>45595</v>
      </c>
      <c r="F1585" s="2">
        <v>46009</v>
      </c>
      <c r="G1585">
        <v>1500</v>
      </c>
      <c r="H1585" t="s">
        <v>15</v>
      </c>
      <c r="I1585" t="s">
        <v>16</v>
      </c>
      <c r="J1585">
        <f t="shared" si="97"/>
        <v>4500</v>
      </c>
      <c r="K1585" t="str">
        <f t="shared" si="96"/>
        <v>18-24</v>
      </c>
      <c r="L1585" t="str">
        <f t="shared" ca="1" si="98"/>
        <v>Safe</v>
      </c>
      <c r="M1585" t="str">
        <f t="shared" si="99"/>
        <v>Oct-2024</v>
      </c>
    </row>
    <row r="1586" spans="1:13" x14ac:dyDescent="0.35">
      <c r="A1586">
        <v>11585</v>
      </c>
      <c r="B1586">
        <v>38</v>
      </c>
      <c r="C1586" t="s">
        <v>9</v>
      </c>
      <c r="D1586" t="s">
        <v>12</v>
      </c>
      <c r="E1586" s="2">
        <v>45595</v>
      </c>
      <c r="F1586" s="2">
        <v>46018</v>
      </c>
      <c r="G1586">
        <v>1300</v>
      </c>
      <c r="H1586" t="s">
        <v>15</v>
      </c>
      <c r="I1586" t="s">
        <v>16</v>
      </c>
      <c r="J1586">
        <f t="shared" si="97"/>
        <v>15600</v>
      </c>
      <c r="K1586" t="str">
        <f t="shared" si="96"/>
        <v>35+</v>
      </c>
      <c r="L1586" t="str">
        <f t="shared" ca="1" si="98"/>
        <v>Safe</v>
      </c>
      <c r="M1586" t="str">
        <f t="shared" si="99"/>
        <v>Oct-2024</v>
      </c>
    </row>
    <row r="1587" spans="1:13" x14ac:dyDescent="0.35">
      <c r="A1587">
        <v>11586</v>
      </c>
      <c r="B1587">
        <v>29</v>
      </c>
      <c r="C1587" t="s">
        <v>9</v>
      </c>
      <c r="D1587" t="s">
        <v>13</v>
      </c>
      <c r="E1587" s="2">
        <v>45588</v>
      </c>
      <c r="F1587" s="2">
        <v>45955</v>
      </c>
      <c r="G1587">
        <v>1000</v>
      </c>
      <c r="H1587" t="s">
        <v>14</v>
      </c>
      <c r="I1587" t="s">
        <v>17</v>
      </c>
      <c r="J1587">
        <f t="shared" si="97"/>
        <v>3000</v>
      </c>
      <c r="K1587" t="str">
        <f t="shared" si="96"/>
        <v>25-34</v>
      </c>
      <c r="L1587" t="str">
        <f t="shared" ca="1" si="98"/>
        <v>High Risk</v>
      </c>
      <c r="M1587" t="str">
        <f t="shared" si="99"/>
        <v>Oct-2024</v>
      </c>
    </row>
    <row r="1588" spans="1:13" x14ac:dyDescent="0.35">
      <c r="A1588">
        <v>11587</v>
      </c>
      <c r="B1588">
        <v>20</v>
      </c>
      <c r="C1588" t="s">
        <v>10</v>
      </c>
      <c r="D1588" t="s">
        <v>11</v>
      </c>
      <c r="E1588" s="2">
        <v>45763</v>
      </c>
      <c r="F1588" s="2">
        <v>46011</v>
      </c>
      <c r="G1588">
        <v>1700</v>
      </c>
      <c r="H1588" t="s">
        <v>15</v>
      </c>
      <c r="I1588" t="s">
        <v>16</v>
      </c>
      <c r="J1588">
        <f t="shared" si="97"/>
        <v>1700</v>
      </c>
      <c r="K1588" t="str">
        <f t="shared" si="96"/>
        <v>18-24</v>
      </c>
      <c r="L1588" t="str">
        <f t="shared" ca="1" si="98"/>
        <v>Safe</v>
      </c>
      <c r="M1588" t="str">
        <f t="shared" si="99"/>
        <v>Apr-2025</v>
      </c>
    </row>
    <row r="1589" spans="1:13" x14ac:dyDescent="0.35">
      <c r="A1589">
        <v>11588</v>
      </c>
      <c r="B1589">
        <v>37</v>
      </c>
      <c r="C1589" t="s">
        <v>9</v>
      </c>
      <c r="D1589" t="s">
        <v>13</v>
      </c>
      <c r="E1589" s="2">
        <v>45464</v>
      </c>
      <c r="F1589" s="2">
        <v>46022</v>
      </c>
      <c r="G1589">
        <v>1000</v>
      </c>
      <c r="H1589" t="s">
        <v>14</v>
      </c>
      <c r="I1589" t="s">
        <v>16</v>
      </c>
      <c r="J1589">
        <f t="shared" si="97"/>
        <v>3000</v>
      </c>
      <c r="K1589" t="str">
        <f t="shared" si="96"/>
        <v>35+</v>
      </c>
      <c r="L1589" t="str">
        <f t="shared" ca="1" si="98"/>
        <v>Safe</v>
      </c>
      <c r="M1589" t="str">
        <f t="shared" si="99"/>
        <v>Jun-2024</v>
      </c>
    </row>
    <row r="1590" spans="1:13" x14ac:dyDescent="0.35">
      <c r="A1590">
        <v>11589</v>
      </c>
      <c r="B1590">
        <v>43</v>
      </c>
      <c r="C1590" t="s">
        <v>9</v>
      </c>
      <c r="D1590" t="s">
        <v>11</v>
      </c>
      <c r="E1590" s="2">
        <v>45871</v>
      </c>
      <c r="F1590" s="2">
        <v>46031</v>
      </c>
      <c r="G1590">
        <v>1200</v>
      </c>
      <c r="H1590" t="s">
        <v>14</v>
      </c>
      <c r="I1590" t="s">
        <v>16</v>
      </c>
      <c r="J1590">
        <f t="shared" si="97"/>
        <v>1200</v>
      </c>
      <c r="K1590" t="str">
        <f t="shared" si="96"/>
        <v>35+</v>
      </c>
      <c r="L1590" t="str">
        <f t="shared" ca="1" si="98"/>
        <v>Safe</v>
      </c>
      <c r="M1590" t="str">
        <f t="shared" si="99"/>
        <v>Aug-2025</v>
      </c>
    </row>
    <row r="1591" spans="1:13" x14ac:dyDescent="0.35">
      <c r="A1591">
        <v>11590</v>
      </c>
      <c r="B1591">
        <v>39</v>
      </c>
      <c r="C1591" t="s">
        <v>9</v>
      </c>
      <c r="D1591" t="s">
        <v>11</v>
      </c>
      <c r="E1591" s="2">
        <v>45819</v>
      </c>
      <c r="F1591" s="2">
        <v>46016</v>
      </c>
      <c r="G1591">
        <v>1700</v>
      </c>
      <c r="H1591" t="s">
        <v>15</v>
      </c>
      <c r="I1591" t="s">
        <v>16</v>
      </c>
      <c r="J1591">
        <f t="shared" si="97"/>
        <v>1700</v>
      </c>
      <c r="K1591" t="str">
        <f t="shared" si="96"/>
        <v>35+</v>
      </c>
      <c r="L1591" t="str">
        <f t="shared" ca="1" si="98"/>
        <v>Safe</v>
      </c>
      <c r="M1591" t="str">
        <f t="shared" si="99"/>
        <v>Jun-2025</v>
      </c>
    </row>
    <row r="1592" spans="1:13" x14ac:dyDescent="0.35">
      <c r="A1592">
        <v>11591</v>
      </c>
      <c r="B1592">
        <v>29</v>
      </c>
      <c r="C1592" t="s">
        <v>9</v>
      </c>
      <c r="D1592" t="s">
        <v>11</v>
      </c>
      <c r="E1592" s="2">
        <v>45579</v>
      </c>
      <c r="F1592" s="2">
        <v>46016</v>
      </c>
      <c r="G1592">
        <v>1200</v>
      </c>
      <c r="H1592" t="s">
        <v>14</v>
      </c>
      <c r="I1592" t="s">
        <v>16</v>
      </c>
      <c r="J1592">
        <f t="shared" si="97"/>
        <v>1200</v>
      </c>
      <c r="K1592" t="str">
        <f t="shared" si="96"/>
        <v>25-34</v>
      </c>
      <c r="L1592" t="str">
        <f t="shared" ca="1" si="98"/>
        <v>Safe</v>
      </c>
      <c r="M1592" t="str">
        <f t="shared" si="99"/>
        <v>Oct-2024</v>
      </c>
    </row>
    <row r="1593" spans="1:13" x14ac:dyDescent="0.35">
      <c r="A1593">
        <v>11592</v>
      </c>
      <c r="B1593">
        <v>41</v>
      </c>
      <c r="C1593" t="s">
        <v>9</v>
      </c>
      <c r="D1593" t="s">
        <v>13</v>
      </c>
      <c r="E1593" s="2">
        <v>45934</v>
      </c>
      <c r="F1593" s="2">
        <v>46022</v>
      </c>
      <c r="G1593">
        <v>1000</v>
      </c>
      <c r="H1593" t="s">
        <v>14</v>
      </c>
      <c r="I1593" t="s">
        <v>16</v>
      </c>
      <c r="J1593">
        <f t="shared" si="97"/>
        <v>3000</v>
      </c>
      <c r="K1593" t="str">
        <f t="shared" si="96"/>
        <v>35+</v>
      </c>
      <c r="L1593" t="str">
        <f t="shared" ca="1" si="98"/>
        <v>Safe</v>
      </c>
      <c r="M1593" t="str">
        <f t="shared" si="99"/>
        <v>Oct-2025</v>
      </c>
    </row>
    <row r="1594" spans="1:13" x14ac:dyDescent="0.35">
      <c r="A1594">
        <v>11593</v>
      </c>
      <c r="B1594">
        <v>34</v>
      </c>
      <c r="C1594" t="s">
        <v>10</v>
      </c>
      <c r="D1594" t="s">
        <v>13</v>
      </c>
      <c r="E1594" s="2">
        <v>45606</v>
      </c>
      <c r="F1594" s="2">
        <v>46022</v>
      </c>
      <c r="G1594">
        <v>1500</v>
      </c>
      <c r="H1594" t="s">
        <v>15</v>
      </c>
      <c r="I1594" t="s">
        <v>16</v>
      </c>
      <c r="J1594">
        <f t="shared" si="97"/>
        <v>4500</v>
      </c>
      <c r="K1594" t="str">
        <f t="shared" si="96"/>
        <v>25-34</v>
      </c>
      <c r="L1594" t="str">
        <f t="shared" ca="1" si="98"/>
        <v>Safe</v>
      </c>
      <c r="M1594" t="str">
        <f t="shared" si="99"/>
        <v>Nov-2024</v>
      </c>
    </row>
    <row r="1595" spans="1:13" x14ac:dyDescent="0.35">
      <c r="A1595">
        <v>11594</v>
      </c>
      <c r="B1595">
        <v>27</v>
      </c>
      <c r="C1595" t="s">
        <v>9</v>
      </c>
      <c r="D1595" t="s">
        <v>11</v>
      </c>
      <c r="E1595" s="2">
        <v>45592</v>
      </c>
      <c r="F1595" s="2">
        <v>46013</v>
      </c>
      <c r="G1595">
        <v>1200</v>
      </c>
      <c r="H1595" t="s">
        <v>14</v>
      </c>
      <c r="I1595" t="s">
        <v>16</v>
      </c>
      <c r="J1595">
        <f t="shared" si="97"/>
        <v>1200</v>
      </c>
      <c r="K1595" t="str">
        <f t="shared" si="96"/>
        <v>25-34</v>
      </c>
      <c r="L1595" t="str">
        <f t="shared" ca="1" si="98"/>
        <v>Safe</v>
      </c>
      <c r="M1595" t="str">
        <f t="shared" si="99"/>
        <v>Oct-2024</v>
      </c>
    </row>
    <row r="1596" spans="1:13" x14ac:dyDescent="0.35">
      <c r="A1596">
        <v>11595</v>
      </c>
      <c r="B1596">
        <v>41</v>
      </c>
      <c r="C1596" t="s">
        <v>10</v>
      </c>
      <c r="D1596" t="s">
        <v>13</v>
      </c>
      <c r="E1596" s="2">
        <v>45398</v>
      </c>
      <c r="F1596" s="2">
        <v>46028</v>
      </c>
      <c r="G1596">
        <v>1000</v>
      </c>
      <c r="H1596" t="s">
        <v>14</v>
      </c>
      <c r="I1596" t="s">
        <v>16</v>
      </c>
      <c r="J1596">
        <f t="shared" si="97"/>
        <v>3000</v>
      </c>
      <c r="K1596" t="str">
        <f t="shared" si="96"/>
        <v>35+</v>
      </c>
      <c r="L1596" t="str">
        <f t="shared" ca="1" si="98"/>
        <v>Safe</v>
      </c>
      <c r="M1596" t="str">
        <f t="shared" si="99"/>
        <v>Apr-2024</v>
      </c>
    </row>
    <row r="1597" spans="1:13" x14ac:dyDescent="0.35">
      <c r="A1597">
        <v>11596</v>
      </c>
      <c r="B1597">
        <v>44</v>
      </c>
      <c r="C1597" t="s">
        <v>9</v>
      </c>
      <c r="D1597" t="s">
        <v>12</v>
      </c>
      <c r="E1597" s="2">
        <v>45286</v>
      </c>
      <c r="F1597" s="2">
        <v>46013</v>
      </c>
      <c r="G1597">
        <v>800</v>
      </c>
      <c r="H1597" t="s">
        <v>14</v>
      </c>
      <c r="I1597" t="s">
        <v>16</v>
      </c>
      <c r="J1597">
        <f t="shared" si="97"/>
        <v>9600</v>
      </c>
      <c r="K1597" t="str">
        <f t="shared" si="96"/>
        <v>35+</v>
      </c>
      <c r="L1597" t="str">
        <f t="shared" ca="1" si="98"/>
        <v>Safe</v>
      </c>
      <c r="M1597" t="str">
        <f t="shared" si="99"/>
        <v>Dec-2023</v>
      </c>
    </row>
    <row r="1598" spans="1:13" x14ac:dyDescent="0.35">
      <c r="A1598">
        <v>11597</v>
      </c>
      <c r="B1598">
        <v>31</v>
      </c>
      <c r="C1598" t="s">
        <v>10</v>
      </c>
      <c r="D1598" t="s">
        <v>11</v>
      </c>
      <c r="E1598" s="2">
        <v>45864</v>
      </c>
      <c r="F1598" s="2">
        <v>45939</v>
      </c>
      <c r="G1598">
        <v>1200</v>
      </c>
      <c r="H1598" t="s">
        <v>14</v>
      </c>
      <c r="I1598" t="s">
        <v>17</v>
      </c>
      <c r="J1598">
        <f t="shared" si="97"/>
        <v>1200</v>
      </c>
      <c r="K1598" t="str">
        <f t="shared" si="96"/>
        <v>25-34</v>
      </c>
      <c r="L1598" t="str">
        <f t="shared" ca="1" si="98"/>
        <v>High Risk</v>
      </c>
      <c r="M1598" t="str">
        <f t="shared" si="99"/>
        <v>Jul-2025</v>
      </c>
    </row>
    <row r="1599" spans="1:13" x14ac:dyDescent="0.35">
      <c r="A1599">
        <v>11598</v>
      </c>
      <c r="B1599">
        <v>40</v>
      </c>
      <c r="C1599" t="s">
        <v>10</v>
      </c>
      <c r="D1599" t="s">
        <v>11</v>
      </c>
      <c r="E1599" s="2">
        <v>45153</v>
      </c>
      <c r="F1599" s="2">
        <v>46024</v>
      </c>
      <c r="G1599">
        <v>1200</v>
      </c>
      <c r="H1599" t="s">
        <v>14</v>
      </c>
      <c r="I1599" t="s">
        <v>16</v>
      </c>
      <c r="J1599">
        <f t="shared" si="97"/>
        <v>1200</v>
      </c>
      <c r="K1599" t="str">
        <f t="shared" si="96"/>
        <v>35+</v>
      </c>
      <c r="L1599" t="str">
        <f t="shared" ca="1" si="98"/>
        <v>Safe</v>
      </c>
      <c r="M1599" t="str">
        <f t="shared" si="99"/>
        <v>Aug-2023</v>
      </c>
    </row>
    <row r="1600" spans="1:13" x14ac:dyDescent="0.35">
      <c r="A1600">
        <v>11599</v>
      </c>
      <c r="B1600">
        <v>34</v>
      </c>
      <c r="C1600" t="s">
        <v>9</v>
      </c>
      <c r="D1600" t="s">
        <v>12</v>
      </c>
      <c r="E1600" s="2">
        <v>45862</v>
      </c>
      <c r="F1600" s="2">
        <v>46022</v>
      </c>
      <c r="G1600">
        <v>800</v>
      </c>
      <c r="H1600" t="s">
        <v>14</v>
      </c>
      <c r="I1600" t="s">
        <v>16</v>
      </c>
      <c r="J1600">
        <f t="shared" si="97"/>
        <v>9600</v>
      </c>
      <c r="K1600" t="str">
        <f t="shared" si="96"/>
        <v>25-34</v>
      </c>
      <c r="L1600" t="str">
        <f t="shared" ca="1" si="98"/>
        <v>Safe</v>
      </c>
      <c r="M1600" t="str">
        <f t="shared" si="99"/>
        <v>Jul-2025</v>
      </c>
    </row>
    <row r="1601" spans="1:13" x14ac:dyDescent="0.35">
      <c r="A1601">
        <v>11600</v>
      </c>
      <c r="B1601">
        <v>35</v>
      </c>
      <c r="C1601" t="s">
        <v>9</v>
      </c>
      <c r="D1601" t="s">
        <v>11</v>
      </c>
      <c r="E1601" s="2">
        <v>45903</v>
      </c>
      <c r="F1601" s="2">
        <v>45992</v>
      </c>
      <c r="G1601">
        <v>1200</v>
      </c>
      <c r="H1601" t="s">
        <v>14</v>
      </c>
      <c r="I1601" t="s">
        <v>17</v>
      </c>
      <c r="J1601">
        <f t="shared" si="97"/>
        <v>1200</v>
      </c>
      <c r="K1601" t="str">
        <f t="shared" si="96"/>
        <v>35+</v>
      </c>
      <c r="L1601" t="str">
        <f t="shared" ca="1" si="98"/>
        <v>High Risk</v>
      </c>
      <c r="M1601" t="str">
        <f t="shared" si="99"/>
        <v>Sep-2025</v>
      </c>
    </row>
    <row r="1602" spans="1:13" x14ac:dyDescent="0.35">
      <c r="A1602">
        <v>11601</v>
      </c>
      <c r="B1602">
        <v>36</v>
      </c>
      <c r="C1602" t="s">
        <v>10</v>
      </c>
      <c r="D1602" t="s">
        <v>13</v>
      </c>
      <c r="E1602" s="2">
        <v>45200</v>
      </c>
      <c r="F1602" s="2">
        <v>46012</v>
      </c>
      <c r="G1602">
        <v>1000</v>
      </c>
      <c r="H1602" t="s">
        <v>14</v>
      </c>
      <c r="I1602" t="s">
        <v>16</v>
      </c>
      <c r="J1602">
        <f t="shared" si="97"/>
        <v>3000</v>
      </c>
      <c r="K1602" t="str">
        <f t="shared" ref="K1602:K1665" si="100">IF(B1602&lt;25,"18-24",IF(B1602&lt;35,"25-34","35+"))</f>
        <v>35+</v>
      </c>
      <c r="L1602" t="str">
        <f t="shared" ca="1" si="98"/>
        <v>Safe</v>
      </c>
      <c r="M1602" t="str">
        <f t="shared" si="99"/>
        <v>Oct-2023</v>
      </c>
    </row>
    <row r="1603" spans="1:13" x14ac:dyDescent="0.35">
      <c r="A1603">
        <v>11602</v>
      </c>
      <c r="B1603">
        <v>34</v>
      </c>
      <c r="C1603" t="s">
        <v>9</v>
      </c>
      <c r="D1603" t="s">
        <v>11</v>
      </c>
      <c r="E1603" s="2">
        <v>45351</v>
      </c>
      <c r="F1603" s="2">
        <v>46012</v>
      </c>
      <c r="G1603">
        <v>1200</v>
      </c>
      <c r="H1603" t="s">
        <v>14</v>
      </c>
      <c r="I1603" t="s">
        <v>16</v>
      </c>
      <c r="J1603">
        <f t="shared" ref="J1603:J1666" si="101">IF(D1603="Monthly",G1603,IF(D1603="Quarterly",G1603*3,G1603*12))</f>
        <v>1200</v>
      </c>
      <c r="K1603" t="str">
        <f t="shared" si="100"/>
        <v>25-34</v>
      </c>
      <c r="L1603" t="str">
        <f t="shared" ref="L1603:L1666" ca="1" si="102">IF(F1603&lt;TODAY()-30,"High Risk","Safe")</f>
        <v>Safe</v>
      </c>
      <c r="M1603" t="str">
        <f t="shared" ref="M1603:M1666" si="103">TEXT(E1603,"mmm-yyyy")</f>
        <v>Feb-2024</v>
      </c>
    </row>
    <row r="1604" spans="1:13" x14ac:dyDescent="0.35">
      <c r="A1604">
        <v>11603</v>
      </c>
      <c r="B1604">
        <v>31</v>
      </c>
      <c r="C1604" t="s">
        <v>10</v>
      </c>
      <c r="D1604" t="s">
        <v>13</v>
      </c>
      <c r="E1604" s="2">
        <v>45839</v>
      </c>
      <c r="F1604" s="2">
        <v>46022</v>
      </c>
      <c r="G1604">
        <v>1000</v>
      </c>
      <c r="H1604" t="s">
        <v>14</v>
      </c>
      <c r="I1604" t="s">
        <v>16</v>
      </c>
      <c r="J1604">
        <f t="shared" si="101"/>
        <v>3000</v>
      </c>
      <c r="K1604" t="str">
        <f t="shared" si="100"/>
        <v>25-34</v>
      </c>
      <c r="L1604" t="str">
        <f t="shared" ca="1" si="102"/>
        <v>Safe</v>
      </c>
      <c r="M1604" t="str">
        <f t="shared" si="103"/>
        <v>Jul-2025</v>
      </c>
    </row>
    <row r="1605" spans="1:13" x14ac:dyDescent="0.35">
      <c r="A1605">
        <v>11604</v>
      </c>
      <c r="B1605">
        <v>26</v>
      </c>
      <c r="C1605" t="s">
        <v>9</v>
      </c>
      <c r="D1605" t="s">
        <v>13</v>
      </c>
      <c r="E1605" s="2">
        <v>45745</v>
      </c>
      <c r="F1605" s="2">
        <v>46014</v>
      </c>
      <c r="G1605">
        <v>1500</v>
      </c>
      <c r="H1605" t="s">
        <v>15</v>
      </c>
      <c r="I1605" t="s">
        <v>16</v>
      </c>
      <c r="J1605">
        <f t="shared" si="101"/>
        <v>4500</v>
      </c>
      <c r="K1605" t="str">
        <f t="shared" si="100"/>
        <v>25-34</v>
      </c>
      <c r="L1605" t="str">
        <f t="shared" ca="1" si="102"/>
        <v>Safe</v>
      </c>
      <c r="M1605" t="str">
        <f t="shared" si="103"/>
        <v>Mar-2025</v>
      </c>
    </row>
    <row r="1606" spans="1:13" x14ac:dyDescent="0.35">
      <c r="A1606">
        <v>11605</v>
      </c>
      <c r="B1606">
        <v>25</v>
      </c>
      <c r="C1606" t="s">
        <v>9</v>
      </c>
      <c r="D1606" t="s">
        <v>13</v>
      </c>
      <c r="E1606" s="2">
        <v>45804</v>
      </c>
      <c r="F1606" s="2">
        <v>46031</v>
      </c>
      <c r="G1606">
        <v>1000</v>
      </c>
      <c r="H1606" t="s">
        <v>14</v>
      </c>
      <c r="I1606" t="s">
        <v>16</v>
      </c>
      <c r="J1606">
        <f t="shared" si="101"/>
        <v>3000</v>
      </c>
      <c r="K1606" t="str">
        <f t="shared" si="100"/>
        <v>25-34</v>
      </c>
      <c r="L1606" t="str">
        <f t="shared" ca="1" si="102"/>
        <v>Safe</v>
      </c>
      <c r="M1606" t="str">
        <f t="shared" si="103"/>
        <v>May-2025</v>
      </c>
    </row>
    <row r="1607" spans="1:13" x14ac:dyDescent="0.35">
      <c r="A1607">
        <v>11606</v>
      </c>
      <c r="B1607">
        <v>19</v>
      </c>
      <c r="C1607" t="s">
        <v>10</v>
      </c>
      <c r="D1607" t="s">
        <v>12</v>
      </c>
      <c r="E1607" s="2">
        <v>45204</v>
      </c>
      <c r="F1607" s="2">
        <v>46029</v>
      </c>
      <c r="G1607">
        <v>800</v>
      </c>
      <c r="H1607" t="s">
        <v>14</v>
      </c>
      <c r="I1607" t="s">
        <v>16</v>
      </c>
      <c r="J1607">
        <f t="shared" si="101"/>
        <v>9600</v>
      </c>
      <c r="K1607" t="str">
        <f t="shared" si="100"/>
        <v>18-24</v>
      </c>
      <c r="L1607" t="str">
        <f t="shared" ca="1" si="102"/>
        <v>Safe</v>
      </c>
      <c r="M1607" t="str">
        <f t="shared" si="103"/>
        <v>Oct-2023</v>
      </c>
    </row>
    <row r="1608" spans="1:13" x14ac:dyDescent="0.35">
      <c r="A1608">
        <v>11607</v>
      </c>
      <c r="B1608">
        <v>30</v>
      </c>
      <c r="C1608" t="s">
        <v>10</v>
      </c>
      <c r="D1608" t="s">
        <v>12</v>
      </c>
      <c r="E1608" s="2">
        <v>45180</v>
      </c>
      <c r="F1608" s="2">
        <v>46014</v>
      </c>
      <c r="G1608">
        <v>1300</v>
      </c>
      <c r="H1608" t="s">
        <v>15</v>
      </c>
      <c r="I1608" t="s">
        <v>16</v>
      </c>
      <c r="J1608">
        <f t="shared" si="101"/>
        <v>15600</v>
      </c>
      <c r="K1608" t="str">
        <f t="shared" si="100"/>
        <v>25-34</v>
      </c>
      <c r="L1608" t="str">
        <f t="shared" ca="1" si="102"/>
        <v>Safe</v>
      </c>
      <c r="M1608" t="str">
        <f t="shared" si="103"/>
        <v>Sep-2023</v>
      </c>
    </row>
    <row r="1609" spans="1:13" x14ac:dyDescent="0.35">
      <c r="A1609">
        <v>11608</v>
      </c>
      <c r="B1609">
        <v>42</v>
      </c>
      <c r="C1609" t="s">
        <v>9</v>
      </c>
      <c r="D1609" t="s">
        <v>12</v>
      </c>
      <c r="E1609" s="2">
        <v>45845</v>
      </c>
      <c r="F1609" s="2">
        <v>46010</v>
      </c>
      <c r="G1609">
        <v>800</v>
      </c>
      <c r="H1609" t="s">
        <v>14</v>
      </c>
      <c r="I1609" t="s">
        <v>16</v>
      </c>
      <c r="J1609">
        <f t="shared" si="101"/>
        <v>9600</v>
      </c>
      <c r="K1609" t="str">
        <f t="shared" si="100"/>
        <v>35+</v>
      </c>
      <c r="L1609" t="str">
        <f t="shared" ca="1" si="102"/>
        <v>Safe</v>
      </c>
      <c r="M1609" t="str">
        <f t="shared" si="103"/>
        <v>Jul-2025</v>
      </c>
    </row>
    <row r="1610" spans="1:13" x14ac:dyDescent="0.35">
      <c r="A1610">
        <v>11609</v>
      </c>
      <c r="B1610">
        <v>24</v>
      </c>
      <c r="C1610" t="s">
        <v>10</v>
      </c>
      <c r="D1610" t="s">
        <v>13</v>
      </c>
      <c r="E1610" s="2">
        <v>45803</v>
      </c>
      <c r="F1610" s="2">
        <v>46030</v>
      </c>
      <c r="G1610">
        <v>1500</v>
      </c>
      <c r="H1610" t="s">
        <v>15</v>
      </c>
      <c r="I1610" t="s">
        <v>16</v>
      </c>
      <c r="J1610">
        <f t="shared" si="101"/>
        <v>4500</v>
      </c>
      <c r="K1610" t="str">
        <f t="shared" si="100"/>
        <v>18-24</v>
      </c>
      <c r="L1610" t="str">
        <f t="shared" ca="1" si="102"/>
        <v>Safe</v>
      </c>
      <c r="M1610" t="str">
        <f t="shared" si="103"/>
        <v>May-2025</v>
      </c>
    </row>
    <row r="1611" spans="1:13" x14ac:dyDescent="0.35">
      <c r="A1611">
        <v>11610</v>
      </c>
      <c r="B1611">
        <v>26</v>
      </c>
      <c r="C1611" t="s">
        <v>9</v>
      </c>
      <c r="D1611" t="s">
        <v>11</v>
      </c>
      <c r="E1611" s="2">
        <v>45519</v>
      </c>
      <c r="F1611" s="2">
        <v>46026</v>
      </c>
      <c r="G1611">
        <v>1700</v>
      </c>
      <c r="H1611" t="s">
        <v>15</v>
      </c>
      <c r="I1611" t="s">
        <v>16</v>
      </c>
      <c r="J1611">
        <f t="shared" si="101"/>
        <v>1700</v>
      </c>
      <c r="K1611" t="str">
        <f t="shared" si="100"/>
        <v>25-34</v>
      </c>
      <c r="L1611" t="str">
        <f t="shared" ca="1" si="102"/>
        <v>Safe</v>
      </c>
      <c r="M1611" t="str">
        <f t="shared" si="103"/>
        <v>Aug-2024</v>
      </c>
    </row>
    <row r="1612" spans="1:13" x14ac:dyDescent="0.35">
      <c r="A1612">
        <v>11611</v>
      </c>
      <c r="B1612">
        <v>39</v>
      </c>
      <c r="C1612" t="s">
        <v>9</v>
      </c>
      <c r="D1612" t="s">
        <v>13</v>
      </c>
      <c r="E1612" s="2">
        <v>45377</v>
      </c>
      <c r="F1612" s="2">
        <v>46008</v>
      </c>
      <c r="G1612">
        <v>1000</v>
      </c>
      <c r="H1612" t="s">
        <v>14</v>
      </c>
      <c r="I1612" t="s">
        <v>16</v>
      </c>
      <c r="J1612">
        <f t="shared" si="101"/>
        <v>3000</v>
      </c>
      <c r="K1612" t="str">
        <f t="shared" si="100"/>
        <v>35+</v>
      </c>
      <c r="L1612" t="str">
        <f t="shared" ca="1" si="102"/>
        <v>Safe</v>
      </c>
      <c r="M1612" t="str">
        <f t="shared" si="103"/>
        <v>Mar-2024</v>
      </c>
    </row>
    <row r="1613" spans="1:13" x14ac:dyDescent="0.35">
      <c r="A1613">
        <v>11612</v>
      </c>
      <c r="B1613">
        <v>39</v>
      </c>
      <c r="C1613" t="s">
        <v>9</v>
      </c>
      <c r="D1613" t="s">
        <v>11</v>
      </c>
      <c r="E1613" s="2">
        <v>45371</v>
      </c>
      <c r="F1613" s="2">
        <v>46022</v>
      </c>
      <c r="G1613">
        <v>1200</v>
      </c>
      <c r="H1613" t="s">
        <v>14</v>
      </c>
      <c r="I1613" t="s">
        <v>16</v>
      </c>
      <c r="J1613">
        <f t="shared" si="101"/>
        <v>1200</v>
      </c>
      <c r="K1613" t="str">
        <f t="shared" si="100"/>
        <v>35+</v>
      </c>
      <c r="L1613" t="str">
        <f t="shared" ca="1" si="102"/>
        <v>Safe</v>
      </c>
      <c r="M1613" t="str">
        <f t="shared" si="103"/>
        <v>Mar-2024</v>
      </c>
    </row>
    <row r="1614" spans="1:13" x14ac:dyDescent="0.35">
      <c r="A1614">
        <v>11613</v>
      </c>
      <c r="B1614">
        <v>28</v>
      </c>
      <c r="C1614" t="s">
        <v>9</v>
      </c>
      <c r="D1614" t="s">
        <v>12</v>
      </c>
      <c r="E1614" s="2">
        <v>45511</v>
      </c>
      <c r="F1614" s="2">
        <v>46012</v>
      </c>
      <c r="G1614">
        <v>1300</v>
      </c>
      <c r="H1614" t="s">
        <v>15</v>
      </c>
      <c r="I1614" t="s">
        <v>16</v>
      </c>
      <c r="J1614">
        <f t="shared" si="101"/>
        <v>15600</v>
      </c>
      <c r="K1614" t="str">
        <f t="shared" si="100"/>
        <v>25-34</v>
      </c>
      <c r="L1614" t="str">
        <f t="shared" ca="1" si="102"/>
        <v>Safe</v>
      </c>
      <c r="M1614" t="str">
        <f t="shared" si="103"/>
        <v>Aug-2024</v>
      </c>
    </row>
    <row r="1615" spans="1:13" x14ac:dyDescent="0.35">
      <c r="A1615">
        <v>11614</v>
      </c>
      <c r="B1615">
        <v>31</v>
      </c>
      <c r="C1615" t="s">
        <v>10</v>
      </c>
      <c r="D1615" t="s">
        <v>11</v>
      </c>
      <c r="E1615" s="2">
        <v>45868</v>
      </c>
      <c r="F1615" s="2">
        <v>45943</v>
      </c>
      <c r="G1615">
        <v>1200</v>
      </c>
      <c r="H1615" t="s">
        <v>14</v>
      </c>
      <c r="I1615" t="s">
        <v>17</v>
      </c>
      <c r="J1615">
        <f t="shared" si="101"/>
        <v>1200</v>
      </c>
      <c r="K1615" t="str">
        <f t="shared" si="100"/>
        <v>25-34</v>
      </c>
      <c r="L1615" t="str">
        <f t="shared" ca="1" si="102"/>
        <v>High Risk</v>
      </c>
      <c r="M1615" t="str">
        <f t="shared" si="103"/>
        <v>Jul-2025</v>
      </c>
    </row>
    <row r="1616" spans="1:13" x14ac:dyDescent="0.35">
      <c r="A1616">
        <v>11615</v>
      </c>
      <c r="B1616">
        <v>21</v>
      </c>
      <c r="C1616" t="s">
        <v>9</v>
      </c>
      <c r="D1616" t="s">
        <v>13</v>
      </c>
      <c r="E1616" s="2">
        <v>45298</v>
      </c>
      <c r="F1616" s="2">
        <v>46015</v>
      </c>
      <c r="G1616">
        <v>1000</v>
      </c>
      <c r="H1616" t="s">
        <v>14</v>
      </c>
      <c r="I1616" t="s">
        <v>16</v>
      </c>
      <c r="J1616">
        <f t="shared" si="101"/>
        <v>3000</v>
      </c>
      <c r="K1616" t="str">
        <f t="shared" si="100"/>
        <v>18-24</v>
      </c>
      <c r="L1616" t="str">
        <f t="shared" ca="1" si="102"/>
        <v>Safe</v>
      </c>
      <c r="M1616" t="str">
        <f t="shared" si="103"/>
        <v>Jan-2024</v>
      </c>
    </row>
    <row r="1617" spans="1:13" x14ac:dyDescent="0.35">
      <c r="A1617">
        <v>11616</v>
      </c>
      <c r="B1617">
        <v>43</v>
      </c>
      <c r="C1617" t="s">
        <v>9</v>
      </c>
      <c r="D1617" t="s">
        <v>11</v>
      </c>
      <c r="E1617" s="2">
        <v>45778</v>
      </c>
      <c r="F1617" s="2">
        <v>45955</v>
      </c>
      <c r="G1617">
        <v>1700</v>
      </c>
      <c r="H1617" t="s">
        <v>15</v>
      </c>
      <c r="I1617" t="s">
        <v>17</v>
      </c>
      <c r="J1617">
        <f t="shared" si="101"/>
        <v>1700</v>
      </c>
      <c r="K1617" t="str">
        <f t="shared" si="100"/>
        <v>35+</v>
      </c>
      <c r="L1617" t="str">
        <f t="shared" ca="1" si="102"/>
        <v>High Risk</v>
      </c>
      <c r="M1617" t="str">
        <f t="shared" si="103"/>
        <v>May-2025</v>
      </c>
    </row>
    <row r="1618" spans="1:13" x14ac:dyDescent="0.35">
      <c r="A1618">
        <v>11617</v>
      </c>
      <c r="B1618">
        <v>43</v>
      </c>
      <c r="C1618" t="s">
        <v>9</v>
      </c>
      <c r="D1618" t="s">
        <v>12</v>
      </c>
      <c r="E1618" s="2">
        <v>45746</v>
      </c>
      <c r="F1618" s="2">
        <v>45959</v>
      </c>
      <c r="G1618">
        <v>800</v>
      </c>
      <c r="H1618" t="s">
        <v>14</v>
      </c>
      <c r="I1618" t="s">
        <v>17</v>
      </c>
      <c r="J1618">
        <f t="shared" si="101"/>
        <v>9600</v>
      </c>
      <c r="K1618" t="str">
        <f t="shared" si="100"/>
        <v>35+</v>
      </c>
      <c r="L1618" t="str">
        <f t="shared" ca="1" si="102"/>
        <v>High Risk</v>
      </c>
      <c r="M1618" t="str">
        <f t="shared" si="103"/>
        <v>Mar-2025</v>
      </c>
    </row>
    <row r="1619" spans="1:13" x14ac:dyDescent="0.35">
      <c r="A1619">
        <v>11618</v>
      </c>
      <c r="B1619">
        <v>30</v>
      </c>
      <c r="C1619" t="s">
        <v>9</v>
      </c>
      <c r="D1619" t="s">
        <v>12</v>
      </c>
      <c r="E1619" s="2">
        <v>45350</v>
      </c>
      <c r="F1619" s="2">
        <v>46015</v>
      </c>
      <c r="G1619">
        <v>800</v>
      </c>
      <c r="H1619" t="s">
        <v>14</v>
      </c>
      <c r="I1619" t="s">
        <v>16</v>
      </c>
      <c r="J1619">
        <f t="shared" si="101"/>
        <v>9600</v>
      </c>
      <c r="K1619" t="str">
        <f t="shared" si="100"/>
        <v>25-34</v>
      </c>
      <c r="L1619" t="str">
        <f t="shared" ca="1" si="102"/>
        <v>Safe</v>
      </c>
      <c r="M1619" t="str">
        <f t="shared" si="103"/>
        <v>Feb-2024</v>
      </c>
    </row>
    <row r="1620" spans="1:13" x14ac:dyDescent="0.35">
      <c r="A1620">
        <v>11619</v>
      </c>
      <c r="B1620">
        <v>19</v>
      </c>
      <c r="C1620" t="s">
        <v>9</v>
      </c>
      <c r="D1620" t="s">
        <v>11</v>
      </c>
      <c r="E1620" s="2">
        <v>45229</v>
      </c>
      <c r="F1620" s="2">
        <v>46018</v>
      </c>
      <c r="G1620">
        <v>1200</v>
      </c>
      <c r="H1620" t="s">
        <v>14</v>
      </c>
      <c r="I1620" t="s">
        <v>16</v>
      </c>
      <c r="J1620">
        <f t="shared" si="101"/>
        <v>1200</v>
      </c>
      <c r="K1620" t="str">
        <f t="shared" si="100"/>
        <v>18-24</v>
      </c>
      <c r="L1620" t="str">
        <f t="shared" ca="1" si="102"/>
        <v>Safe</v>
      </c>
      <c r="M1620" t="str">
        <f t="shared" si="103"/>
        <v>Oct-2023</v>
      </c>
    </row>
    <row r="1621" spans="1:13" x14ac:dyDescent="0.35">
      <c r="A1621">
        <v>11620</v>
      </c>
      <c r="B1621">
        <v>40</v>
      </c>
      <c r="C1621" t="s">
        <v>10</v>
      </c>
      <c r="D1621" t="s">
        <v>12</v>
      </c>
      <c r="E1621" s="2">
        <v>45891</v>
      </c>
      <c r="F1621" s="2">
        <v>46012</v>
      </c>
      <c r="G1621">
        <v>800</v>
      </c>
      <c r="H1621" t="s">
        <v>14</v>
      </c>
      <c r="I1621" t="s">
        <v>16</v>
      </c>
      <c r="J1621">
        <f t="shared" si="101"/>
        <v>9600</v>
      </c>
      <c r="K1621" t="str">
        <f t="shared" si="100"/>
        <v>35+</v>
      </c>
      <c r="L1621" t="str">
        <f t="shared" ca="1" si="102"/>
        <v>Safe</v>
      </c>
      <c r="M1621" t="str">
        <f t="shared" si="103"/>
        <v>Aug-2025</v>
      </c>
    </row>
    <row r="1622" spans="1:13" x14ac:dyDescent="0.35">
      <c r="A1622">
        <v>11621</v>
      </c>
      <c r="B1622">
        <v>22</v>
      </c>
      <c r="C1622" t="s">
        <v>9</v>
      </c>
      <c r="D1622" t="s">
        <v>11</v>
      </c>
      <c r="E1622" s="2">
        <v>45417</v>
      </c>
      <c r="F1622" s="2">
        <v>46015</v>
      </c>
      <c r="G1622">
        <v>1200</v>
      </c>
      <c r="H1622" t="s">
        <v>14</v>
      </c>
      <c r="I1622" t="s">
        <v>16</v>
      </c>
      <c r="J1622">
        <f t="shared" si="101"/>
        <v>1200</v>
      </c>
      <c r="K1622" t="str">
        <f t="shared" si="100"/>
        <v>18-24</v>
      </c>
      <c r="L1622" t="str">
        <f t="shared" ca="1" si="102"/>
        <v>Safe</v>
      </c>
      <c r="M1622" t="str">
        <f t="shared" si="103"/>
        <v>May-2024</v>
      </c>
    </row>
    <row r="1623" spans="1:13" x14ac:dyDescent="0.35">
      <c r="A1623">
        <v>11622</v>
      </c>
      <c r="B1623">
        <v>28</v>
      </c>
      <c r="C1623" t="s">
        <v>10</v>
      </c>
      <c r="D1623" t="s">
        <v>13</v>
      </c>
      <c r="E1623" s="2">
        <v>45597</v>
      </c>
      <c r="F1623" s="2">
        <v>46014</v>
      </c>
      <c r="G1623">
        <v>1500</v>
      </c>
      <c r="H1623" t="s">
        <v>15</v>
      </c>
      <c r="I1623" t="s">
        <v>16</v>
      </c>
      <c r="J1623">
        <f t="shared" si="101"/>
        <v>4500</v>
      </c>
      <c r="K1623" t="str">
        <f t="shared" si="100"/>
        <v>25-34</v>
      </c>
      <c r="L1623" t="str">
        <f t="shared" ca="1" si="102"/>
        <v>Safe</v>
      </c>
      <c r="M1623" t="str">
        <f t="shared" si="103"/>
        <v>Nov-2024</v>
      </c>
    </row>
    <row r="1624" spans="1:13" x14ac:dyDescent="0.35">
      <c r="A1624">
        <v>11623</v>
      </c>
      <c r="B1624">
        <v>23</v>
      </c>
      <c r="C1624" t="s">
        <v>10</v>
      </c>
      <c r="D1624" t="s">
        <v>12</v>
      </c>
      <c r="E1624" s="2">
        <v>45909</v>
      </c>
      <c r="F1624" s="2">
        <v>45949</v>
      </c>
      <c r="G1624">
        <v>1300</v>
      </c>
      <c r="H1624" t="s">
        <v>15</v>
      </c>
      <c r="I1624" t="s">
        <v>17</v>
      </c>
      <c r="J1624">
        <f t="shared" si="101"/>
        <v>15600</v>
      </c>
      <c r="K1624" t="str">
        <f t="shared" si="100"/>
        <v>18-24</v>
      </c>
      <c r="L1624" t="str">
        <f t="shared" ca="1" si="102"/>
        <v>High Risk</v>
      </c>
      <c r="M1624" t="str">
        <f t="shared" si="103"/>
        <v>Sep-2025</v>
      </c>
    </row>
    <row r="1625" spans="1:13" x14ac:dyDescent="0.35">
      <c r="A1625">
        <v>11624</v>
      </c>
      <c r="B1625">
        <v>35</v>
      </c>
      <c r="C1625" t="s">
        <v>9</v>
      </c>
      <c r="D1625" t="s">
        <v>11</v>
      </c>
      <c r="E1625" s="2">
        <v>45389</v>
      </c>
      <c r="F1625" s="2">
        <v>46030</v>
      </c>
      <c r="G1625">
        <v>1200</v>
      </c>
      <c r="H1625" t="s">
        <v>14</v>
      </c>
      <c r="I1625" t="s">
        <v>16</v>
      </c>
      <c r="J1625">
        <f t="shared" si="101"/>
        <v>1200</v>
      </c>
      <c r="K1625" t="str">
        <f t="shared" si="100"/>
        <v>35+</v>
      </c>
      <c r="L1625" t="str">
        <f t="shared" ca="1" si="102"/>
        <v>Safe</v>
      </c>
      <c r="M1625" t="str">
        <f t="shared" si="103"/>
        <v>Apr-2024</v>
      </c>
    </row>
    <row r="1626" spans="1:13" x14ac:dyDescent="0.35">
      <c r="A1626">
        <v>11625</v>
      </c>
      <c r="B1626">
        <v>38</v>
      </c>
      <c r="C1626" t="s">
        <v>10</v>
      </c>
      <c r="D1626" t="s">
        <v>12</v>
      </c>
      <c r="E1626" s="2">
        <v>45474</v>
      </c>
      <c r="F1626" s="2">
        <v>46032</v>
      </c>
      <c r="G1626">
        <v>800</v>
      </c>
      <c r="H1626" t="s">
        <v>14</v>
      </c>
      <c r="I1626" t="s">
        <v>16</v>
      </c>
      <c r="J1626">
        <f t="shared" si="101"/>
        <v>9600</v>
      </c>
      <c r="K1626" t="str">
        <f t="shared" si="100"/>
        <v>35+</v>
      </c>
      <c r="L1626" t="str">
        <f t="shared" ca="1" si="102"/>
        <v>Safe</v>
      </c>
      <c r="M1626" t="str">
        <f t="shared" si="103"/>
        <v>Jul-2024</v>
      </c>
    </row>
    <row r="1627" spans="1:13" x14ac:dyDescent="0.35">
      <c r="A1627">
        <v>11626</v>
      </c>
      <c r="B1627">
        <v>27</v>
      </c>
      <c r="C1627" t="s">
        <v>10</v>
      </c>
      <c r="D1627" t="s">
        <v>11</v>
      </c>
      <c r="E1627" s="2">
        <v>45394</v>
      </c>
      <c r="F1627" s="2">
        <v>46030</v>
      </c>
      <c r="G1627">
        <v>1700</v>
      </c>
      <c r="H1627" t="s">
        <v>15</v>
      </c>
      <c r="I1627" t="s">
        <v>16</v>
      </c>
      <c r="J1627">
        <f t="shared" si="101"/>
        <v>1700</v>
      </c>
      <c r="K1627" t="str">
        <f t="shared" si="100"/>
        <v>25-34</v>
      </c>
      <c r="L1627" t="str">
        <f t="shared" ca="1" si="102"/>
        <v>Safe</v>
      </c>
      <c r="M1627" t="str">
        <f t="shared" si="103"/>
        <v>Apr-2024</v>
      </c>
    </row>
    <row r="1628" spans="1:13" x14ac:dyDescent="0.35">
      <c r="A1628">
        <v>11627</v>
      </c>
      <c r="B1628">
        <v>21</v>
      </c>
      <c r="C1628" t="s">
        <v>9</v>
      </c>
      <c r="D1628" t="s">
        <v>11</v>
      </c>
      <c r="E1628" s="2">
        <v>45744</v>
      </c>
      <c r="F1628" s="2">
        <v>46030</v>
      </c>
      <c r="G1628">
        <v>1200</v>
      </c>
      <c r="H1628" t="s">
        <v>14</v>
      </c>
      <c r="I1628" t="s">
        <v>16</v>
      </c>
      <c r="J1628">
        <f t="shared" si="101"/>
        <v>1200</v>
      </c>
      <c r="K1628" t="str">
        <f t="shared" si="100"/>
        <v>18-24</v>
      </c>
      <c r="L1628" t="str">
        <f t="shared" ca="1" si="102"/>
        <v>Safe</v>
      </c>
      <c r="M1628" t="str">
        <f t="shared" si="103"/>
        <v>Mar-2025</v>
      </c>
    </row>
    <row r="1629" spans="1:13" x14ac:dyDescent="0.35">
      <c r="A1629">
        <v>11628</v>
      </c>
      <c r="B1629">
        <v>26</v>
      </c>
      <c r="C1629" t="s">
        <v>9</v>
      </c>
      <c r="D1629" t="s">
        <v>12</v>
      </c>
      <c r="E1629" s="2">
        <v>45797</v>
      </c>
      <c r="F1629" s="2">
        <v>46013</v>
      </c>
      <c r="G1629">
        <v>800</v>
      </c>
      <c r="H1629" t="s">
        <v>14</v>
      </c>
      <c r="I1629" t="s">
        <v>16</v>
      </c>
      <c r="J1629">
        <f t="shared" si="101"/>
        <v>9600</v>
      </c>
      <c r="K1629" t="str">
        <f t="shared" si="100"/>
        <v>25-34</v>
      </c>
      <c r="L1629" t="str">
        <f t="shared" ca="1" si="102"/>
        <v>Safe</v>
      </c>
      <c r="M1629" t="str">
        <f t="shared" si="103"/>
        <v>May-2025</v>
      </c>
    </row>
    <row r="1630" spans="1:13" x14ac:dyDescent="0.35">
      <c r="A1630">
        <v>11629</v>
      </c>
      <c r="B1630">
        <v>23</v>
      </c>
      <c r="C1630" t="s">
        <v>9</v>
      </c>
      <c r="D1630" t="s">
        <v>11</v>
      </c>
      <c r="E1630" s="2">
        <v>45938</v>
      </c>
      <c r="F1630" s="2">
        <v>46018</v>
      </c>
      <c r="G1630">
        <v>1700</v>
      </c>
      <c r="H1630" t="s">
        <v>15</v>
      </c>
      <c r="I1630" t="s">
        <v>16</v>
      </c>
      <c r="J1630">
        <f t="shared" si="101"/>
        <v>1700</v>
      </c>
      <c r="K1630" t="str">
        <f t="shared" si="100"/>
        <v>18-24</v>
      </c>
      <c r="L1630" t="str">
        <f t="shared" ca="1" si="102"/>
        <v>Safe</v>
      </c>
      <c r="M1630" t="str">
        <f t="shared" si="103"/>
        <v>Oct-2025</v>
      </c>
    </row>
    <row r="1631" spans="1:13" x14ac:dyDescent="0.35">
      <c r="A1631">
        <v>11630</v>
      </c>
      <c r="B1631">
        <v>19</v>
      </c>
      <c r="C1631" t="s">
        <v>9</v>
      </c>
      <c r="D1631" t="s">
        <v>12</v>
      </c>
      <c r="E1631" s="2">
        <v>45460</v>
      </c>
      <c r="F1631" s="2">
        <v>46010</v>
      </c>
      <c r="G1631">
        <v>1300</v>
      </c>
      <c r="H1631" t="s">
        <v>15</v>
      </c>
      <c r="I1631" t="s">
        <v>16</v>
      </c>
      <c r="J1631">
        <f t="shared" si="101"/>
        <v>15600</v>
      </c>
      <c r="K1631" t="str">
        <f t="shared" si="100"/>
        <v>18-24</v>
      </c>
      <c r="L1631" t="str">
        <f t="shared" ca="1" si="102"/>
        <v>Safe</v>
      </c>
      <c r="M1631" t="str">
        <f t="shared" si="103"/>
        <v>Jun-2024</v>
      </c>
    </row>
    <row r="1632" spans="1:13" x14ac:dyDescent="0.35">
      <c r="A1632">
        <v>11631</v>
      </c>
      <c r="B1632">
        <v>34</v>
      </c>
      <c r="C1632" t="s">
        <v>10</v>
      </c>
      <c r="D1632" t="s">
        <v>12</v>
      </c>
      <c r="E1632" s="2">
        <v>45550</v>
      </c>
      <c r="F1632" s="2">
        <v>46024</v>
      </c>
      <c r="G1632">
        <v>1300</v>
      </c>
      <c r="H1632" t="s">
        <v>15</v>
      </c>
      <c r="I1632" t="s">
        <v>16</v>
      </c>
      <c r="J1632">
        <f t="shared" si="101"/>
        <v>15600</v>
      </c>
      <c r="K1632" t="str">
        <f t="shared" si="100"/>
        <v>25-34</v>
      </c>
      <c r="L1632" t="str">
        <f t="shared" ca="1" si="102"/>
        <v>Safe</v>
      </c>
      <c r="M1632" t="str">
        <f t="shared" si="103"/>
        <v>Sep-2024</v>
      </c>
    </row>
    <row r="1633" spans="1:13" x14ac:dyDescent="0.35">
      <c r="A1633">
        <v>11632</v>
      </c>
      <c r="B1633">
        <v>22</v>
      </c>
      <c r="C1633" t="s">
        <v>9</v>
      </c>
      <c r="D1633" t="s">
        <v>11</v>
      </c>
      <c r="E1633" s="2">
        <v>45512</v>
      </c>
      <c r="F1633" s="2">
        <v>45914</v>
      </c>
      <c r="G1633">
        <v>1200</v>
      </c>
      <c r="H1633" t="s">
        <v>14</v>
      </c>
      <c r="I1633" t="s">
        <v>17</v>
      </c>
      <c r="J1633">
        <f t="shared" si="101"/>
        <v>1200</v>
      </c>
      <c r="K1633" t="str">
        <f t="shared" si="100"/>
        <v>18-24</v>
      </c>
      <c r="L1633" t="str">
        <f t="shared" ca="1" si="102"/>
        <v>High Risk</v>
      </c>
      <c r="M1633" t="str">
        <f t="shared" si="103"/>
        <v>Aug-2024</v>
      </c>
    </row>
    <row r="1634" spans="1:13" x14ac:dyDescent="0.35">
      <c r="A1634">
        <v>11633</v>
      </c>
      <c r="B1634">
        <v>42</v>
      </c>
      <c r="C1634" t="s">
        <v>10</v>
      </c>
      <c r="D1634" t="s">
        <v>13</v>
      </c>
      <c r="E1634" s="2">
        <v>45970</v>
      </c>
      <c r="F1634" s="2">
        <v>45934</v>
      </c>
      <c r="G1634">
        <v>1500</v>
      </c>
      <c r="H1634" t="s">
        <v>15</v>
      </c>
      <c r="I1634" t="s">
        <v>17</v>
      </c>
      <c r="J1634">
        <f t="shared" si="101"/>
        <v>4500</v>
      </c>
      <c r="K1634" t="str">
        <f t="shared" si="100"/>
        <v>35+</v>
      </c>
      <c r="L1634" t="str">
        <f t="shared" ca="1" si="102"/>
        <v>High Risk</v>
      </c>
      <c r="M1634" t="str">
        <f t="shared" si="103"/>
        <v>Nov-2025</v>
      </c>
    </row>
    <row r="1635" spans="1:13" x14ac:dyDescent="0.35">
      <c r="A1635">
        <v>11634</v>
      </c>
      <c r="B1635">
        <v>23</v>
      </c>
      <c r="C1635" t="s">
        <v>9</v>
      </c>
      <c r="D1635" t="s">
        <v>11</v>
      </c>
      <c r="E1635" s="2">
        <v>45786</v>
      </c>
      <c r="F1635" s="2">
        <v>46023</v>
      </c>
      <c r="G1635">
        <v>1200</v>
      </c>
      <c r="H1635" t="s">
        <v>14</v>
      </c>
      <c r="I1635" t="s">
        <v>16</v>
      </c>
      <c r="J1635">
        <f t="shared" si="101"/>
        <v>1200</v>
      </c>
      <c r="K1635" t="str">
        <f t="shared" si="100"/>
        <v>18-24</v>
      </c>
      <c r="L1635" t="str">
        <f t="shared" ca="1" si="102"/>
        <v>Safe</v>
      </c>
      <c r="M1635" t="str">
        <f t="shared" si="103"/>
        <v>May-2025</v>
      </c>
    </row>
    <row r="1636" spans="1:13" x14ac:dyDescent="0.35">
      <c r="A1636">
        <v>11635</v>
      </c>
      <c r="B1636">
        <v>43</v>
      </c>
      <c r="C1636" t="s">
        <v>9</v>
      </c>
      <c r="D1636" t="s">
        <v>11</v>
      </c>
      <c r="E1636" s="2">
        <v>45725</v>
      </c>
      <c r="F1636" s="2">
        <v>46016</v>
      </c>
      <c r="G1636">
        <v>1200</v>
      </c>
      <c r="H1636" t="s">
        <v>14</v>
      </c>
      <c r="I1636" t="s">
        <v>16</v>
      </c>
      <c r="J1636">
        <f t="shared" si="101"/>
        <v>1200</v>
      </c>
      <c r="K1636" t="str">
        <f t="shared" si="100"/>
        <v>35+</v>
      </c>
      <c r="L1636" t="str">
        <f t="shared" ca="1" si="102"/>
        <v>Safe</v>
      </c>
      <c r="M1636" t="str">
        <f t="shared" si="103"/>
        <v>Mar-2025</v>
      </c>
    </row>
    <row r="1637" spans="1:13" x14ac:dyDescent="0.35">
      <c r="A1637">
        <v>11636</v>
      </c>
      <c r="B1637">
        <v>29</v>
      </c>
      <c r="C1637" t="s">
        <v>10</v>
      </c>
      <c r="D1637" t="s">
        <v>11</v>
      </c>
      <c r="E1637" s="2">
        <v>45983</v>
      </c>
      <c r="F1637" s="2">
        <v>46030</v>
      </c>
      <c r="G1637">
        <v>1200</v>
      </c>
      <c r="H1637" t="s">
        <v>14</v>
      </c>
      <c r="I1637" t="s">
        <v>16</v>
      </c>
      <c r="J1637">
        <f t="shared" si="101"/>
        <v>1200</v>
      </c>
      <c r="K1637" t="str">
        <f t="shared" si="100"/>
        <v>25-34</v>
      </c>
      <c r="L1637" t="str">
        <f t="shared" ca="1" si="102"/>
        <v>Safe</v>
      </c>
      <c r="M1637" t="str">
        <f t="shared" si="103"/>
        <v>Nov-2025</v>
      </c>
    </row>
    <row r="1638" spans="1:13" x14ac:dyDescent="0.35">
      <c r="A1638">
        <v>11637</v>
      </c>
      <c r="B1638">
        <v>40</v>
      </c>
      <c r="C1638" t="s">
        <v>9</v>
      </c>
      <c r="D1638" t="s">
        <v>11</v>
      </c>
      <c r="E1638" s="2">
        <v>45543</v>
      </c>
      <c r="F1638" s="2">
        <v>46010</v>
      </c>
      <c r="G1638">
        <v>1700</v>
      </c>
      <c r="H1638" t="s">
        <v>15</v>
      </c>
      <c r="I1638" t="s">
        <v>16</v>
      </c>
      <c r="J1638">
        <f t="shared" si="101"/>
        <v>1700</v>
      </c>
      <c r="K1638" t="str">
        <f t="shared" si="100"/>
        <v>35+</v>
      </c>
      <c r="L1638" t="str">
        <f t="shared" ca="1" si="102"/>
        <v>Safe</v>
      </c>
      <c r="M1638" t="str">
        <f t="shared" si="103"/>
        <v>Sep-2024</v>
      </c>
    </row>
    <row r="1639" spans="1:13" x14ac:dyDescent="0.35">
      <c r="A1639">
        <v>11638</v>
      </c>
      <c r="B1639">
        <v>38</v>
      </c>
      <c r="C1639" t="s">
        <v>9</v>
      </c>
      <c r="D1639" t="s">
        <v>11</v>
      </c>
      <c r="E1639" s="2">
        <v>45964</v>
      </c>
      <c r="F1639" s="2">
        <v>46013</v>
      </c>
      <c r="G1639">
        <v>1200</v>
      </c>
      <c r="H1639" t="s">
        <v>14</v>
      </c>
      <c r="I1639" t="s">
        <v>16</v>
      </c>
      <c r="J1639">
        <f t="shared" si="101"/>
        <v>1200</v>
      </c>
      <c r="K1639" t="str">
        <f t="shared" si="100"/>
        <v>35+</v>
      </c>
      <c r="L1639" t="str">
        <f t="shared" ca="1" si="102"/>
        <v>Safe</v>
      </c>
      <c r="M1639" t="str">
        <f t="shared" si="103"/>
        <v>Nov-2025</v>
      </c>
    </row>
    <row r="1640" spans="1:13" x14ac:dyDescent="0.35">
      <c r="A1640">
        <v>11639</v>
      </c>
      <c r="B1640">
        <v>27</v>
      </c>
      <c r="C1640" t="s">
        <v>9</v>
      </c>
      <c r="D1640" t="s">
        <v>11</v>
      </c>
      <c r="E1640" s="2">
        <v>45867</v>
      </c>
      <c r="F1640" s="2">
        <v>46008</v>
      </c>
      <c r="G1640">
        <v>1200</v>
      </c>
      <c r="H1640" t="s">
        <v>14</v>
      </c>
      <c r="I1640" t="s">
        <v>16</v>
      </c>
      <c r="J1640">
        <f t="shared" si="101"/>
        <v>1200</v>
      </c>
      <c r="K1640" t="str">
        <f t="shared" si="100"/>
        <v>25-34</v>
      </c>
      <c r="L1640" t="str">
        <f t="shared" ca="1" si="102"/>
        <v>Safe</v>
      </c>
      <c r="M1640" t="str">
        <f t="shared" si="103"/>
        <v>Jul-2025</v>
      </c>
    </row>
    <row r="1641" spans="1:13" x14ac:dyDescent="0.35">
      <c r="A1641">
        <v>11640</v>
      </c>
      <c r="B1641">
        <v>39</v>
      </c>
      <c r="C1641" t="s">
        <v>9</v>
      </c>
      <c r="D1641" t="s">
        <v>12</v>
      </c>
      <c r="E1641" s="2">
        <v>45673</v>
      </c>
      <c r="F1641" s="2">
        <v>45921</v>
      </c>
      <c r="G1641">
        <v>800</v>
      </c>
      <c r="H1641" t="s">
        <v>14</v>
      </c>
      <c r="I1641" t="s">
        <v>17</v>
      </c>
      <c r="J1641">
        <f t="shared" si="101"/>
        <v>9600</v>
      </c>
      <c r="K1641" t="str">
        <f t="shared" si="100"/>
        <v>35+</v>
      </c>
      <c r="L1641" t="str">
        <f t="shared" ca="1" si="102"/>
        <v>High Risk</v>
      </c>
      <c r="M1641" t="str">
        <f t="shared" si="103"/>
        <v>Jan-2025</v>
      </c>
    </row>
    <row r="1642" spans="1:13" x14ac:dyDescent="0.35">
      <c r="A1642">
        <v>11641</v>
      </c>
      <c r="B1642">
        <v>38</v>
      </c>
      <c r="C1642" t="s">
        <v>9</v>
      </c>
      <c r="D1642" t="s">
        <v>12</v>
      </c>
      <c r="E1642" s="2">
        <v>45509</v>
      </c>
      <c r="F1642" s="2">
        <v>45991</v>
      </c>
      <c r="G1642">
        <v>800</v>
      </c>
      <c r="H1642" t="s">
        <v>14</v>
      </c>
      <c r="I1642" t="s">
        <v>17</v>
      </c>
      <c r="J1642">
        <f t="shared" si="101"/>
        <v>9600</v>
      </c>
      <c r="K1642" t="str">
        <f t="shared" si="100"/>
        <v>35+</v>
      </c>
      <c r="L1642" t="str">
        <f t="shared" ca="1" si="102"/>
        <v>High Risk</v>
      </c>
      <c r="M1642" t="str">
        <f t="shared" si="103"/>
        <v>Aug-2024</v>
      </c>
    </row>
    <row r="1643" spans="1:13" x14ac:dyDescent="0.35">
      <c r="A1643">
        <v>11642</v>
      </c>
      <c r="B1643">
        <v>44</v>
      </c>
      <c r="C1643" t="s">
        <v>9</v>
      </c>
      <c r="D1643" t="s">
        <v>13</v>
      </c>
      <c r="E1643" s="2">
        <v>45650</v>
      </c>
      <c r="F1643" s="2">
        <v>45947</v>
      </c>
      <c r="G1643">
        <v>1000</v>
      </c>
      <c r="H1643" t="s">
        <v>14</v>
      </c>
      <c r="I1643" t="s">
        <v>17</v>
      </c>
      <c r="J1643">
        <f t="shared" si="101"/>
        <v>3000</v>
      </c>
      <c r="K1643" t="str">
        <f t="shared" si="100"/>
        <v>35+</v>
      </c>
      <c r="L1643" t="str">
        <f t="shared" ca="1" si="102"/>
        <v>High Risk</v>
      </c>
      <c r="M1643" t="str">
        <f t="shared" si="103"/>
        <v>Dec-2024</v>
      </c>
    </row>
    <row r="1644" spans="1:13" x14ac:dyDescent="0.35">
      <c r="A1644">
        <v>11643</v>
      </c>
      <c r="B1644">
        <v>42</v>
      </c>
      <c r="C1644" t="s">
        <v>9</v>
      </c>
      <c r="D1644" t="s">
        <v>13</v>
      </c>
      <c r="E1644" s="2">
        <v>45953</v>
      </c>
      <c r="F1644" s="2">
        <v>45997</v>
      </c>
      <c r="G1644">
        <v>1000</v>
      </c>
      <c r="H1644" t="s">
        <v>14</v>
      </c>
      <c r="I1644" t="s">
        <v>17</v>
      </c>
      <c r="J1644">
        <f t="shared" si="101"/>
        <v>3000</v>
      </c>
      <c r="K1644" t="str">
        <f t="shared" si="100"/>
        <v>35+</v>
      </c>
      <c r="L1644" t="str">
        <f t="shared" ca="1" si="102"/>
        <v>High Risk</v>
      </c>
      <c r="M1644" t="str">
        <f t="shared" si="103"/>
        <v>Oct-2025</v>
      </c>
    </row>
    <row r="1645" spans="1:13" x14ac:dyDescent="0.35">
      <c r="A1645">
        <v>11644</v>
      </c>
      <c r="B1645">
        <v>23</v>
      </c>
      <c r="C1645" t="s">
        <v>10</v>
      </c>
      <c r="D1645" t="s">
        <v>12</v>
      </c>
      <c r="E1645" s="2">
        <v>45525</v>
      </c>
      <c r="F1645" s="2">
        <v>46020</v>
      </c>
      <c r="G1645">
        <v>1300</v>
      </c>
      <c r="H1645" t="s">
        <v>15</v>
      </c>
      <c r="I1645" t="s">
        <v>16</v>
      </c>
      <c r="J1645">
        <f t="shared" si="101"/>
        <v>15600</v>
      </c>
      <c r="K1645" t="str">
        <f t="shared" si="100"/>
        <v>18-24</v>
      </c>
      <c r="L1645" t="str">
        <f t="shared" ca="1" si="102"/>
        <v>Safe</v>
      </c>
      <c r="M1645" t="str">
        <f t="shared" si="103"/>
        <v>Aug-2024</v>
      </c>
    </row>
    <row r="1646" spans="1:13" x14ac:dyDescent="0.35">
      <c r="A1646">
        <v>11645</v>
      </c>
      <c r="B1646">
        <v>44</v>
      </c>
      <c r="C1646" t="s">
        <v>9</v>
      </c>
      <c r="D1646" t="s">
        <v>11</v>
      </c>
      <c r="E1646" s="2">
        <v>45806</v>
      </c>
      <c r="F1646" s="2">
        <v>45922</v>
      </c>
      <c r="G1646">
        <v>1700</v>
      </c>
      <c r="H1646" t="s">
        <v>15</v>
      </c>
      <c r="I1646" t="s">
        <v>17</v>
      </c>
      <c r="J1646">
        <f t="shared" si="101"/>
        <v>1700</v>
      </c>
      <c r="K1646" t="str">
        <f t="shared" si="100"/>
        <v>35+</v>
      </c>
      <c r="L1646" t="str">
        <f t="shared" ca="1" si="102"/>
        <v>High Risk</v>
      </c>
      <c r="M1646" t="str">
        <f t="shared" si="103"/>
        <v>May-2025</v>
      </c>
    </row>
    <row r="1647" spans="1:13" x14ac:dyDescent="0.35">
      <c r="A1647">
        <v>11646</v>
      </c>
      <c r="B1647">
        <v>25</v>
      </c>
      <c r="C1647" t="s">
        <v>9</v>
      </c>
      <c r="D1647" t="s">
        <v>13</v>
      </c>
      <c r="E1647" s="2">
        <v>45160</v>
      </c>
      <c r="F1647" s="2">
        <v>46031</v>
      </c>
      <c r="G1647">
        <v>1500</v>
      </c>
      <c r="H1647" t="s">
        <v>15</v>
      </c>
      <c r="I1647" t="s">
        <v>16</v>
      </c>
      <c r="J1647">
        <f t="shared" si="101"/>
        <v>4500</v>
      </c>
      <c r="K1647" t="str">
        <f t="shared" si="100"/>
        <v>25-34</v>
      </c>
      <c r="L1647" t="str">
        <f t="shared" ca="1" si="102"/>
        <v>Safe</v>
      </c>
      <c r="M1647" t="str">
        <f t="shared" si="103"/>
        <v>Aug-2023</v>
      </c>
    </row>
    <row r="1648" spans="1:13" x14ac:dyDescent="0.35">
      <c r="A1648">
        <v>11647</v>
      </c>
      <c r="B1648">
        <v>19</v>
      </c>
      <c r="C1648" t="s">
        <v>9</v>
      </c>
      <c r="D1648" t="s">
        <v>12</v>
      </c>
      <c r="E1648" s="2">
        <v>45786</v>
      </c>
      <c r="F1648" s="2">
        <v>46032</v>
      </c>
      <c r="G1648">
        <v>800</v>
      </c>
      <c r="H1648" t="s">
        <v>14</v>
      </c>
      <c r="I1648" t="s">
        <v>16</v>
      </c>
      <c r="J1648">
        <f t="shared" si="101"/>
        <v>9600</v>
      </c>
      <c r="K1648" t="str">
        <f t="shared" si="100"/>
        <v>18-24</v>
      </c>
      <c r="L1648" t="str">
        <f t="shared" ca="1" si="102"/>
        <v>Safe</v>
      </c>
      <c r="M1648" t="str">
        <f t="shared" si="103"/>
        <v>May-2025</v>
      </c>
    </row>
    <row r="1649" spans="1:13" x14ac:dyDescent="0.35">
      <c r="A1649">
        <v>11648</v>
      </c>
      <c r="B1649">
        <v>29</v>
      </c>
      <c r="C1649" t="s">
        <v>10</v>
      </c>
      <c r="D1649" t="s">
        <v>11</v>
      </c>
      <c r="E1649" s="2">
        <v>45152</v>
      </c>
      <c r="F1649" s="2">
        <v>45978</v>
      </c>
      <c r="G1649">
        <v>1700</v>
      </c>
      <c r="H1649" t="s">
        <v>15</v>
      </c>
      <c r="I1649" t="s">
        <v>17</v>
      </c>
      <c r="J1649">
        <f t="shared" si="101"/>
        <v>1700</v>
      </c>
      <c r="K1649" t="str">
        <f t="shared" si="100"/>
        <v>25-34</v>
      </c>
      <c r="L1649" t="str">
        <f t="shared" ca="1" si="102"/>
        <v>High Risk</v>
      </c>
      <c r="M1649" t="str">
        <f t="shared" si="103"/>
        <v>Aug-2023</v>
      </c>
    </row>
    <row r="1650" spans="1:13" x14ac:dyDescent="0.35">
      <c r="A1650">
        <v>11649</v>
      </c>
      <c r="B1650">
        <v>30</v>
      </c>
      <c r="C1650" t="s">
        <v>9</v>
      </c>
      <c r="D1650" t="s">
        <v>13</v>
      </c>
      <c r="E1650" s="2">
        <v>45933</v>
      </c>
      <c r="F1650" s="2">
        <v>45979</v>
      </c>
      <c r="G1650">
        <v>1500</v>
      </c>
      <c r="H1650" t="s">
        <v>15</v>
      </c>
      <c r="I1650" t="s">
        <v>17</v>
      </c>
      <c r="J1650">
        <f t="shared" si="101"/>
        <v>4500</v>
      </c>
      <c r="K1650" t="str">
        <f t="shared" si="100"/>
        <v>25-34</v>
      </c>
      <c r="L1650" t="str">
        <f t="shared" ca="1" si="102"/>
        <v>High Risk</v>
      </c>
      <c r="M1650" t="str">
        <f t="shared" si="103"/>
        <v>Oct-2025</v>
      </c>
    </row>
    <row r="1651" spans="1:13" x14ac:dyDescent="0.35">
      <c r="A1651">
        <v>11650</v>
      </c>
      <c r="B1651">
        <v>42</v>
      </c>
      <c r="C1651" t="s">
        <v>9</v>
      </c>
      <c r="D1651" t="s">
        <v>12</v>
      </c>
      <c r="E1651" s="2">
        <v>45223</v>
      </c>
      <c r="F1651" s="2">
        <v>46017</v>
      </c>
      <c r="G1651">
        <v>800</v>
      </c>
      <c r="H1651" t="s">
        <v>14</v>
      </c>
      <c r="I1651" t="s">
        <v>16</v>
      </c>
      <c r="J1651">
        <f t="shared" si="101"/>
        <v>9600</v>
      </c>
      <c r="K1651" t="str">
        <f t="shared" si="100"/>
        <v>35+</v>
      </c>
      <c r="L1651" t="str">
        <f t="shared" ca="1" si="102"/>
        <v>Safe</v>
      </c>
      <c r="M1651" t="str">
        <f t="shared" si="103"/>
        <v>Oct-2023</v>
      </c>
    </row>
    <row r="1652" spans="1:13" x14ac:dyDescent="0.35">
      <c r="A1652">
        <v>11651</v>
      </c>
      <c r="B1652">
        <v>38</v>
      </c>
      <c r="C1652" t="s">
        <v>9</v>
      </c>
      <c r="D1652" t="s">
        <v>12</v>
      </c>
      <c r="E1652" s="2">
        <v>45637</v>
      </c>
      <c r="F1652" s="2">
        <v>45973</v>
      </c>
      <c r="G1652">
        <v>1300</v>
      </c>
      <c r="H1652" t="s">
        <v>15</v>
      </c>
      <c r="I1652" t="s">
        <v>17</v>
      </c>
      <c r="J1652">
        <f t="shared" si="101"/>
        <v>15600</v>
      </c>
      <c r="K1652" t="str">
        <f t="shared" si="100"/>
        <v>35+</v>
      </c>
      <c r="L1652" t="str">
        <f t="shared" ca="1" si="102"/>
        <v>High Risk</v>
      </c>
      <c r="M1652" t="str">
        <f t="shared" si="103"/>
        <v>Dec-2024</v>
      </c>
    </row>
    <row r="1653" spans="1:13" x14ac:dyDescent="0.35">
      <c r="A1653">
        <v>11652</v>
      </c>
      <c r="B1653">
        <v>24</v>
      </c>
      <c r="C1653" t="s">
        <v>9</v>
      </c>
      <c r="D1653" t="s">
        <v>13</v>
      </c>
      <c r="E1653" s="2">
        <v>45150</v>
      </c>
      <c r="F1653" s="2">
        <v>46024</v>
      </c>
      <c r="G1653">
        <v>1500</v>
      </c>
      <c r="H1653" t="s">
        <v>15</v>
      </c>
      <c r="I1653" t="s">
        <v>16</v>
      </c>
      <c r="J1653">
        <f t="shared" si="101"/>
        <v>4500</v>
      </c>
      <c r="K1653" t="str">
        <f t="shared" si="100"/>
        <v>18-24</v>
      </c>
      <c r="L1653" t="str">
        <f t="shared" ca="1" si="102"/>
        <v>Safe</v>
      </c>
      <c r="M1653" t="str">
        <f t="shared" si="103"/>
        <v>Aug-2023</v>
      </c>
    </row>
    <row r="1654" spans="1:13" x14ac:dyDescent="0.35">
      <c r="A1654">
        <v>11653</v>
      </c>
      <c r="B1654">
        <v>27</v>
      </c>
      <c r="C1654" t="s">
        <v>10</v>
      </c>
      <c r="D1654" t="s">
        <v>11</v>
      </c>
      <c r="E1654" s="2">
        <v>45987</v>
      </c>
      <c r="F1654" s="2">
        <v>45942</v>
      </c>
      <c r="G1654">
        <v>1700</v>
      </c>
      <c r="H1654" t="s">
        <v>15</v>
      </c>
      <c r="I1654" t="s">
        <v>17</v>
      </c>
      <c r="J1654">
        <f t="shared" si="101"/>
        <v>1700</v>
      </c>
      <c r="K1654" t="str">
        <f t="shared" si="100"/>
        <v>25-34</v>
      </c>
      <c r="L1654" t="str">
        <f t="shared" ca="1" si="102"/>
        <v>High Risk</v>
      </c>
      <c r="M1654" t="str">
        <f t="shared" si="103"/>
        <v>Nov-2025</v>
      </c>
    </row>
    <row r="1655" spans="1:13" x14ac:dyDescent="0.35">
      <c r="A1655">
        <v>11654</v>
      </c>
      <c r="B1655">
        <v>30</v>
      </c>
      <c r="C1655" t="s">
        <v>10</v>
      </c>
      <c r="D1655" t="s">
        <v>11</v>
      </c>
      <c r="E1655" s="2">
        <v>45685</v>
      </c>
      <c r="F1655" s="2">
        <v>46032</v>
      </c>
      <c r="G1655">
        <v>1200</v>
      </c>
      <c r="H1655" t="s">
        <v>14</v>
      </c>
      <c r="I1655" t="s">
        <v>16</v>
      </c>
      <c r="J1655">
        <f t="shared" si="101"/>
        <v>1200</v>
      </c>
      <c r="K1655" t="str">
        <f t="shared" si="100"/>
        <v>25-34</v>
      </c>
      <c r="L1655" t="str">
        <f t="shared" ca="1" si="102"/>
        <v>Safe</v>
      </c>
      <c r="M1655" t="str">
        <f t="shared" si="103"/>
        <v>Jan-2025</v>
      </c>
    </row>
    <row r="1656" spans="1:13" x14ac:dyDescent="0.35">
      <c r="A1656">
        <v>11655</v>
      </c>
      <c r="B1656">
        <v>34</v>
      </c>
      <c r="C1656" t="s">
        <v>9</v>
      </c>
      <c r="D1656" t="s">
        <v>11</v>
      </c>
      <c r="E1656" s="2">
        <v>45154</v>
      </c>
      <c r="F1656" s="2">
        <v>45969</v>
      </c>
      <c r="G1656">
        <v>1200</v>
      </c>
      <c r="H1656" t="s">
        <v>14</v>
      </c>
      <c r="I1656" t="s">
        <v>17</v>
      </c>
      <c r="J1656">
        <f t="shared" si="101"/>
        <v>1200</v>
      </c>
      <c r="K1656" t="str">
        <f t="shared" si="100"/>
        <v>25-34</v>
      </c>
      <c r="L1656" t="str">
        <f t="shared" ca="1" si="102"/>
        <v>High Risk</v>
      </c>
      <c r="M1656" t="str">
        <f t="shared" si="103"/>
        <v>Aug-2023</v>
      </c>
    </row>
    <row r="1657" spans="1:13" x14ac:dyDescent="0.35">
      <c r="A1657">
        <v>11656</v>
      </c>
      <c r="B1657">
        <v>43</v>
      </c>
      <c r="C1657" t="s">
        <v>9</v>
      </c>
      <c r="D1657" t="s">
        <v>12</v>
      </c>
      <c r="E1657" s="2">
        <v>45645</v>
      </c>
      <c r="F1657" s="2">
        <v>45922</v>
      </c>
      <c r="G1657">
        <v>800</v>
      </c>
      <c r="H1657" t="s">
        <v>14</v>
      </c>
      <c r="I1657" t="s">
        <v>17</v>
      </c>
      <c r="J1657">
        <f t="shared" si="101"/>
        <v>9600</v>
      </c>
      <c r="K1657" t="str">
        <f t="shared" si="100"/>
        <v>35+</v>
      </c>
      <c r="L1657" t="str">
        <f t="shared" ca="1" si="102"/>
        <v>High Risk</v>
      </c>
      <c r="M1657" t="str">
        <f t="shared" si="103"/>
        <v>Dec-2024</v>
      </c>
    </row>
    <row r="1658" spans="1:13" x14ac:dyDescent="0.35">
      <c r="A1658">
        <v>11657</v>
      </c>
      <c r="B1658">
        <v>38</v>
      </c>
      <c r="C1658" t="s">
        <v>9</v>
      </c>
      <c r="D1658" t="s">
        <v>11</v>
      </c>
      <c r="E1658" s="2">
        <v>45698</v>
      </c>
      <c r="F1658" s="2">
        <v>46018</v>
      </c>
      <c r="G1658">
        <v>1200</v>
      </c>
      <c r="H1658" t="s">
        <v>14</v>
      </c>
      <c r="I1658" t="s">
        <v>16</v>
      </c>
      <c r="J1658">
        <f t="shared" si="101"/>
        <v>1200</v>
      </c>
      <c r="K1658" t="str">
        <f t="shared" si="100"/>
        <v>35+</v>
      </c>
      <c r="L1658" t="str">
        <f t="shared" ca="1" si="102"/>
        <v>Safe</v>
      </c>
      <c r="M1658" t="str">
        <f t="shared" si="103"/>
        <v>Feb-2025</v>
      </c>
    </row>
    <row r="1659" spans="1:13" x14ac:dyDescent="0.35">
      <c r="A1659">
        <v>11658</v>
      </c>
      <c r="B1659">
        <v>45</v>
      </c>
      <c r="C1659" t="s">
        <v>10</v>
      </c>
      <c r="D1659" t="s">
        <v>12</v>
      </c>
      <c r="E1659" s="2">
        <v>45480</v>
      </c>
      <c r="F1659" s="2">
        <v>46008</v>
      </c>
      <c r="G1659">
        <v>800</v>
      </c>
      <c r="H1659" t="s">
        <v>14</v>
      </c>
      <c r="I1659" t="s">
        <v>16</v>
      </c>
      <c r="J1659">
        <f t="shared" si="101"/>
        <v>9600</v>
      </c>
      <c r="K1659" t="str">
        <f t="shared" si="100"/>
        <v>35+</v>
      </c>
      <c r="L1659" t="str">
        <f t="shared" ca="1" si="102"/>
        <v>Safe</v>
      </c>
      <c r="M1659" t="str">
        <f t="shared" si="103"/>
        <v>Jul-2024</v>
      </c>
    </row>
    <row r="1660" spans="1:13" x14ac:dyDescent="0.35">
      <c r="A1660">
        <v>11659</v>
      </c>
      <c r="B1660">
        <v>43</v>
      </c>
      <c r="C1660" t="s">
        <v>10</v>
      </c>
      <c r="D1660" t="s">
        <v>11</v>
      </c>
      <c r="E1660" s="2">
        <v>45881</v>
      </c>
      <c r="F1660" s="2">
        <v>45939</v>
      </c>
      <c r="G1660">
        <v>1200</v>
      </c>
      <c r="H1660" t="s">
        <v>14</v>
      </c>
      <c r="I1660" t="s">
        <v>17</v>
      </c>
      <c r="J1660">
        <f t="shared" si="101"/>
        <v>1200</v>
      </c>
      <c r="K1660" t="str">
        <f t="shared" si="100"/>
        <v>35+</v>
      </c>
      <c r="L1660" t="str">
        <f t="shared" ca="1" si="102"/>
        <v>High Risk</v>
      </c>
      <c r="M1660" t="str">
        <f t="shared" si="103"/>
        <v>Aug-2025</v>
      </c>
    </row>
    <row r="1661" spans="1:13" x14ac:dyDescent="0.35">
      <c r="A1661">
        <v>11660</v>
      </c>
      <c r="B1661">
        <v>31</v>
      </c>
      <c r="C1661" t="s">
        <v>9</v>
      </c>
      <c r="D1661" t="s">
        <v>11</v>
      </c>
      <c r="E1661" s="2">
        <v>45301</v>
      </c>
      <c r="F1661" s="2">
        <v>45989</v>
      </c>
      <c r="G1661">
        <v>1200</v>
      </c>
      <c r="H1661" t="s">
        <v>14</v>
      </c>
      <c r="I1661" t="s">
        <v>17</v>
      </c>
      <c r="J1661">
        <f t="shared" si="101"/>
        <v>1200</v>
      </c>
      <c r="K1661" t="str">
        <f t="shared" si="100"/>
        <v>25-34</v>
      </c>
      <c r="L1661" t="str">
        <f t="shared" ca="1" si="102"/>
        <v>High Risk</v>
      </c>
      <c r="M1661" t="str">
        <f t="shared" si="103"/>
        <v>Jan-2024</v>
      </c>
    </row>
    <row r="1662" spans="1:13" x14ac:dyDescent="0.35">
      <c r="A1662">
        <v>11661</v>
      </c>
      <c r="B1662">
        <v>19</v>
      </c>
      <c r="C1662" t="s">
        <v>10</v>
      </c>
      <c r="D1662" t="s">
        <v>13</v>
      </c>
      <c r="E1662" s="2">
        <v>45419</v>
      </c>
      <c r="F1662" s="2">
        <v>46016</v>
      </c>
      <c r="G1662">
        <v>1000</v>
      </c>
      <c r="H1662" t="s">
        <v>14</v>
      </c>
      <c r="I1662" t="s">
        <v>16</v>
      </c>
      <c r="J1662">
        <f t="shared" si="101"/>
        <v>3000</v>
      </c>
      <c r="K1662" t="str">
        <f t="shared" si="100"/>
        <v>18-24</v>
      </c>
      <c r="L1662" t="str">
        <f t="shared" ca="1" si="102"/>
        <v>Safe</v>
      </c>
      <c r="M1662" t="str">
        <f t="shared" si="103"/>
        <v>May-2024</v>
      </c>
    </row>
    <row r="1663" spans="1:13" x14ac:dyDescent="0.35">
      <c r="A1663">
        <v>11662</v>
      </c>
      <c r="B1663">
        <v>45</v>
      </c>
      <c r="C1663" t="s">
        <v>10</v>
      </c>
      <c r="D1663" t="s">
        <v>13</v>
      </c>
      <c r="E1663" s="2">
        <v>45969</v>
      </c>
      <c r="F1663" s="2">
        <v>46030</v>
      </c>
      <c r="G1663">
        <v>1000</v>
      </c>
      <c r="H1663" t="s">
        <v>14</v>
      </c>
      <c r="I1663" t="s">
        <v>16</v>
      </c>
      <c r="J1663">
        <f t="shared" si="101"/>
        <v>3000</v>
      </c>
      <c r="K1663" t="str">
        <f t="shared" si="100"/>
        <v>35+</v>
      </c>
      <c r="L1663" t="str">
        <f t="shared" ca="1" si="102"/>
        <v>Safe</v>
      </c>
      <c r="M1663" t="str">
        <f t="shared" si="103"/>
        <v>Nov-2025</v>
      </c>
    </row>
    <row r="1664" spans="1:13" x14ac:dyDescent="0.35">
      <c r="A1664">
        <v>11663</v>
      </c>
      <c r="B1664">
        <v>39</v>
      </c>
      <c r="C1664" t="s">
        <v>9</v>
      </c>
      <c r="D1664" t="s">
        <v>11</v>
      </c>
      <c r="E1664" s="2">
        <v>45944</v>
      </c>
      <c r="F1664" s="2">
        <v>45961</v>
      </c>
      <c r="G1664">
        <v>1700</v>
      </c>
      <c r="H1664" t="s">
        <v>15</v>
      </c>
      <c r="I1664" t="s">
        <v>17</v>
      </c>
      <c r="J1664">
        <f t="shared" si="101"/>
        <v>1700</v>
      </c>
      <c r="K1664" t="str">
        <f t="shared" si="100"/>
        <v>35+</v>
      </c>
      <c r="L1664" t="str">
        <f t="shared" ca="1" si="102"/>
        <v>High Risk</v>
      </c>
      <c r="M1664" t="str">
        <f t="shared" si="103"/>
        <v>Oct-2025</v>
      </c>
    </row>
    <row r="1665" spans="1:13" x14ac:dyDescent="0.35">
      <c r="A1665">
        <v>11664</v>
      </c>
      <c r="B1665">
        <v>28</v>
      </c>
      <c r="C1665" t="s">
        <v>9</v>
      </c>
      <c r="D1665" t="s">
        <v>11</v>
      </c>
      <c r="E1665" s="2">
        <v>45183</v>
      </c>
      <c r="F1665" s="2">
        <v>46029</v>
      </c>
      <c r="G1665">
        <v>1700</v>
      </c>
      <c r="H1665" t="s">
        <v>15</v>
      </c>
      <c r="I1665" t="s">
        <v>16</v>
      </c>
      <c r="J1665">
        <f t="shared" si="101"/>
        <v>1700</v>
      </c>
      <c r="K1665" t="str">
        <f t="shared" si="100"/>
        <v>25-34</v>
      </c>
      <c r="L1665" t="str">
        <f t="shared" ca="1" si="102"/>
        <v>Safe</v>
      </c>
      <c r="M1665" t="str">
        <f t="shared" si="103"/>
        <v>Sep-2023</v>
      </c>
    </row>
    <row r="1666" spans="1:13" x14ac:dyDescent="0.35">
      <c r="A1666">
        <v>11665</v>
      </c>
      <c r="B1666">
        <v>18</v>
      </c>
      <c r="C1666" t="s">
        <v>9</v>
      </c>
      <c r="D1666" t="s">
        <v>13</v>
      </c>
      <c r="E1666" s="2">
        <v>45930</v>
      </c>
      <c r="F1666" s="2">
        <v>46029</v>
      </c>
      <c r="G1666">
        <v>1500</v>
      </c>
      <c r="H1666" t="s">
        <v>15</v>
      </c>
      <c r="I1666" t="s">
        <v>16</v>
      </c>
      <c r="J1666">
        <f t="shared" si="101"/>
        <v>4500</v>
      </c>
      <c r="K1666" t="str">
        <f t="shared" ref="K1666:K1729" si="104">IF(B1666&lt;25,"18-24",IF(B1666&lt;35,"25-34","35+"))</f>
        <v>18-24</v>
      </c>
      <c r="L1666" t="str">
        <f t="shared" ca="1" si="102"/>
        <v>Safe</v>
      </c>
      <c r="M1666" t="str">
        <f t="shared" si="103"/>
        <v>Sep-2025</v>
      </c>
    </row>
    <row r="1667" spans="1:13" x14ac:dyDescent="0.35">
      <c r="A1667">
        <v>11666</v>
      </c>
      <c r="B1667">
        <v>36</v>
      </c>
      <c r="C1667" t="s">
        <v>10</v>
      </c>
      <c r="D1667" t="s">
        <v>11</v>
      </c>
      <c r="E1667" s="2">
        <v>45454</v>
      </c>
      <c r="F1667" s="2">
        <v>46027</v>
      </c>
      <c r="G1667">
        <v>1200</v>
      </c>
      <c r="H1667" t="s">
        <v>14</v>
      </c>
      <c r="I1667" t="s">
        <v>16</v>
      </c>
      <c r="J1667">
        <f t="shared" ref="J1667:J1730" si="105">IF(D1667="Monthly",G1667,IF(D1667="Quarterly",G1667*3,G1667*12))</f>
        <v>1200</v>
      </c>
      <c r="K1667" t="str">
        <f t="shared" si="104"/>
        <v>35+</v>
      </c>
      <c r="L1667" t="str">
        <f t="shared" ref="L1667:L1730" ca="1" si="106">IF(F1667&lt;TODAY()-30,"High Risk","Safe")</f>
        <v>Safe</v>
      </c>
      <c r="M1667" t="str">
        <f t="shared" ref="M1667:M1730" si="107">TEXT(E1667,"mmm-yyyy")</f>
        <v>Jun-2024</v>
      </c>
    </row>
    <row r="1668" spans="1:13" x14ac:dyDescent="0.35">
      <c r="A1668">
        <v>11667</v>
      </c>
      <c r="B1668">
        <v>38</v>
      </c>
      <c r="C1668" t="s">
        <v>10</v>
      </c>
      <c r="D1668" t="s">
        <v>11</v>
      </c>
      <c r="E1668" s="2">
        <v>45164</v>
      </c>
      <c r="F1668" s="2">
        <v>46013</v>
      </c>
      <c r="G1668">
        <v>1200</v>
      </c>
      <c r="H1668" t="s">
        <v>14</v>
      </c>
      <c r="I1668" t="s">
        <v>16</v>
      </c>
      <c r="J1668">
        <f t="shared" si="105"/>
        <v>1200</v>
      </c>
      <c r="K1668" t="str">
        <f t="shared" si="104"/>
        <v>35+</v>
      </c>
      <c r="L1668" t="str">
        <f t="shared" ca="1" si="106"/>
        <v>Safe</v>
      </c>
      <c r="M1668" t="str">
        <f t="shared" si="107"/>
        <v>Aug-2023</v>
      </c>
    </row>
    <row r="1669" spans="1:13" x14ac:dyDescent="0.35">
      <c r="A1669">
        <v>11668</v>
      </c>
      <c r="B1669">
        <v>21</v>
      </c>
      <c r="C1669" t="s">
        <v>10</v>
      </c>
      <c r="D1669" t="s">
        <v>12</v>
      </c>
      <c r="E1669" s="2">
        <v>45188</v>
      </c>
      <c r="F1669" s="2">
        <v>46026</v>
      </c>
      <c r="G1669">
        <v>800</v>
      </c>
      <c r="H1669" t="s">
        <v>14</v>
      </c>
      <c r="I1669" t="s">
        <v>16</v>
      </c>
      <c r="J1669">
        <f t="shared" si="105"/>
        <v>9600</v>
      </c>
      <c r="K1669" t="str">
        <f t="shared" si="104"/>
        <v>18-24</v>
      </c>
      <c r="L1669" t="str">
        <f t="shared" ca="1" si="106"/>
        <v>Safe</v>
      </c>
      <c r="M1669" t="str">
        <f t="shared" si="107"/>
        <v>Sep-2023</v>
      </c>
    </row>
    <row r="1670" spans="1:13" x14ac:dyDescent="0.35">
      <c r="A1670">
        <v>11669</v>
      </c>
      <c r="B1670">
        <v>36</v>
      </c>
      <c r="C1670" t="s">
        <v>10</v>
      </c>
      <c r="D1670" t="s">
        <v>13</v>
      </c>
      <c r="E1670" s="2">
        <v>45559</v>
      </c>
      <c r="F1670" s="2">
        <v>46015</v>
      </c>
      <c r="G1670">
        <v>1500</v>
      </c>
      <c r="H1670" t="s">
        <v>15</v>
      </c>
      <c r="I1670" t="s">
        <v>16</v>
      </c>
      <c r="J1670">
        <f t="shared" si="105"/>
        <v>4500</v>
      </c>
      <c r="K1670" t="str">
        <f t="shared" si="104"/>
        <v>35+</v>
      </c>
      <c r="L1670" t="str">
        <f t="shared" ca="1" si="106"/>
        <v>Safe</v>
      </c>
      <c r="M1670" t="str">
        <f t="shared" si="107"/>
        <v>Sep-2024</v>
      </c>
    </row>
    <row r="1671" spans="1:13" x14ac:dyDescent="0.35">
      <c r="A1671">
        <v>11670</v>
      </c>
      <c r="B1671">
        <v>43</v>
      </c>
      <c r="C1671" t="s">
        <v>9</v>
      </c>
      <c r="D1671" t="s">
        <v>11</v>
      </c>
      <c r="E1671" s="2">
        <v>45772</v>
      </c>
      <c r="F1671" s="2">
        <v>46017</v>
      </c>
      <c r="G1671">
        <v>1200</v>
      </c>
      <c r="H1671" t="s">
        <v>14</v>
      </c>
      <c r="I1671" t="s">
        <v>16</v>
      </c>
      <c r="J1671">
        <f t="shared" si="105"/>
        <v>1200</v>
      </c>
      <c r="K1671" t="str">
        <f t="shared" si="104"/>
        <v>35+</v>
      </c>
      <c r="L1671" t="str">
        <f t="shared" ca="1" si="106"/>
        <v>Safe</v>
      </c>
      <c r="M1671" t="str">
        <f t="shared" si="107"/>
        <v>Apr-2025</v>
      </c>
    </row>
    <row r="1672" spans="1:13" x14ac:dyDescent="0.35">
      <c r="A1672">
        <v>11671</v>
      </c>
      <c r="B1672">
        <v>38</v>
      </c>
      <c r="C1672" t="s">
        <v>10</v>
      </c>
      <c r="D1672" t="s">
        <v>12</v>
      </c>
      <c r="E1672" s="2">
        <v>45412</v>
      </c>
      <c r="F1672" s="2">
        <v>46032</v>
      </c>
      <c r="G1672">
        <v>800</v>
      </c>
      <c r="H1672" t="s">
        <v>14</v>
      </c>
      <c r="I1672" t="s">
        <v>16</v>
      </c>
      <c r="J1672">
        <f t="shared" si="105"/>
        <v>9600</v>
      </c>
      <c r="K1672" t="str">
        <f t="shared" si="104"/>
        <v>35+</v>
      </c>
      <c r="L1672" t="str">
        <f t="shared" ca="1" si="106"/>
        <v>Safe</v>
      </c>
      <c r="M1672" t="str">
        <f t="shared" si="107"/>
        <v>Apr-2024</v>
      </c>
    </row>
    <row r="1673" spans="1:13" x14ac:dyDescent="0.35">
      <c r="A1673">
        <v>11672</v>
      </c>
      <c r="B1673">
        <v>28</v>
      </c>
      <c r="C1673" t="s">
        <v>10</v>
      </c>
      <c r="D1673" t="s">
        <v>12</v>
      </c>
      <c r="E1673" s="2">
        <v>45445</v>
      </c>
      <c r="F1673" s="2">
        <v>46030</v>
      </c>
      <c r="G1673">
        <v>800</v>
      </c>
      <c r="H1673" t="s">
        <v>14</v>
      </c>
      <c r="I1673" t="s">
        <v>16</v>
      </c>
      <c r="J1673">
        <f t="shared" si="105"/>
        <v>9600</v>
      </c>
      <c r="K1673" t="str">
        <f t="shared" si="104"/>
        <v>25-34</v>
      </c>
      <c r="L1673" t="str">
        <f t="shared" ca="1" si="106"/>
        <v>Safe</v>
      </c>
      <c r="M1673" t="str">
        <f t="shared" si="107"/>
        <v>Jun-2024</v>
      </c>
    </row>
    <row r="1674" spans="1:13" x14ac:dyDescent="0.35">
      <c r="A1674">
        <v>11673</v>
      </c>
      <c r="B1674">
        <v>25</v>
      </c>
      <c r="C1674" t="s">
        <v>9</v>
      </c>
      <c r="D1674" t="s">
        <v>13</v>
      </c>
      <c r="E1674" s="2">
        <v>45693</v>
      </c>
      <c r="F1674" s="2">
        <v>46019</v>
      </c>
      <c r="G1674">
        <v>1000</v>
      </c>
      <c r="H1674" t="s">
        <v>14</v>
      </c>
      <c r="I1674" t="s">
        <v>16</v>
      </c>
      <c r="J1674">
        <f t="shared" si="105"/>
        <v>3000</v>
      </c>
      <c r="K1674" t="str">
        <f t="shared" si="104"/>
        <v>25-34</v>
      </c>
      <c r="L1674" t="str">
        <f t="shared" ca="1" si="106"/>
        <v>Safe</v>
      </c>
      <c r="M1674" t="str">
        <f t="shared" si="107"/>
        <v>Feb-2025</v>
      </c>
    </row>
    <row r="1675" spans="1:13" x14ac:dyDescent="0.35">
      <c r="A1675">
        <v>11674</v>
      </c>
      <c r="B1675">
        <v>28</v>
      </c>
      <c r="C1675" t="s">
        <v>9</v>
      </c>
      <c r="D1675" t="s">
        <v>13</v>
      </c>
      <c r="E1675" s="2">
        <v>45544</v>
      </c>
      <c r="F1675" s="2">
        <v>46017</v>
      </c>
      <c r="G1675">
        <v>1000</v>
      </c>
      <c r="H1675" t="s">
        <v>14</v>
      </c>
      <c r="I1675" t="s">
        <v>16</v>
      </c>
      <c r="J1675">
        <f t="shared" si="105"/>
        <v>3000</v>
      </c>
      <c r="K1675" t="str">
        <f t="shared" si="104"/>
        <v>25-34</v>
      </c>
      <c r="L1675" t="str">
        <f t="shared" ca="1" si="106"/>
        <v>Safe</v>
      </c>
      <c r="M1675" t="str">
        <f t="shared" si="107"/>
        <v>Sep-2024</v>
      </c>
    </row>
    <row r="1676" spans="1:13" x14ac:dyDescent="0.35">
      <c r="A1676">
        <v>11675</v>
      </c>
      <c r="B1676">
        <v>21</v>
      </c>
      <c r="C1676" t="s">
        <v>10</v>
      </c>
      <c r="D1676" t="s">
        <v>12</v>
      </c>
      <c r="E1676" s="2">
        <v>45408</v>
      </c>
      <c r="F1676" s="2">
        <v>46029</v>
      </c>
      <c r="G1676">
        <v>800</v>
      </c>
      <c r="H1676" t="s">
        <v>14</v>
      </c>
      <c r="I1676" t="s">
        <v>16</v>
      </c>
      <c r="J1676">
        <f t="shared" si="105"/>
        <v>9600</v>
      </c>
      <c r="K1676" t="str">
        <f t="shared" si="104"/>
        <v>18-24</v>
      </c>
      <c r="L1676" t="str">
        <f t="shared" ca="1" si="106"/>
        <v>Safe</v>
      </c>
      <c r="M1676" t="str">
        <f t="shared" si="107"/>
        <v>Apr-2024</v>
      </c>
    </row>
    <row r="1677" spans="1:13" x14ac:dyDescent="0.35">
      <c r="A1677">
        <v>11676</v>
      </c>
      <c r="B1677">
        <v>34</v>
      </c>
      <c r="C1677" t="s">
        <v>9</v>
      </c>
      <c r="D1677" t="s">
        <v>12</v>
      </c>
      <c r="E1677" s="2">
        <v>45621</v>
      </c>
      <c r="F1677" s="2">
        <v>46013</v>
      </c>
      <c r="G1677">
        <v>800</v>
      </c>
      <c r="H1677" t="s">
        <v>14</v>
      </c>
      <c r="I1677" t="s">
        <v>16</v>
      </c>
      <c r="J1677">
        <f t="shared" si="105"/>
        <v>9600</v>
      </c>
      <c r="K1677" t="str">
        <f t="shared" si="104"/>
        <v>25-34</v>
      </c>
      <c r="L1677" t="str">
        <f t="shared" ca="1" si="106"/>
        <v>Safe</v>
      </c>
      <c r="M1677" t="str">
        <f t="shared" si="107"/>
        <v>Nov-2024</v>
      </c>
    </row>
    <row r="1678" spans="1:13" x14ac:dyDescent="0.35">
      <c r="A1678">
        <v>11677</v>
      </c>
      <c r="B1678">
        <v>44</v>
      </c>
      <c r="C1678" t="s">
        <v>10</v>
      </c>
      <c r="D1678" t="s">
        <v>12</v>
      </c>
      <c r="E1678" s="2">
        <v>45844</v>
      </c>
      <c r="F1678" s="2">
        <v>46027</v>
      </c>
      <c r="G1678">
        <v>800</v>
      </c>
      <c r="H1678" t="s">
        <v>14</v>
      </c>
      <c r="I1678" t="s">
        <v>16</v>
      </c>
      <c r="J1678">
        <f t="shared" si="105"/>
        <v>9600</v>
      </c>
      <c r="K1678" t="str">
        <f t="shared" si="104"/>
        <v>35+</v>
      </c>
      <c r="L1678" t="str">
        <f t="shared" ca="1" si="106"/>
        <v>Safe</v>
      </c>
      <c r="M1678" t="str">
        <f t="shared" si="107"/>
        <v>Jul-2025</v>
      </c>
    </row>
    <row r="1679" spans="1:13" x14ac:dyDescent="0.35">
      <c r="A1679">
        <v>11678</v>
      </c>
      <c r="B1679">
        <v>24</v>
      </c>
      <c r="C1679" t="s">
        <v>9</v>
      </c>
      <c r="D1679" t="s">
        <v>11</v>
      </c>
      <c r="E1679" s="2">
        <v>45532</v>
      </c>
      <c r="F1679" s="2">
        <v>46022</v>
      </c>
      <c r="G1679">
        <v>1700</v>
      </c>
      <c r="H1679" t="s">
        <v>15</v>
      </c>
      <c r="I1679" t="s">
        <v>16</v>
      </c>
      <c r="J1679">
        <f t="shared" si="105"/>
        <v>1700</v>
      </c>
      <c r="K1679" t="str">
        <f t="shared" si="104"/>
        <v>18-24</v>
      </c>
      <c r="L1679" t="str">
        <f t="shared" ca="1" si="106"/>
        <v>Safe</v>
      </c>
      <c r="M1679" t="str">
        <f t="shared" si="107"/>
        <v>Aug-2024</v>
      </c>
    </row>
    <row r="1680" spans="1:13" x14ac:dyDescent="0.35">
      <c r="A1680">
        <v>11679</v>
      </c>
      <c r="B1680">
        <v>25</v>
      </c>
      <c r="C1680" t="s">
        <v>9</v>
      </c>
      <c r="D1680" t="s">
        <v>13</v>
      </c>
      <c r="E1680" s="2">
        <v>45164</v>
      </c>
      <c r="F1680" s="2">
        <v>46025</v>
      </c>
      <c r="G1680">
        <v>1500</v>
      </c>
      <c r="H1680" t="s">
        <v>15</v>
      </c>
      <c r="I1680" t="s">
        <v>16</v>
      </c>
      <c r="J1680">
        <f t="shared" si="105"/>
        <v>4500</v>
      </c>
      <c r="K1680" t="str">
        <f t="shared" si="104"/>
        <v>25-34</v>
      </c>
      <c r="L1680" t="str">
        <f t="shared" ca="1" si="106"/>
        <v>Safe</v>
      </c>
      <c r="M1680" t="str">
        <f t="shared" si="107"/>
        <v>Aug-2023</v>
      </c>
    </row>
    <row r="1681" spans="1:13" x14ac:dyDescent="0.35">
      <c r="A1681">
        <v>11680</v>
      </c>
      <c r="B1681">
        <v>20</v>
      </c>
      <c r="C1681" t="s">
        <v>10</v>
      </c>
      <c r="D1681" t="s">
        <v>13</v>
      </c>
      <c r="E1681" s="2">
        <v>45483</v>
      </c>
      <c r="F1681" s="2">
        <v>46025</v>
      </c>
      <c r="G1681">
        <v>1000</v>
      </c>
      <c r="H1681" t="s">
        <v>14</v>
      </c>
      <c r="I1681" t="s">
        <v>16</v>
      </c>
      <c r="J1681">
        <f t="shared" si="105"/>
        <v>3000</v>
      </c>
      <c r="K1681" t="str">
        <f t="shared" si="104"/>
        <v>18-24</v>
      </c>
      <c r="L1681" t="str">
        <f t="shared" ca="1" si="106"/>
        <v>Safe</v>
      </c>
      <c r="M1681" t="str">
        <f t="shared" si="107"/>
        <v>Jul-2024</v>
      </c>
    </row>
    <row r="1682" spans="1:13" x14ac:dyDescent="0.35">
      <c r="A1682">
        <v>11681</v>
      </c>
      <c r="B1682">
        <v>39</v>
      </c>
      <c r="C1682" t="s">
        <v>9</v>
      </c>
      <c r="D1682" t="s">
        <v>11</v>
      </c>
      <c r="E1682" s="2">
        <v>45298</v>
      </c>
      <c r="F1682" s="2">
        <v>46014</v>
      </c>
      <c r="G1682">
        <v>1700</v>
      </c>
      <c r="H1682" t="s">
        <v>15</v>
      </c>
      <c r="I1682" t="s">
        <v>16</v>
      </c>
      <c r="J1682">
        <f t="shared" si="105"/>
        <v>1700</v>
      </c>
      <c r="K1682" t="str">
        <f t="shared" si="104"/>
        <v>35+</v>
      </c>
      <c r="L1682" t="str">
        <f t="shared" ca="1" si="106"/>
        <v>Safe</v>
      </c>
      <c r="M1682" t="str">
        <f t="shared" si="107"/>
        <v>Jan-2024</v>
      </c>
    </row>
    <row r="1683" spans="1:13" x14ac:dyDescent="0.35">
      <c r="A1683">
        <v>11682</v>
      </c>
      <c r="B1683">
        <v>19</v>
      </c>
      <c r="C1683" t="s">
        <v>9</v>
      </c>
      <c r="D1683" t="s">
        <v>11</v>
      </c>
      <c r="E1683" s="2">
        <v>45747</v>
      </c>
      <c r="F1683" s="2">
        <v>46025</v>
      </c>
      <c r="G1683">
        <v>1200</v>
      </c>
      <c r="H1683" t="s">
        <v>14</v>
      </c>
      <c r="I1683" t="s">
        <v>16</v>
      </c>
      <c r="J1683">
        <f t="shared" si="105"/>
        <v>1200</v>
      </c>
      <c r="K1683" t="str">
        <f t="shared" si="104"/>
        <v>18-24</v>
      </c>
      <c r="L1683" t="str">
        <f t="shared" ca="1" si="106"/>
        <v>Safe</v>
      </c>
      <c r="M1683" t="str">
        <f t="shared" si="107"/>
        <v>Mar-2025</v>
      </c>
    </row>
    <row r="1684" spans="1:13" x14ac:dyDescent="0.35">
      <c r="A1684">
        <v>11683</v>
      </c>
      <c r="B1684">
        <v>40</v>
      </c>
      <c r="C1684" t="s">
        <v>9</v>
      </c>
      <c r="D1684" t="s">
        <v>12</v>
      </c>
      <c r="E1684" s="2">
        <v>45605</v>
      </c>
      <c r="F1684" s="2">
        <v>45916</v>
      </c>
      <c r="G1684">
        <v>1300</v>
      </c>
      <c r="H1684" t="s">
        <v>15</v>
      </c>
      <c r="I1684" t="s">
        <v>17</v>
      </c>
      <c r="J1684">
        <f t="shared" si="105"/>
        <v>15600</v>
      </c>
      <c r="K1684" t="str">
        <f t="shared" si="104"/>
        <v>35+</v>
      </c>
      <c r="L1684" t="str">
        <f t="shared" ca="1" si="106"/>
        <v>High Risk</v>
      </c>
      <c r="M1684" t="str">
        <f t="shared" si="107"/>
        <v>Nov-2024</v>
      </c>
    </row>
    <row r="1685" spans="1:13" x14ac:dyDescent="0.35">
      <c r="A1685">
        <v>11684</v>
      </c>
      <c r="B1685">
        <v>32</v>
      </c>
      <c r="C1685" t="s">
        <v>10</v>
      </c>
      <c r="D1685" t="s">
        <v>13</v>
      </c>
      <c r="E1685" s="2">
        <v>45760</v>
      </c>
      <c r="F1685" s="2">
        <v>46012</v>
      </c>
      <c r="G1685">
        <v>1000</v>
      </c>
      <c r="H1685" t="s">
        <v>14</v>
      </c>
      <c r="I1685" t="s">
        <v>16</v>
      </c>
      <c r="J1685">
        <f t="shared" si="105"/>
        <v>3000</v>
      </c>
      <c r="K1685" t="str">
        <f t="shared" si="104"/>
        <v>25-34</v>
      </c>
      <c r="L1685" t="str">
        <f t="shared" ca="1" si="106"/>
        <v>Safe</v>
      </c>
      <c r="M1685" t="str">
        <f t="shared" si="107"/>
        <v>Apr-2025</v>
      </c>
    </row>
    <row r="1686" spans="1:13" x14ac:dyDescent="0.35">
      <c r="A1686">
        <v>11685</v>
      </c>
      <c r="B1686">
        <v>41</v>
      </c>
      <c r="C1686" t="s">
        <v>9</v>
      </c>
      <c r="D1686" t="s">
        <v>11</v>
      </c>
      <c r="E1686" s="2">
        <v>45548</v>
      </c>
      <c r="F1686" s="2">
        <v>45914</v>
      </c>
      <c r="G1686">
        <v>1200</v>
      </c>
      <c r="H1686" t="s">
        <v>14</v>
      </c>
      <c r="I1686" t="s">
        <v>17</v>
      </c>
      <c r="J1686">
        <f t="shared" si="105"/>
        <v>1200</v>
      </c>
      <c r="K1686" t="str">
        <f t="shared" si="104"/>
        <v>35+</v>
      </c>
      <c r="L1686" t="str">
        <f t="shared" ca="1" si="106"/>
        <v>High Risk</v>
      </c>
      <c r="M1686" t="str">
        <f t="shared" si="107"/>
        <v>Sep-2024</v>
      </c>
    </row>
    <row r="1687" spans="1:13" x14ac:dyDescent="0.35">
      <c r="A1687">
        <v>11686</v>
      </c>
      <c r="B1687">
        <v>39</v>
      </c>
      <c r="C1687" t="s">
        <v>10</v>
      </c>
      <c r="D1687" t="s">
        <v>13</v>
      </c>
      <c r="E1687" s="2">
        <v>45538</v>
      </c>
      <c r="F1687" s="2">
        <v>46013</v>
      </c>
      <c r="G1687">
        <v>1500</v>
      </c>
      <c r="H1687" t="s">
        <v>15</v>
      </c>
      <c r="I1687" t="s">
        <v>16</v>
      </c>
      <c r="J1687">
        <f t="shared" si="105"/>
        <v>4500</v>
      </c>
      <c r="K1687" t="str">
        <f t="shared" si="104"/>
        <v>35+</v>
      </c>
      <c r="L1687" t="str">
        <f t="shared" ca="1" si="106"/>
        <v>Safe</v>
      </c>
      <c r="M1687" t="str">
        <f t="shared" si="107"/>
        <v>Sep-2024</v>
      </c>
    </row>
    <row r="1688" spans="1:13" x14ac:dyDescent="0.35">
      <c r="A1688">
        <v>11687</v>
      </c>
      <c r="B1688">
        <v>39</v>
      </c>
      <c r="C1688" t="s">
        <v>9</v>
      </c>
      <c r="D1688" t="s">
        <v>11</v>
      </c>
      <c r="E1688" s="2">
        <v>45864</v>
      </c>
      <c r="F1688" s="2">
        <v>46017</v>
      </c>
      <c r="G1688">
        <v>1200</v>
      </c>
      <c r="H1688" t="s">
        <v>14</v>
      </c>
      <c r="I1688" t="s">
        <v>16</v>
      </c>
      <c r="J1688">
        <f t="shared" si="105"/>
        <v>1200</v>
      </c>
      <c r="K1688" t="str">
        <f t="shared" si="104"/>
        <v>35+</v>
      </c>
      <c r="L1688" t="str">
        <f t="shared" ca="1" si="106"/>
        <v>Safe</v>
      </c>
      <c r="M1688" t="str">
        <f t="shared" si="107"/>
        <v>Jul-2025</v>
      </c>
    </row>
    <row r="1689" spans="1:13" x14ac:dyDescent="0.35">
      <c r="A1689">
        <v>11688</v>
      </c>
      <c r="B1689">
        <v>22</v>
      </c>
      <c r="C1689" t="s">
        <v>10</v>
      </c>
      <c r="D1689" t="s">
        <v>11</v>
      </c>
      <c r="E1689" s="2">
        <v>45371</v>
      </c>
      <c r="F1689" s="2">
        <v>46019</v>
      </c>
      <c r="G1689">
        <v>1200</v>
      </c>
      <c r="H1689" t="s">
        <v>14</v>
      </c>
      <c r="I1689" t="s">
        <v>16</v>
      </c>
      <c r="J1689">
        <f t="shared" si="105"/>
        <v>1200</v>
      </c>
      <c r="K1689" t="str">
        <f t="shared" si="104"/>
        <v>18-24</v>
      </c>
      <c r="L1689" t="str">
        <f t="shared" ca="1" si="106"/>
        <v>Safe</v>
      </c>
      <c r="M1689" t="str">
        <f t="shared" si="107"/>
        <v>Mar-2024</v>
      </c>
    </row>
    <row r="1690" spans="1:13" x14ac:dyDescent="0.35">
      <c r="A1690">
        <v>11689</v>
      </c>
      <c r="B1690">
        <v>41</v>
      </c>
      <c r="C1690" t="s">
        <v>10</v>
      </c>
      <c r="D1690" t="s">
        <v>12</v>
      </c>
      <c r="E1690" s="2">
        <v>45200</v>
      </c>
      <c r="F1690" s="2">
        <v>46019</v>
      </c>
      <c r="G1690">
        <v>800</v>
      </c>
      <c r="H1690" t="s">
        <v>14</v>
      </c>
      <c r="I1690" t="s">
        <v>16</v>
      </c>
      <c r="J1690">
        <f t="shared" si="105"/>
        <v>9600</v>
      </c>
      <c r="K1690" t="str">
        <f t="shared" si="104"/>
        <v>35+</v>
      </c>
      <c r="L1690" t="str">
        <f t="shared" ca="1" si="106"/>
        <v>Safe</v>
      </c>
      <c r="M1690" t="str">
        <f t="shared" si="107"/>
        <v>Oct-2023</v>
      </c>
    </row>
    <row r="1691" spans="1:13" x14ac:dyDescent="0.35">
      <c r="A1691">
        <v>11690</v>
      </c>
      <c r="B1691">
        <v>18</v>
      </c>
      <c r="C1691" t="s">
        <v>9</v>
      </c>
      <c r="D1691" t="s">
        <v>11</v>
      </c>
      <c r="E1691" s="2">
        <v>45511</v>
      </c>
      <c r="F1691" s="2">
        <v>46016</v>
      </c>
      <c r="G1691">
        <v>1700</v>
      </c>
      <c r="H1691" t="s">
        <v>15</v>
      </c>
      <c r="I1691" t="s">
        <v>16</v>
      </c>
      <c r="J1691">
        <f t="shared" si="105"/>
        <v>1700</v>
      </c>
      <c r="K1691" t="str">
        <f t="shared" si="104"/>
        <v>18-24</v>
      </c>
      <c r="L1691" t="str">
        <f t="shared" ca="1" si="106"/>
        <v>Safe</v>
      </c>
      <c r="M1691" t="str">
        <f t="shared" si="107"/>
        <v>Aug-2024</v>
      </c>
    </row>
    <row r="1692" spans="1:13" x14ac:dyDescent="0.35">
      <c r="A1692">
        <v>11691</v>
      </c>
      <c r="B1692">
        <v>43</v>
      </c>
      <c r="C1692" t="s">
        <v>9</v>
      </c>
      <c r="D1692" t="s">
        <v>11</v>
      </c>
      <c r="E1692" s="2">
        <v>45601</v>
      </c>
      <c r="F1692" s="2">
        <v>45945</v>
      </c>
      <c r="G1692">
        <v>1200</v>
      </c>
      <c r="H1692" t="s">
        <v>14</v>
      </c>
      <c r="I1692" t="s">
        <v>17</v>
      </c>
      <c r="J1692">
        <f t="shared" si="105"/>
        <v>1200</v>
      </c>
      <c r="K1692" t="str">
        <f t="shared" si="104"/>
        <v>35+</v>
      </c>
      <c r="L1692" t="str">
        <f t="shared" ca="1" si="106"/>
        <v>High Risk</v>
      </c>
      <c r="M1692" t="str">
        <f t="shared" si="107"/>
        <v>Nov-2024</v>
      </c>
    </row>
    <row r="1693" spans="1:13" x14ac:dyDescent="0.35">
      <c r="A1693">
        <v>11692</v>
      </c>
      <c r="B1693">
        <v>21</v>
      </c>
      <c r="C1693" t="s">
        <v>9</v>
      </c>
      <c r="D1693" t="s">
        <v>12</v>
      </c>
      <c r="E1693" s="2">
        <v>45842</v>
      </c>
      <c r="F1693" s="2">
        <v>45913</v>
      </c>
      <c r="G1693">
        <v>1300</v>
      </c>
      <c r="H1693" t="s">
        <v>15</v>
      </c>
      <c r="I1693" t="s">
        <v>17</v>
      </c>
      <c r="J1693">
        <f t="shared" si="105"/>
        <v>15600</v>
      </c>
      <c r="K1693" t="str">
        <f t="shared" si="104"/>
        <v>18-24</v>
      </c>
      <c r="L1693" t="str">
        <f t="shared" ca="1" si="106"/>
        <v>High Risk</v>
      </c>
      <c r="M1693" t="str">
        <f t="shared" si="107"/>
        <v>Jul-2025</v>
      </c>
    </row>
    <row r="1694" spans="1:13" x14ac:dyDescent="0.35">
      <c r="A1694">
        <v>11693</v>
      </c>
      <c r="B1694">
        <v>32</v>
      </c>
      <c r="C1694" t="s">
        <v>9</v>
      </c>
      <c r="D1694" t="s">
        <v>11</v>
      </c>
      <c r="E1694" s="2">
        <v>45218</v>
      </c>
      <c r="F1694" s="2">
        <v>46016</v>
      </c>
      <c r="G1694">
        <v>1200</v>
      </c>
      <c r="H1694" t="s">
        <v>14</v>
      </c>
      <c r="I1694" t="s">
        <v>16</v>
      </c>
      <c r="J1694">
        <f t="shared" si="105"/>
        <v>1200</v>
      </c>
      <c r="K1694" t="str">
        <f t="shared" si="104"/>
        <v>25-34</v>
      </c>
      <c r="L1694" t="str">
        <f t="shared" ca="1" si="106"/>
        <v>Safe</v>
      </c>
      <c r="M1694" t="str">
        <f t="shared" si="107"/>
        <v>Oct-2023</v>
      </c>
    </row>
    <row r="1695" spans="1:13" x14ac:dyDescent="0.35">
      <c r="A1695">
        <v>11694</v>
      </c>
      <c r="B1695">
        <v>37</v>
      </c>
      <c r="C1695" t="s">
        <v>9</v>
      </c>
      <c r="D1695" t="s">
        <v>11</v>
      </c>
      <c r="E1695" s="2">
        <v>45582</v>
      </c>
      <c r="F1695" s="2">
        <v>46008</v>
      </c>
      <c r="G1695">
        <v>1200</v>
      </c>
      <c r="H1695" t="s">
        <v>14</v>
      </c>
      <c r="I1695" t="s">
        <v>16</v>
      </c>
      <c r="J1695">
        <f t="shared" si="105"/>
        <v>1200</v>
      </c>
      <c r="K1695" t="str">
        <f t="shared" si="104"/>
        <v>35+</v>
      </c>
      <c r="L1695" t="str">
        <f t="shared" ca="1" si="106"/>
        <v>Safe</v>
      </c>
      <c r="M1695" t="str">
        <f t="shared" si="107"/>
        <v>Oct-2024</v>
      </c>
    </row>
    <row r="1696" spans="1:13" x14ac:dyDescent="0.35">
      <c r="A1696">
        <v>11695</v>
      </c>
      <c r="B1696">
        <v>36</v>
      </c>
      <c r="C1696" t="s">
        <v>9</v>
      </c>
      <c r="D1696" t="s">
        <v>12</v>
      </c>
      <c r="E1696" s="2">
        <v>45720</v>
      </c>
      <c r="F1696" s="2">
        <v>46030</v>
      </c>
      <c r="G1696">
        <v>800</v>
      </c>
      <c r="H1696" t="s">
        <v>14</v>
      </c>
      <c r="I1696" t="s">
        <v>16</v>
      </c>
      <c r="J1696">
        <f t="shared" si="105"/>
        <v>9600</v>
      </c>
      <c r="K1696" t="str">
        <f t="shared" si="104"/>
        <v>35+</v>
      </c>
      <c r="L1696" t="str">
        <f t="shared" ca="1" si="106"/>
        <v>Safe</v>
      </c>
      <c r="M1696" t="str">
        <f t="shared" si="107"/>
        <v>Mar-2025</v>
      </c>
    </row>
    <row r="1697" spans="1:13" x14ac:dyDescent="0.35">
      <c r="A1697">
        <v>11696</v>
      </c>
      <c r="B1697">
        <v>20</v>
      </c>
      <c r="C1697" t="s">
        <v>9</v>
      </c>
      <c r="D1697" t="s">
        <v>13</v>
      </c>
      <c r="E1697" s="2">
        <v>45913</v>
      </c>
      <c r="F1697" s="2">
        <v>46012</v>
      </c>
      <c r="G1697">
        <v>1000</v>
      </c>
      <c r="H1697" t="s">
        <v>14</v>
      </c>
      <c r="I1697" t="s">
        <v>16</v>
      </c>
      <c r="J1697">
        <f t="shared" si="105"/>
        <v>3000</v>
      </c>
      <c r="K1697" t="str">
        <f t="shared" si="104"/>
        <v>18-24</v>
      </c>
      <c r="L1697" t="str">
        <f t="shared" ca="1" si="106"/>
        <v>Safe</v>
      </c>
      <c r="M1697" t="str">
        <f t="shared" si="107"/>
        <v>Sep-2025</v>
      </c>
    </row>
    <row r="1698" spans="1:13" x14ac:dyDescent="0.35">
      <c r="A1698">
        <v>11697</v>
      </c>
      <c r="B1698">
        <v>37</v>
      </c>
      <c r="C1698" t="s">
        <v>9</v>
      </c>
      <c r="D1698" t="s">
        <v>13</v>
      </c>
      <c r="E1698" s="2">
        <v>45220</v>
      </c>
      <c r="F1698" s="2">
        <v>46013</v>
      </c>
      <c r="G1698">
        <v>1000</v>
      </c>
      <c r="H1698" t="s">
        <v>14</v>
      </c>
      <c r="I1698" t="s">
        <v>16</v>
      </c>
      <c r="J1698">
        <f t="shared" si="105"/>
        <v>3000</v>
      </c>
      <c r="K1698" t="str">
        <f t="shared" si="104"/>
        <v>35+</v>
      </c>
      <c r="L1698" t="str">
        <f t="shared" ca="1" si="106"/>
        <v>Safe</v>
      </c>
      <c r="M1698" t="str">
        <f t="shared" si="107"/>
        <v>Oct-2023</v>
      </c>
    </row>
    <row r="1699" spans="1:13" x14ac:dyDescent="0.35">
      <c r="A1699">
        <v>11698</v>
      </c>
      <c r="B1699">
        <v>28</v>
      </c>
      <c r="C1699" t="s">
        <v>9</v>
      </c>
      <c r="D1699" t="s">
        <v>12</v>
      </c>
      <c r="E1699" s="2">
        <v>45159</v>
      </c>
      <c r="F1699" s="2">
        <v>46027</v>
      </c>
      <c r="G1699">
        <v>1300</v>
      </c>
      <c r="H1699" t="s">
        <v>15</v>
      </c>
      <c r="I1699" t="s">
        <v>16</v>
      </c>
      <c r="J1699">
        <f t="shared" si="105"/>
        <v>15600</v>
      </c>
      <c r="K1699" t="str">
        <f t="shared" si="104"/>
        <v>25-34</v>
      </c>
      <c r="L1699" t="str">
        <f t="shared" ca="1" si="106"/>
        <v>Safe</v>
      </c>
      <c r="M1699" t="str">
        <f t="shared" si="107"/>
        <v>Aug-2023</v>
      </c>
    </row>
    <row r="1700" spans="1:13" x14ac:dyDescent="0.35">
      <c r="A1700">
        <v>11699</v>
      </c>
      <c r="B1700">
        <v>34</v>
      </c>
      <c r="C1700" t="s">
        <v>9</v>
      </c>
      <c r="D1700" t="s">
        <v>11</v>
      </c>
      <c r="E1700" s="2">
        <v>45227</v>
      </c>
      <c r="F1700" s="2">
        <v>46031</v>
      </c>
      <c r="G1700">
        <v>1200</v>
      </c>
      <c r="H1700" t="s">
        <v>14</v>
      </c>
      <c r="I1700" t="s">
        <v>16</v>
      </c>
      <c r="J1700">
        <f t="shared" si="105"/>
        <v>1200</v>
      </c>
      <c r="K1700" t="str">
        <f t="shared" si="104"/>
        <v>25-34</v>
      </c>
      <c r="L1700" t="str">
        <f t="shared" ca="1" si="106"/>
        <v>Safe</v>
      </c>
      <c r="M1700" t="str">
        <f t="shared" si="107"/>
        <v>Oct-2023</v>
      </c>
    </row>
    <row r="1701" spans="1:13" x14ac:dyDescent="0.35">
      <c r="A1701">
        <v>11700</v>
      </c>
      <c r="B1701">
        <v>44</v>
      </c>
      <c r="C1701" t="s">
        <v>10</v>
      </c>
      <c r="D1701" t="s">
        <v>13</v>
      </c>
      <c r="E1701" s="2">
        <v>45212</v>
      </c>
      <c r="F1701" s="2">
        <v>46013</v>
      </c>
      <c r="G1701">
        <v>1500</v>
      </c>
      <c r="H1701" t="s">
        <v>15</v>
      </c>
      <c r="I1701" t="s">
        <v>16</v>
      </c>
      <c r="J1701">
        <f t="shared" si="105"/>
        <v>4500</v>
      </c>
      <c r="K1701" t="str">
        <f t="shared" si="104"/>
        <v>35+</v>
      </c>
      <c r="L1701" t="str">
        <f t="shared" ca="1" si="106"/>
        <v>Safe</v>
      </c>
      <c r="M1701" t="str">
        <f t="shared" si="107"/>
        <v>Oct-2023</v>
      </c>
    </row>
    <row r="1702" spans="1:13" x14ac:dyDescent="0.35">
      <c r="A1702">
        <v>11701</v>
      </c>
      <c r="B1702">
        <v>30</v>
      </c>
      <c r="C1702" t="s">
        <v>9</v>
      </c>
      <c r="D1702" t="s">
        <v>13</v>
      </c>
      <c r="E1702" s="2">
        <v>45302</v>
      </c>
      <c r="F1702" s="2">
        <v>46013</v>
      </c>
      <c r="G1702">
        <v>1000</v>
      </c>
      <c r="H1702" t="s">
        <v>14</v>
      </c>
      <c r="I1702" t="s">
        <v>16</v>
      </c>
      <c r="J1702">
        <f t="shared" si="105"/>
        <v>3000</v>
      </c>
      <c r="K1702" t="str">
        <f t="shared" si="104"/>
        <v>25-34</v>
      </c>
      <c r="L1702" t="str">
        <f t="shared" ca="1" si="106"/>
        <v>Safe</v>
      </c>
      <c r="M1702" t="str">
        <f t="shared" si="107"/>
        <v>Jan-2024</v>
      </c>
    </row>
    <row r="1703" spans="1:13" x14ac:dyDescent="0.35">
      <c r="A1703">
        <v>11702</v>
      </c>
      <c r="B1703">
        <v>28</v>
      </c>
      <c r="C1703" t="s">
        <v>9</v>
      </c>
      <c r="D1703" t="s">
        <v>12</v>
      </c>
      <c r="E1703" s="2">
        <v>45281</v>
      </c>
      <c r="F1703" s="2">
        <v>46024</v>
      </c>
      <c r="G1703">
        <v>800</v>
      </c>
      <c r="H1703" t="s">
        <v>14</v>
      </c>
      <c r="I1703" t="s">
        <v>16</v>
      </c>
      <c r="J1703">
        <f t="shared" si="105"/>
        <v>9600</v>
      </c>
      <c r="K1703" t="str">
        <f t="shared" si="104"/>
        <v>25-34</v>
      </c>
      <c r="L1703" t="str">
        <f t="shared" ca="1" si="106"/>
        <v>Safe</v>
      </c>
      <c r="M1703" t="str">
        <f t="shared" si="107"/>
        <v>Dec-2023</v>
      </c>
    </row>
    <row r="1704" spans="1:13" x14ac:dyDescent="0.35">
      <c r="A1704">
        <v>11703</v>
      </c>
      <c r="B1704">
        <v>19</v>
      </c>
      <c r="C1704" t="s">
        <v>9</v>
      </c>
      <c r="D1704" t="s">
        <v>13</v>
      </c>
      <c r="E1704" s="2">
        <v>45428</v>
      </c>
      <c r="F1704" s="2">
        <v>46012</v>
      </c>
      <c r="G1704">
        <v>1000</v>
      </c>
      <c r="H1704" t="s">
        <v>14</v>
      </c>
      <c r="I1704" t="s">
        <v>16</v>
      </c>
      <c r="J1704">
        <f t="shared" si="105"/>
        <v>3000</v>
      </c>
      <c r="K1704" t="str">
        <f t="shared" si="104"/>
        <v>18-24</v>
      </c>
      <c r="L1704" t="str">
        <f t="shared" ca="1" si="106"/>
        <v>Safe</v>
      </c>
      <c r="M1704" t="str">
        <f t="shared" si="107"/>
        <v>May-2024</v>
      </c>
    </row>
    <row r="1705" spans="1:13" x14ac:dyDescent="0.35">
      <c r="A1705">
        <v>11704</v>
      </c>
      <c r="B1705">
        <v>26</v>
      </c>
      <c r="C1705" t="s">
        <v>10</v>
      </c>
      <c r="D1705" t="s">
        <v>13</v>
      </c>
      <c r="E1705" s="2">
        <v>45182</v>
      </c>
      <c r="F1705" s="2">
        <v>46017</v>
      </c>
      <c r="G1705">
        <v>1000</v>
      </c>
      <c r="H1705" t="s">
        <v>14</v>
      </c>
      <c r="I1705" t="s">
        <v>16</v>
      </c>
      <c r="J1705">
        <f t="shared" si="105"/>
        <v>3000</v>
      </c>
      <c r="K1705" t="str">
        <f t="shared" si="104"/>
        <v>25-34</v>
      </c>
      <c r="L1705" t="str">
        <f t="shared" ca="1" si="106"/>
        <v>Safe</v>
      </c>
      <c r="M1705" t="str">
        <f t="shared" si="107"/>
        <v>Sep-2023</v>
      </c>
    </row>
    <row r="1706" spans="1:13" x14ac:dyDescent="0.35">
      <c r="A1706">
        <v>11705</v>
      </c>
      <c r="B1706">
        <v>43</v>
      </c>
      <c r="C1706" t="s">
        <v>10</v>
      </c>
      <c r="D1706" t="s">
        <v>13</v>
      </c>
      <c r="E1706" s="2">
        <v>45612</v>
      </c>
      <c r="F1706" s="2">
        <v>45938</v>
      </c>
      <c r="G1706">
        <v>1000</v>
      </c>
      <c r="H1706" t="s">
        <v>14</v>
      </c>
      <c r="I1706" t="s">
        <v>17</v>
      </c>
      <c r="J1706">
        <f t="shared" si="105"/>
        <v>3000</v>
      </c>
      <c r="K1706" t="str">
        <f t="shared" si="104"/>
        <v>35+</v>
      </c>
      <c r="L1706" t="str">
        <f t="shared" ca="1" si="106"/>
        <v>High Risk</v>
      </c>
      <c r="M1706" t="str">
        <f t="shared" si="107"/>
        <v>Nov-2024</v>
      </c>
    </row>
    <row r="1707" spans="1:13" x14ac:dyDescent="0.35">
      <c r="A1707">
        <v>11706</v>
      </c>
      <c r="B1707">
        <v>19</v>
      </c>
      <c r="C1707" t="s">
        <v>10</v>
      </c>
      <c r="D1707" t="s">
        <v>13</v>
      </c>
      <c r="E1707" s="2">
        <v>45857</v>
      </c>
      <c r="F1707" s="2">
        <v>46026</v>
      </c>
      <c r="G1707">
        <v>1000</v>
      </c>
      <c r="H1707" t="s">
        <v>14</v>
      </c>
      <c r="I1707" t="s">
        <v>16</v>
      </c>
      <c r="J1707">
        <f t="shared" si="105"/>
        <v>3000</v>
      </c>
      <c r="K1707" t="str">
        <f t="shared" si="104"/>
        <v>18-24</v>
      </c>
      <c r="L1707" t="str">
        <f t="shared" ca="1" si="106"/>
        <v>Safe</v>
      </c>
      <c r="M1707" t="str">
        <f t="shared" si="107"/>
        <v>Jul-2025</v>
      </c>
    </row>
    <row r="1708" spans="1:13" x14ac:dyDescent="0.35">
      <c r="A1708">
        <v>11707</v>
      </c>
      <c r="B1708">
        <v>38</v>
      </c>
      <c r="C1708" t="s">
        <v>10</v>
      </c>
      <c r="D1708" t="s">
        <v>12</v>
      </c>
      <c r="E1708" s="2">
        <v>45874</v>
      </c>
      <c r="F1708" s="2">
        <v>46030</v>
      </c>
      <c r="G1708">
        <v>800</v>
      </c>
      <c r="H1708" t="s">
        <v>14</v>
      </c>
      <c r="I1708" t="s">
        <v>16</v>
      </c>
      <c r="J1708">
        <f t="shared" si="105"/>
        <v>9600</v>
      </c>
      <c r="K1708" t="str">
        <f t="shared" si="104"/>
        <v>35+</v>
      </c>
      <c r="L1708" t="str">
        <f t="shared" ca="1" si="106"/>
        <v>Safe</v>
      </c>
      <c r="M1708" t="str">
        <f t="shared" si="107"/>
        <v>Aug-2025</v>
      </c>
    </row>
    <row r="1709" spans="1:13" x14ac:dyDescent="0.35">
      <c r="A1709">
        <v>11708</v>
      </c>
      <c r="B1709">
        <v>26</v>
      </c>
      <c r="C1709" t="s">
        <v>9</v>
      </c>
      <c r="D1709" t="s">
        <v>13</v>
      </c>
      <c r="E1709" s="2">
        <v>45593</v>
      </c>
      <c r="F1709" s="2">
        <v>46020</v>
      </c>
      <c r="G1709">
        <v>1500</v>
      </c>
      <c r="H1709" t="s">
        <v>15</v>
      </c>
      <c r="I1709" t="s">
        <v>16</v>
      </c>
      <c r="J1709">
        <f t="shared" si="105"/>
        <v>4500</v>
      </c>
      <c r="K1709" t="str">
        <f t="shared" si="104"/>
        <v>25-34</v>
      </c>
      <c r="L1709" t="str">
        <f t="shared" ca="1" si="106"/>
        <v>Safe</v>
      </c>
      <c r="M1709" t="str">
        <f t="shared" si="107"/>
        <v>Oct-2024</v>
      </c>
    </row>
    <row r="1710" spans="1:13" x14ac:dyDescent="0.35">
      <c r="A1710">
        <v>11709</v>
      </c>
      <c r="B1710">
        <v>26</v>
      </c>
      <c r="C1710" t="s">
        <v>10</v>
      </c>
      <c r="D1710" t="s">
        <v>13</v>
      </c>
      <c r="E1710" s="2">
        <v>45603</v>
      </c>
      <c r="F1710" s="2">
        <v>46025</v>
      </c>
      <c r="G1710">
        <v>1000</v>
      </c>
      <c r="H1710" t="s">
        <v>14</v>
      </c>
      <c r="I1710" t="s">
        <v>16</v>
      </c>
      <c r="J1710">
        <f t="shared" si="105"/>
        <v>3000</v>
      </c>
      <c r="K1710" t="str">
        <f t="shared" si="104"/>
        <v>25-34</v>
      </c>
      <c r="L1710" t="str">
        <f t="shared" ca="1" si="106"/>
        <v>Safe</v>
      </c>
      <c r="M1710" t="str">
        <f t="shared" si="107"/>
        <v>Nov-2024</v>
      </c>
    </row>
    <row r="1711" spans="1:13" x14ac:dyDescent="0.35">
      <c r="A1711">
        <v>11710</v>
      </c>
      <c r="B1711">
        <v>25</v>
      </c>
      <c r="C1711" t="s">
        <v>10</v>
      </c>
      <c r="D1711" t="s">
        <v>13</v>
      </c>
      <c r="E1711" s="2">
        <v>45894</v>
      </c>
      <c r="F1711" s="2">
        <v>46018</v>
      </c>
      <c r="G1711">
        <v>1000</v>
      </c>
      <c r="H1711" t="s">
        <v>14</v>
      </c>
      <c r="I1711" t="s">
        <v>16</v>
      </c>
      <c r="J1711">
        <f t="shared" si="105"/>
        <v>3000</v>
      </c>
      <c r="K1711" t="str">
        <f t="shared" si="104"/>
        <v>25-34</v>
      </c>
      <c r="L1711" t="str">
        <f t="shared" ca="1" si="106"/>
        <v>Safe</v>
      </c>
      <c r="M1711" t="str">
        <f t="shared" si="107"/>
        <v>Aug-2025</v>
      </c>
    </row>
    <row r="1712" spans="1:13" x14ac:dyDescent="0.35">
      <c r="A1712">
        <v>11711</v>
      </c>
      <c r="B1712">
        <v>34</v>
      </c>
      <c r="C1712" t="s">
        <v>9</v>
      </c>
      <c r="D1712" t="s">
        <v>13</v>
      </c>
      <c r="E1712" s="2">
        <v>45953</v>
      </c>
      <c r="F1712" s="2">
        <v>46027</v>
      </c>
      <c r="G1712">
        <v>1000</v>
      </c>
      <c r="H1712" t="s">
        <v>14</v>
      </c>
      <c r="I1712" t="s">
        <v>16</v>
      </c>
      <c r="J1712">
        <f t="shared" si="105"/>
        <v>3000</v>
      </c>
      <c r="K1712" t="str">
        <f t="shared" si="104"/>
        <v>25-34</v>
      </c>
      <c r="L1712" t="str">
        <f t="shared" ca="1" si="106"/>
        <v>Safe</v>
      </c>
      <c r="M1712" t="str">
        <f t="shared" si="107"/>
        <v>Oct-2025</v>
      </c>
    </row>
    <row r="1713" spans="1:13" x14ac:dyDescent="0.35">
      <c r="A1713">
        <v>11712</v>
      </c>
      <c r="B1713">
        <v>18</v>
      </c>
      <c r="C1713" t="s">
        <v>10</v>
      </c>
      <c r="D1713" t="s">
        <v>13</v>
      </c>
      <c r="E1713" s="2">
        <v>45341</v>
      </c>
      <c r="F1713" s="2">
        <v>46032</v>
      </c>
      <c r="G1713">
        <v>1000</v>
      </c>
      <c r="H1713" t="s">
        <v>14</v>
      </c>
      <c r="I1713" t="s">
        <v>16</v>
      </c>
      <c r="J1713">
        <f t="shared" si="105"/>
        <v>3000</v>
      </c>
      <c r="K1713" t="str">
        <f t="shared" si="104"/>
        <v>18-24</v>
      </c>
      <c r="L1713" t="str">
        <f t="shared" ca="1" si="106"/>
        <v>Safe</v>
      </c>
      <c r="M1713" t="str">
        <f t="shared" si="107"/>
        <v>Feb-2024</v>
      </c>
    </row>
    <row r="1714" spans="1:13" x14ac:dyDescent="0.35">
      <c r="A1714">
        <v>11713</v>
      </c>
      <c r="B1714">
        <v>42</v>
      </c>
      <c r="C1714" t="s">
        <v>9</v>
      </c>
      <c r="D1714" t="s">
        <v>12</v>
      </c>
      <c r="E1714" s="2">
        <v>45864</v>
      </c>
      <c r="F1714" s="2">
        <v>46031</v>
      </c>
      <c r="G1714">
        <v>800</v>
      </c>
      <c r="H1714" t="s">
        <v>14</v>
      </c>
      <c r="I1714" t="s">
        <v>16</v>
      </c>
      <c r="J1714">
        <f t="shared" si="105"/>
        <v>9600</v>
      </c>
      <c r="K1714" t="str">
        <f t="shared" si="104"/>
        <v>35+</v>
      </c>
      <c r="L1714" t="str">
        <f t="shared" ca="1" si="106"/>
        <v>Safe</v>
      </c>
      <c r="M1714" t="str">
        <f t="shared" si="107"/>
        <v>Jul-2025</v>
      </c>
    </row>
    <row r="1715" spans="1:13" x14ac:dyDescent="0.35">
      <c r="A1715">
        <v>11714</v>
      </c>
      <c r="B1715">
        <v>28</v>
      </c>
      <c r="C1715" t="s">
        <v>9</v>
      </c>
      <c r="D1715" t="s">
        <v>13</v>
      </c>
      <c r="E1715" s="2">
        <v>45508</v>
      </c>
      <c r="F1715" s="2">
        <v>45961</v>
      </c>
      <c r="G1715">
        <v>1500</v>
      </c>
      <c r="H1715" t="s">
        <v>15</v>
      </c>
      <c r="I1715" t="s">
        <v>17</v>
      </c>
      <c r="J1715">
        <f t="shared" si="105"/>
        <v>4500</v>
      </c>
      <c r="K1715" t="str">
        <f t="shared" si="104"/>
        <v>25-34</v>
      </c>
      <c r="L1715" t="str">
        <f t="shared" ca="1" si="106"/>
        <v>High Risk</v>
      </c>
      <c r="M1715" t="str">
        <f t="shared" si="107"/>
        <v>Aug-2024</v>
      </c>
    </row>
    <row r="1716" spans="1:13" x14ac:dyDescent="0.35">
      <c r="A1716">
        <v>11715</v>
      </c>
      <c r="B1716">
        <v>25</v>
      </c>
      <c r="C1716" t="s">
        <v>9</v>
      </c>
      <c r="D1716" t="s">
        <v>12</v>
      </c>
      <c r="E1716" s="2">
        <v>45887</v>
      </c>
      <c r="F1716" s="2">
        <v>46021</v>
      </c>
      <c r="G1716">
        <v>800</v>
      </c>
      <c r="H1716" t="s">
        <v>14</v>
      </c>
      <c r="I1716" t="s">
        <v>16</v>
      </c>
      <c r="J1716">
        <f t="shared" si="105"/>
        <v>9600</v>
      </c>
      <c r="K1716" t="str">
        <f t="shared" si="104"/>
        <v>25-34</v>
      </c>
      <c r="L1716" t="str">
        <f t="shared" ca="1" si="106"/>
        <v>Safe</v>
      </c>
      <c r="M1716" t="str">
        <f t="shared" si="107"/>
        <v>Aug-2025</v>
      </c>
    </row>
    <row r="1717" spans="1:13" x14ac:dyDescent="0.35">
      <c r="A1717">
        <v>11716</v>
      </c>
      <c r="B1717">
        <v>27</v>
      </c>
      <c r="C1717" t="s">
        <v>9</v>
      </c>
      <c r="D1717" t="s">
        <v>12</v>
      </c>
      <c r="E1717" s="2">
        <v>45317</v>
      </c>
      <c r="F1717" s="2">
        <v>46013</v>
      </c>
      <c r="G1717">
        <v>800</v>
      </c>
      <c r="H1717" t="s">
        <v>14</v>
      </c>
      <c r="I1717" t="s">
        <v>16</v>
      </c>
      <c r="J1717">
        <f t="shared" si="105"/>
        <v>9600</v>
      </c>
      <c r="K1717" t="str">
        <f t="shared" si="104"/>
        <v>25-34</v>
      </c>
      <c r="L1717" t="str">
        <f t="shared" ca="1" si="106"/>
        <v>Safe</v>
      </c>
      <c r="M1717" t="str">
        <f t="shared" si="107"/>
        <v>Jan-2024</v>
      </c>
    </row>
    <row r="1718" spans="1:13" x14ac:dyDescent="0.35">
      <c r="A1718">
        <v>11717</v>
      </c>
      <c r="B1718">
        <v>42</v>
      </c>
      <c r="C1718" t="s">
        <v>10</v>
      </c>
      <c r="D1718" t="s">
        <v>13</v>
      </c>
      <c r="E1718" s="2">
        <v>45618</v>
      </c>
      <c r="F1718" s="2">
        <v>45948</v>
      </c>
      <c r="G1718">
        <v>1500</v>
      </c>
      <c r="H1718" t="s">
        <v>15</v>
      </c>
      <c r="I1718" t="s">
        <v>17</v>
      </c>
      <c r="J1718">
        <f t="shared" si="105"/>
        <v>4500</v>
      </c>
      <c r="K1718" t="str">
        <f t="shared" si="104"/>
        <v>35+</v>
      </c>
      <c r="L1718" t="str">
        <f t="shared" ca="1" si="106"/>
        <v>High Risk</v>
      </c>
      <c r="M1718" t="str">
        <f t="shared" si="107"/>
        <v>Nov-2024</v>
      </c>
    </row>
    <row r="1719" spans="1:13" x14ac:dyDescent="0.35">
      <c r="A1719">
        <v>11718</v>
      </c>
      <c r="B1719">
        <v>24</v>
      </c>
      <c r="C1719" t="s">
        <v>9</v>
      </c>
      <c r="D1719" t="s">
        <v>13</v>
      </c>
      <c r="E1719" s="2">
        <v>45801</v>
      </c>
      <c r="F1719" s="2">
        <v>46028</v>
      </c>
      <c r="G1719">
        <v>1500</v>
      </c>
      <c r="H1719" t="s">
        <v>15</v>
      </c>
      <c r="I1719" t="s">
        <v>16</v>
      </c>
      <c r="J1719">
        <f t="shared" si="105"/>
        <v>4500</v>
      </c>
      <c r="K1719" t="str">
        <f t="shared" si="104"/>
        <v>18-24</v>
      </c>
      <c r="L1719" t="str">
        <f t="shared" ca="1" si="106"/>
        <v>Safe</v>
      </c>
      <c r="M1719" t="str">
        <f t="shared" si="107"/>
        <v>May-2025</v>
      </c>
    </row>
    <row r="1720" spans="1:13" x14ac:dyDescent="0.35">
      <c r="A1720">
        <v>11719</v>
      </c>
      <c r="B1720">
        <v>20</v>
      </c>
      <c r="C1720" t="s">
        <v>9</v>
      </c>
      <c r="D1720" t="s">
        <v>12</v>
      </c>
      <c r="E1720" s="2">
        <v>45206</v>
      </c>
      <c r="F1720" s="2">
        <v>45921</v>
      </c>
      <c r="G1720">
        <v>800</v>
      </c>
      <c r="H1720" t="s">
        <v>14</v>
      </c>
      <c r="I1720" t="s">
        <v>17</v>
      </c>
      <c r="J1720">
        <f t="shared" si="105"/>
        <v>9600</v>
      </c>
      <c r="K1720" t="str">
        <f t="shared" si="104"/>
        <v>18-24</v>
      </c>
      <c r="L1720" t="str">
        <f t="shared" ca="1" si="106"/>
        <v>High Risk</v>
      </c>
      <c r="M1720" t="str">
        <f t="shared" si="107"/>
        <v>Oct-2023</v>
      </c>
    </row>
    <row r="1721" spans="1:13" x14ac:dyDescent="0.35">
      <c r="A1721">
        <v>11720</v>
      </c>
      <c r="B1721">
        <v>20</v>
      </c>
      <c r="C1721" t="s">
        <v>9</v>
      </c>
      <c r="D1721" t="s">
        <v>13</v>
      </c>
      <c r="E1721" s="2">
        <v>45369</v>
      </c>
      <c r="F1721" s="2">
        <v>45917</v>
      </c>
      <c r="G1721">
        <v>1500</v>
      </c>
      <c r="H1721" t="s">
        <v>15</v>
      </c>
      <c r="I1721" t="s">
        <v>17</v>
      </c>
      <c r="J1721">
        <f t="shared" si="105"/>
        <v>4500</v>
      </c>
      <c r="K1721" t="str">
        <f t="shared" si="104"/>
        <v>18-24</v>
      </c>
      <c r="L1721" t="str">
        <f t="shared" ca="1" si="106"/>
        <v>High Risk</v>
      </c>
      <c r="M1721" t="str">
        <f t="shared" si="107"/>
        <v>Mar-2024</v>
      </c>
    </row>
    <row r="1722" spans="1:13" x14ac:dyDescent="0.35">
      <c r="A1722">
        <v>11721</v>
      </c>
      <c r="B1722">
        <v>35</v>
      </c>
      <c r="C1722" t="s">
        <v>10</v>
      </c>
      <c r="D1722" t="s">
        <v>12</v>
      </c>
      <c r="E1722" s="2">
        <v>45748</v>
      </c>
      <c r="F1722" s="2">
        <v>46023</v>
      </c>
      <c r="G1722">
        <v>1300</v>
      </c>
      <c r="H1722" t="s">
        <v>15</v>
      </c>
      <c r="I1722" t="s">
        <v>16</v>
      </c>
      <c r="J1722">
        <f t="shared" si="105"/>
        <v>15600</v>
      </c>
      <c r="K1722" t="str">
        <f t="shared" si="104"/>
        <v>35+</v>
      </c>
      <c r="L1722" t="str">
        <f t="shared" ca="1" si="106"/>
        <v>Safe</v>
      </c>
      <c r="M1722" t="str">
        <f t="shared" si="107"/>
        <v>Apr-2025</v>
      </c>
    </row>
    <row r="1723" spans="1:13" x14ac:dyDescent="0.35">
      <c r="A1723">
        <v>11722</v>
      </c>
      <c r="B1723">
        <v>22</v>
      </c>
      <c r="C1723" t="s">
        <v>9</v>
      </c>
      <c r="D1723" t="s">
        <v>13</v>
      </c>
      <c r="E1723" s="2">
        <v>45987</v>
      </c>
      <c r="F1723" s="2">
        <v>46017</v>
      </c>
      <c r="G1723">
        <v>1500</v>
      </c>
      <c r="H1723" t="s">
        <v>15</v>
      </c>
      <c r="I1723" t="s">
        <v>16</v>
      </c>
      <c r="J1723">
        <f t="shared" si="105"/>
        <v>4500</v>
      </c>
      <c r="K1723" t="str">
        <f t="shared" si="104"/>
        <v>18-24</v>
      </c>
      <c r="L1723" t="str">
        <f t="shared" ca="1" si="106"/>
        <v>Safe</v>
      </c>
      <c r="M1723" t="str">
        <f t="shared" si="107"/>
        <v>Nov-2025</v>
      </c>
    </row>
    <row r="1724" spans="1:13" x14ac:dyDescent="0.35">
      <c r="A1724">
        <v>11723</v>
      </c>
      <c r="B1724">
        <v>29</v>
      </c>
      <c r="C1724" t="s">
        <v>9</v>
      </c>
      <c r="D1724" t="s">
        <v>13</v>
      </c>
      <c r="E1724" s="2">
        <v>45813</v>
      </c>
      <c r="F1724" s="2">
        <v>46030</v>
      </c>
      <c r="G1724">
        <v>1500</v>
      </c>
      <c r="H1724" t="s">
        <v>15</v>
      </c>
      <c r="I1724" t="s">
        <v>16</v>
      </c>
      <c r="J1724">
        <f t="shared" si="105"/>
        <v>4500</v>
      </c>
      <c r="K1724" t="str">
        <f t="shared" si="104"/>
        <v>25-34</v>
      </c>
      <c r="L1724" t="str">
        <f t="shared" ca="1" si="106"/>
        <v>Safe</v>
      </c>
      <c r="M1724" t="str">
        <f t="shared" si="107"/>
        <v>Jun-2025</v>
      </c>
    </row>
    <row r="1725" spans="1:13" x14ac:dyDescent="0.35">
      <c r="A1725">
        <v>11724</v>
      </c>
      <c r="B1725">
        <v>29</v>
      </c>
      <c r="C1725" t="s">
        <v>10</v>
      </c>
      <c r="D1725" t="s">
        <v>11</v>
      </c>
      <c r="E1725" s="2">
        <v>45505</v>
      </c>
      <c r="F1725" s="2">
        <v>46021</v>
      </c>
      <c r="G1725">
        <v>1200</v>
      </c>
      <c r="H1725" t="s">
        <v>14</v>
      </c>
      <c r="I1725" t="s">
        <v>16</v>
      </c>
      <c r="J1725">
        <f t="shared" si="105"/>
        <v>1200</v>
      </c>
      <c r="K1725" t="str">
        <f t="shared" si="104"/>
        <v>25-34</v>
      </c>
      <c r="L1725" t="str">
        <f t="shared" ca="1" si="106"/>
        <v>Safe</v>
      </c>
      <c r="M1725" t="str">
        <f t="shared" si="107"/>
        <v>Aug-2024</v>
      </c>
    </row>
    <row r="1726" spans="1:13" x14ac:dyDescent="0.35">
      <c r="A1726">
        <v>11725</v>
      </c>
      <c r="B1726">
        <v>36</v>
      </c>
      <c r="C1726" t="s">
        <v>10</v>
      </c>
      <c r="D1726" t="s">
        <v>11</v>
      </c>
      <c r="E1726" s="2">
        <v>45460</v>
      </c>
      <c r="F1726" s="2">
        <v>46021</v>
      </c>
      <c r="G1726">
        <v>1200</v>
      </c>
      <c r="H1726" t="s">
        <v>14</v>
      </c>
      <c r="I1726" t="s">
        <v>16</v>
      </c>
      <c r="J1726">
        <f t="shared" si="105"/>
        <v>1200</v>
      </c>
      <c r="K1726" t="str">
        <f t="shared" si="104"/>
        <v>35+</v>
      </c>
      <c r="L1726" t="str">
        <f t="shared" ca="1" si="106"/>
        <v>Safe</v>
      </c>
      <c r="M1726" t="str">
        <f t="shared" si="107"/>
        <v>Jun-2024</v>
      </c>
    </row>
    <row r="1727" spans="1:13" x14ac:dyDescent="0.35">
      <c r="A1727">
        <v>11726</v>
      </c>
      <c r="B1727">
        <v>23</v>
      </c>
      <c r="C1727" t="s">
        <v>9</v>
      </c>
      <c r="D1727" t="s">
        <v>12</v>
      </c>
      <c r="E1727" s="2">
        <v>45609</v>
      </c>
      <c r="F1727" s="2">
        <v>46017</v>
      </c>
      <c r="G1727">
        <v>1300</v>
      </c>
      <c r="H1727" t="s">
        <v>15</v>
      </c>
      <c r="I1727" t="s">
        <v>16</v>
      </c>
      <c r="J1727">
        <f t="shared" si="105"/>
        <v>15600</v>
      </c>
      <c r="K1727" t="str">
        <f t="shared" si="104"/>
        <v>18-24</v>
      </c>
      <c r="L1727" t="str">
        <f t="shared" ca="1" si="106"/>
        <v>Safe</v>
      </c>
      <c r="M1727" t="str">
        <f t="shared" si="107"/>
        <v>Nov-2024</v>
      </c>
    </row>
    <row r="1728" spans="1:13" x14ac:dyDescent="0.35">
      <c r="A1728">
        <v>11727</v>
      </c>
      <c r="B1728">
        <v>19</v>
      </c>
      <c r="C1728" t="s">
        <v>10</v>
      </c>
      <c r="D1728" t="s">
        <v>13</v>
      </c>
      <c r="E1728" s="2">
        <v>45490</v>
      </c>
      <c r="F1728" s="2">
        <v>46021</v>
      </c>
      <c r="G1728">
        <v>1500</v>
      </c>
      <c r="H1728" t="s">
        <v>15</v>
      </c>
      <c r="I1728" t="s">
        <v>16</v>
      </c>
      <c r="J1728">
        <f t="shared" si="105"/>
        <v>4500</v>
      </c>
      <c r="K1728" t="str">
        <f t="shared" si="104"/>
        <v>18-24</v>
      </c>
      <c r="L1728" t="str">
        <f t="shared" ca="1" si="106"/>
        <v>Safe</v>
      </c>
      <c r="M1728" t="str">
        <f t="shared" si="107"/>
        <v>Jul-2024</v>
      </c>
    </row>
    <row r="1729" spans="1:13" x14ac:dyDescent="0.35">
      <c r="A1729">
        <v>11728</v>
      </c>
      <c r="B1729">
        <v>29</v>
      </c>
      <c r="C1729" t="s">
        <v>10</v>
      </c>
      <c r="D1729" t="s">
        <v>13</v>
      </c>
      <c r="E1729" s="2">
        <v>45676</v>
      </c>
      <c r="F1729" s="2">
        <v>46026</v>
      </c>
      <c r="G1729">
        <v>1500</v>
      </c>
      <c r="H1729" t="s">
        <v>15</v>
      </c>
      <c r="I1729" t="s">
        <v>16</v>
      </c>
      <c r="J1729">
        <f t="shared" si="105"/>
        <v>4500</v>
      </c>
      <c r="K1729" t="str">
        <f t="shared" si="104"/>
        <v>25-34</v>
      </c>
      <c r="L1729" t="str">
        <f t="shared" ca="1" si="106"/>
        <v>Safe</v>
      </c>
      <c r="M1729" t="str">
        <f t="shared" si="107"/>
        <v>Jan-2025</v>
      </c>
    </row>
    <row r="1730" spans="1:13" x14ac:dyDescent="0.35">
      <c r="A1730">
        <v>11729</v>
      </c>
      <c r="B1730">
        <v>36</v>
      </c>
      <c r="C1730" t="s">
        <v>10</v>
      </c>
      <c r="D1730" t="s">
        <v>12</v>
      </c>
      <c r="E1730" s="2">
        <v>45798</v>
      </c>
      <c r="F1730" s="2">
        <v>45974</v>
      </c>
      <c r="G1730">
        <v>800</v>
      </c>
      <c r="H1730" t="s">
        <v>14</v>
      </c>
      <c r="I1730" t="s">
        <v>17</v>
      </c>
      <c r="J1730">
        <f t="shared" si="105"/>
        <v>9600</v>
      </c>
      <c r="K1730" t="str">
        <f t="shared" ref="K1730:K1793" si="108">IF(B1730&lt;25,"18-24",IF(B1730&lt;35,"25-34","35+"))</f>
        <v>35+</v>
      </c>
      <c r="L1730" t="str">
        <f t="shared" ca="1" si="106"/>
        <v>High Risk</v>
      </c>
      <c r="M1730" t="str">
        <f t="shared" si="107"/>
        <v>May-2025</v>
      </c>
    </row>
    <row r="1731" spans="1:13" x14ac:dyDescent="0.35">
      <c r="A1731">
        <v>11730</v>
      </c>
      <c r="B1731">
        <v>22</v>
      </c>
      <c r="C1731" t="s">
        <v>9</v>
      </c>
      <c r="D1731" t="s">
        <v>13</v>
      </c>
      <c r="E1731" s="2">
        <v>45181</v>
      </c>
      <c r="F1731" s="2">
        <v>46028</v>
      </c>
      <c r="G1731">
        <v>1500</v>
      </c>
      <c r="H1731" t="s">
        <v>15</v>
      </c>
      <c r="I1731" t="s">
        <v>16</v>
      </c>
      <c r="J1731">
        <f t="shared" ref="J1731:J1794" si="109">IF(D1731="Monthly",G1731,IF(D1731="Quarterly",G1731*3,G1731*12))</f>
        <v>4500</v>
      </c>
      <c r="K1731" t="str">
        <f t="shared" si="108"/>
        <v>18-24</v>
      </c>
      <c r="L1731" t="str">
        <f t="shared" ref="L1731:L1794" ca="1" si="110">IF(F1731&lt;TODAY()-30,"High Risk","Safe")</f>
        <v>Safe</v>
      </c>
      <c r="M1731" t="str">
        <f t="shared" ref="M1731:M1794" si="111">TEXT(E1731,"mmm-yyyy")</f>
        <v>Sep-2023</v>
      </c>
    </row>
    <row r="1732" spans="1:13" x14ac:dyDescent="0.35">
      <c r="A1732">
        <v>11731</v>
      </c>
      <c r="B1732">
        <v>29</v>
      </c>
      <c r="C1732" t="s">
        <v>9</v>
      </c>
      <c r="D1732" t="s">
        <v>13</v>
      </c>
      <c r="E1732" s="2">
        <v>45283</v>
      </c>
      <c r="F1732" s="2">
        <v>46001</v>
      </c>
      <c r="G1732">
        <v>1000</v>
      </c>
      <c r="H1732" t="s">
        <v>14</v>
      </c>
      <c r="I1732" t="s">
        <v>17</v>
      </c>
      <c r="J1732">
        <f t="shared" si="109"/>
        <v>3000</v>
      </c>
      <c r="K1732" t="str">
        <f t="shared" si="108"/>
        <v>25-34</v>
      </c>
      <c r="L1732" t="str">
        <f t="shared" ca="1" si="110"/>
        <v>High Risk</v>
      </c>
      <c r="M1732" t="str">
        <f t="shared" si="111"/>
        <v>Dec-2023</v>
      </c>
    </row>
    <row r="1733" spans="1:13" x14ac:dyDescent="0.35">
      <c r="A1733">
        <v>11732</v>
      </c>
      <c r="B1733">
        <v>44</v>
      </c>
      <c r="C1733" t="s">
        <v>9</v>
      </c>
      <c r="D1733" t="s">
        <v>12</v>
      </c>
      <c r="E1733" s="2">
        <v>45332</v>
      </c>
      <c r="F1733" s="2">
        <v>45917</v>
      </c>
      <c r="G1733">
        <v>800</v>
      </c>
      <c r="H1733" t="s">
        <v>14</v>
      </c>
      <c r="I1733" t="s">
        <v>17</v>
      </c>
      <c r="J1733">
        <f t="shared" si="109"/>
        <v>9600</v>
      </c>
      <c r="K1733" t="str">
        <f t="shared" si="108"/>
        <v>35+</v>
      </c>
      <c r="L1733" t="str">
        <f t="shared" ca="1" si="110"/>
        <v>High Risk</v>
      </c>
      <c r="M1733" t="str">
        <f t="shared" si="111"/>
        <v>Feb-2024</v>
      </c>
    </row>
    <row r="1734" spans="1:13" x14ac:dyDescent="0.35">
      <c r="A1734">
        <v>11733</v>
      </c>
      <c r="B1734">
        <v>44</v>
      </c>
      <c r="C1734" t="s">
        <v>9</v>
      </c>
      <c r="D1734" t="s">
        <v>13</v>
      </c>
      <c r="E1734" s="2">
        <v>45894</v>
      </c>
      <c r="F1734" s="2">
        <v>46008</v>
      </c>
      <c r="G1734">
        <v>1500</v>
      </c>
      <c r="H1734" t="s">
        <v>15</v>
      </c>
      <c r="I1734" t="s">
        <v>16</v>
      </c>
      <c r="J1734">
        <f t="shared" si="109"/>
        <v>4500</v>
      </c>
      <c r="K1734" t="str">
        <f t="shared" si="108"/>
        <v>35+</v>
      </c>
      <c r="L1734" t="str">
        <f t="shared" ca="1" si="110"/>
        <v>Safe</v>
      </c>
      <c r="M1734" t="str">
        <f t="shared" si="111"/>
        <v>Aug-2025</v>
      </c>
    </row>
    <row r="1735" spans="1:13" x14ac:dyDescent="0.35">
      <c r="A1735">
        <v>11734</v>
      </c>
      <c r="B1735">
        <v>34</v>
      </c>
      <c r="C1735" t="s">
        <v>9</v>
      </c>
      <c r="D1735" t="s">
        <v>11</v>
      </c>
      <c r="E1735" s="2">
        <v>45322</v>
      </c>
      <c r="F1735" s="2">
        <v>46009</v>
      </c>
      <c r="G1735">
        <v>1700</v>
      </c>
      <c r="H1735" t="s">
        <v>15</v>
      </c>
      <c r="I1735" t="s">
        <v>16</v>
      </c>
      <c r="J1735">
        <f t="shared" si="109"/>
        <v>1700</v>
      </c>
      <c r="K1735" t="str">
        <f t="shared" si="108"/>
        <v>25-34</v>
      </c>
      <c r="L1735" t="str">
        <f t="shared" ca="1" si="110"/>
        <v>Safe</v>
      </c>
      <c r="M1735" t="str">
        <f t="shared" si="111"/>
        <v>Jan-2024</v>
      </c>
    </row>
    <row r="1736" spans="1:13" x14ac:dyDescent="0.35">
      <c r="A1736">
        <v>11735</v>
      </c>
      <c r="B1736">
        <v>34</v>
      </c>
      <c r="C1736" t="s">
        <v>9</v>
      </c>
      <c r="D1736" t="s">
        <v>13</v>
      </c>
      <c r="E1736" s="2">
        <v>45612</v>
      </c>
      <c r="F1736" s="2">
        <v>46021</v>
      </c>
      <c r="G1736">
        <v>1500</v>
      </c>
      <c r="H1736" t="s">
        <v>15</v>
      </c>
      <c r="I1736" t="s">
        <v>16</v>
      </c>
      <c r="J1736">
        <f t="shared" si="109"/>
        <v>4500</v>
      </c>
      <c r="K1736" t="str">
        <f t="shared" si="108"/>
        <v>25-34</v>
      </c>
      <c r="L1736" t="str">
        <f t="shared" ca="1" si="110"/>
        <v>Safe</v>
      </c>
      <c r="M1736" t="str">
        <f t="shared" si="111"/>
        <v>Nov-2024</v>
      </c>
    </row>
    <row r="1737" spans="1:13" x14ac:dyDescent="0.35">
      <c r="A1737">
        <v>11736</v>
      </c>
      <c r="B1737">
        <v>27</v>
      </c>
      <c r="C1737" t="s">
        <v>9</v>
      </c>
      <c r="D1737" t="s">
        <v>13</v>
      </c>
      <c r="E1737" s="2">
        <v>45493</v>
      </c>
      <c r="F1737" s="2">
        <v>46024</v>
      </c>
      <c r="G1737">
        <v>1000</v>
      </c>
      <c r="H1737" t="s">
        <v>14</v>
      </c>
      <c r="I1737" t="s">
        <v>16</v>
      </c>
      <c r="J1737">
        <f t="shared" si="109"/>
        <v>3000</v>
      </c>
      <c r="K1737" t="str">
        <f t="shared" si="108"/>
        <v>25-34</v>
      </c>
      <c r="L1737" t="str">
        <f t="shared" ca="1" si="110"/>
        <v>Safe</v>
      </c>
      <c r="M1737" t="str">
        <f t="shared" si="111"/>
        <v>Jul-2024</v>
      </c>
    </row>
    <row r="1738" spans="1:13" x14ac:dyDescent="0.35">
      <c r="A1738">
        <v>11737</v>
      </c>
      <c r="B1738">
        <v>42</v>
      </c>
      <c r="C1738" t="s">
        <v>9</v>
      </c>
      <c r="D1738" t="s">
        <v>11</v>
      </c>
      <c r="E1738" s="2">
        <v>45212</v>
      </c>
      <c r="F1738" s="2">
        <v>46029</v>
      </c>
      <c r="G1738">
        <v>1200</v>
      </c>
      <c r="H1738" t="s">
        <v>14</v>
      </c>
      <c r="I1738" t="s">
        <v>16</v>
      </c>
      <c r="J1738">
        <f t="shared" si="109"/>
        <v>1200</v>
      </c>
      <c r="K1738" t="str">
        <f t="shared" si="108"/>
        <v>35+</v>
      </c>
      <c r="L1738" t="str">
        <f t="shared" ca="1" si="110"/>
        <v>Safe</v>
      </c>
      <c r="M1738" t="str">
        <f t="shared" si="111"/>
        <v>Oct-2023</v>
      </c>
    </row>
    <row r="1739" spans="1:13" x14ac:dyDescent="0.35">
      <c r="A1739">
        <v>11738</v>
      </c>
      <c r="B1739">
        <v>40</v>
      </c>
      <c r="C1739" t="s">
        <v>9</v>
      </c>
      <c r="D1739" t="s">
        <v>13</v>
      </c>
      <c r="E1739" s="2">
        <v>45413</v>
      </c>
      <c r="F1739" s="2">
        <v>46030</v>
      </c>
      <c r="G1739">
        <v>1500</v>
      </c>
      <c r="H1739" t="s">
        <v>15</v>
      </c>
      <c r="I1739" t="s">
        <v>16</v>
      </c>
      <c r="J1739">
        <f t="shared" si="109"/>
        <v>4500</v>
      </c>
      <c r="K1739" t="str">
        <f t="shared" si="108"/>
        <v>35+</v>
      </c>
      <c r="L1739" t="str">
        <f t="shared" ca="1" si="110"/>
        <v>Safe</v>
      </c>
      <c r="M1739" t="str">
        <f t="shared" si="111"/>
        <v>May-2024</v>
      </c>
    </row>
    <row r="1740" spans="1:13" x14ac:dyDescent="0.35">
      <c r="A1740">
        <v>11739</v>
      </c>
      <c r="B1740">
        <v>34</v>
      </c>
      <c r="C1740" t="s">
        <v>10</v>
      </c>
      <c r="D1740" t="s">
        <v>11</v>
      </c>
      <c r="E1740" s="2">
        <v>45350</v>
      </c>
      <c r="F1740" s="2">
        <v>46029</v>
      </c>
      <c r="G1740">
        <v>1200</v>
      </c>
      <c r="H1740" t="s">
        <v>14</v>
      </c>
      <c r="I1740" t="s">
        <v>16</v>
      </c>
      <c r="J1740">
        <f t="shared" si="109"/>
        <v>1200</v>
      </c>
      <c r="K1740" t="str">
        <f t="shared" si="108"/>
        <v>25-34</v>
      </c>
      <c r="L1740" t="str">
        <f t="shared" ca="1" si="110"/>
        <v>Safe</v>
      </c>
      <c r="M1740" t="str">
        <f t="shared" si="111"/>
        <v>Feb-2024</v>
      </c>
    </row>
    <row r="1741" spans="1:13" x14ac:dyDescent="0.35">
      <c r="A1741">
        <v>11740</v>
      </c>
      <c r="B1741">
        <v>32</v>
      </c>
      <c r="C1741" t="s">
        <v>9</v>
      </c>
      <c r="D1741" t="s">
        <v>11</v>
      </c>
      <c r="E1741" s="2">
        <v>45506</v>
      </c>
      <c r="F1741" s="2">
        <v>46031</v>
      </c>
      <c r="G1741">
        <v>1700</v>
      </c>
      <c r="H1741" t="s">
        <v>15</v>
      </c>
      <c r="I1741" t="s">
        <v>16</v>
      </c>
      <c r="J1741">
        <f t="shared" si="109"/>
        <v>1700</v>
      </c>
      <c r="K1741" t="str">
        <f t="shared" si="108"/>
        <v>25-34</v>
      </c>
      <c r="L1741" t="str">
        <f t="shared" ca="1" si="110"/>
        <v>Safe</v>
      </c>
      <c r="M1741" t="str">
        <f t="shared" si="111"/>
        <v>Aug-2024</v>
      </c>
    </row>
    <row r="1742" spans="1:13" x14ac:dyDescent="0.35">
      <c r="A1742">
        <v>11741</v>
      </c>
      <c r="B1742">
        <v>29</v>
      </c>
      <c r="C1742" t="s">
        <v>9</v>
      </c>
      <c r="D1742" t="s">
        <v>11</v>
      </c>
      <c r="E1742" s="2">
        <v>45395</v>
      </c>
      <c r="F1742" s="2">
        <v>46023</v>
      </c>
      <c r="G1742">
        <v>1200</v>
      </c>
      <c r="H1742" t="s">
        <v>14</v>
      </c>
      <c r="I1742" t="s">
        <v>16</v>
      </c>
      <c r="J1742">
        <f t="shared" si="109"/>
        <v>1200</v>
      </c>
      <c r="K1742" t="str">
        <f t="shared" si="108"/>
        <v>25-34</v>
      </c>
      <c r="L1742" t="str">
        <f t="shared" ca="1" si="110"/>
        <v>Safe</v>
      </c>
      <c r="M1742" t="str">
        <f t="shared" si="111"/>
        <v>Apr-2024</v>
      </c>
    </row>
    <row r="1743" spans="1:13" x14ac:dyDescent="0.35">
      <c r="A1743">
        <v>11742</v>
      </c>
      <c r="B1743">
        <v>33</v>
      </c>
      <c r="C1743" t="s">
        <v>10</v>
      </c>
      <c r="D1743" t="s">
        <v>11</v>
      </c>
      <c r="E1743" s="2">
        <v>45358</v>
      </c>
      <c r="F1743" s="2">
        <v>46016</v>
      </c>
      <c r="G1743">
        <v>1200</v>
      </c>
      <c r="H1743" t="s">
        <v>14</v>
      </c>
      <c r="I1743" t="s">
        <v>16</v>
      </c>
      <c r="J1743">
        <f t="shared" si="109"/>
        <v>1200</v>
      </c>
      <c r="K1743" t="str">
        <f t="shared" si="108"/>
        <v>25-34</v>
      </c>
      <c r="L1743" t="str">
        <f t="shared" ca="1" si="110"/>
        <v>Safe</v>
      </c>
      <c r="M1743" t="str">
        <f t="shared" si="111"/>
        <v>Mar-2024</v>
      </c>
    </row>
    <row r="1744" spans="1:13" x14ac:dyDescent="0.35">
      <c r="A1744">
        <v>11743</v>
      </c>
      <c r="B1744">
        <v>41</v>
      </c>
      <c r="C1744" t="s">
        <v>9</v>
      </c>
      <c r="D1744" t="s">
        <v>13</v>
      </c>
      <c r="E1744" s="2">
        <v>45682</v>
      </c>
      <c r="F1744" s="2">
        <v>46026</v>
      </c>
      <c r="G1744">
        <v>1000</v>
      </c>
      <c r="H1744" t="s">
        <v>14</v>
      </c>
      <c r="I1744" t="s">
        <v>16</v>
      </c>
      <c r="J1744">
        <f t="shared" si="109"/>
        <v>3000</v>
      </c>
      <c r="K1744" t="str">
        <f t="shared" si="108"/>
        <v>35+</v>
      </c>
      <c r="L1744" t="str">
        <f t="shared" ca="1" si="110"/>
        <v>Safe</v>
      </c>
      <c r="M1744" t="str">
        <f t="shared" si="111"/>
        <v>Jan-2025</v>
      </c>
    </row>
    <row r="1745" spans="1:13" x14ac:dyDescent="0.35">
      <c r="A1745">
        <v>11744</v>
      </c>
      <c r="B1745">
        <v>36</v>
      </c>
      <c r="C1745" t="s">
        <v>10</v>
      </c>
      <c r="D1745" t="s">
        <v>12</v>
      </c>
      <c r="E1745" s="2">
        <v>45681</v>
      </c>
      <c r="F1745" s="2">
        <v>46032</v>
      </c>
      <c r="G1745">
        <v>800</v>
      </c>
      <c r="H1745" t="s">
        <v>14</v>
      </c>
      <c r="I1745" t="s">
        <v>16</v>
      </c>
      <c r="J1745">
        <f t="shared" si="109"/>
        <v>9600</v>
      </c>
      <c r="K1745" t="str">
        <f t="shared" si="108"/>
        <v>35+</v>
      </c>
      <c r="L1745" t="str">
        <f t="shared" ca="1" si="110"/>
        <v>Safe</v>
      </c>
      <c r="M1745" t="str">
        <f t="shared" si="111"/>
        <v>Jan-2025</v>
      </c>
    </row>
    <row r="1746" spans="1:13" x14ac:dyDescent="0.35">
      <c r="A1746">
        <v>11745</v>
      </c>
      <c r="B1746">
        <v>25</v>
      </c>
      <c r="C1746" t="s">
        <v>10</v>
      </c>
      <c r="D1746" t="s">
        <v>13</v>
      </c>
      <c r="E1746" s="2">
        <v>45961</v>
      </c>
      <c r="F1746" s="2">
        <v>45943</v>
      </c>
      <c r="G1746">
        <v>1000</v>
      </c>
      <c r="H1746" t="s">
        <v>14</v>
      </c>
      <c r="I1746" t="s">
        <v>17</v>
      </c>
      <c r="J1746">
        <f t="shared" si="109"/>
        <v>3000</v>
      </c>
      <c r="K1746" t="str">
        <f t="shared" si="108"/>
        <v>25-34</v>
      </c>
      <c r="L1746" t="str">
        <f t="shared" ca="1" si="110"/>
        <v>High Risk</v>
      </c>
      <c r="M1746" t="str">
        <f t="shared" si="111"/>
        <v>Oct-2025</v>
      </c>
    </row>
    <row r="1747" spans="1:13" x14ac:dyDescent="0.35">
      <c r="A1747">
        <v>11746</v>
      </c>
      <c r="B1747">
        <v>38</v>
      </c>
      <c r="C1747" t="s">
        <v>9</v>
      </c>
      <c r="D1747" t="s">
        <v>11</v>
      </c>
      <c r="E1747" s="2">
        <v>45828</v>
      </c>
      <c r="F1747" s="2">
        <v>46025</v>
      </c>
      <c r="G1747">
        <v>1200</v>
      </c>
      <c r="H1747" t="s">
        <v>14</v>
      </c>
      <c r="I1747" t="s">
        <v>16</v>
      </c>
      <c r="J1747">
        <f t="shared" si="109"/>
        <v>1200</v>
      </c>
      <c r="K1747" t="str">
        <f t="shared" si="108"/>
        <v>35+</v>
      </c>
      <c r="L1747" t="str">
        <f t="shared" ca="1" si="110"/>
        <v>Safe</v>
      </c>
      <c r="M1747" t="str">
        <f t="shared" si="111"/>
        <v>Jun-2025</v>
      </c>
    </row>
    <row r="1748" spans="1:13" x14ac:dyDescent="0.35">
      <c r="A1748">
        <v>11747</v>
      </c>
      <c r="B1748">
        <v>34</v>
      </c>
      <c r="C1748" t="s">
        <v>10</v>
      </c>
      <c r="D1748" t="s">
        <v>11</v>
      </c>
      <c r="E1748" s="2">
        <v>45732</v>
      </c>
      <c r="F1748" s="2">
        <v>46010</v>
      </c>
      <c r="G1748">
        <v>1200</v>
      </c>
      <c r="H1748" t="s">
        <v>14</v>
      </c>
      <c r="I1748" t="s">
        <v>16</v>
      </c>
      <c r="J1748">
        <f t="shared" si="109"/>
        <v>1200</v>
      </c>
      <c r="K1748" t="str">
        <f t="shared" si="108"/>
        <v>25-34</v>
      </c>
      <c r="L1748" t="str">
        <f t="shared" ca="1" si="110"/>
        <v>Safe</v>
      </c>
      <c r="M1748" t="str">
        <f t="shared" si="111"/>
        <v>Mar-2025</v>
      </c>
    </row>
    <row r="1749" spans="1:13" x14ac:dyDescent="0.35">
      <c r="A1749">
        <v>11748</v>
      </c>
      <c r="B1749">
        <v>40</v>
      </c>
      <c r="C1749" t="s">
        <v>9</v>
      </c>
      <c r="D1749" t="s">
        <v>11</v>
      </c>
      <c r="E1749" s="2">
        <v>45521</v>
      </c>
      <c r="F1749" s="2">
        <v>46021</v>
      </c>
      <c r="G1749">
        <v>1200</v>
      </c>
      <c r="H1749" t="s">
        <v>14</v>
      </c>
      <c r="I1749" t="s">
        <v>16</v>
      </c>
      <c r="J1749">
        <f t="shared" si="109"/>
        <v>1200</v>
      </c>
      <c r="K1749" t="str">
        <f t="shared" si="108"/>
        <v>35+</v>
      </c>
      <c r="L1749" t="str">
        <f t="shared" ca="1" si="110"/>
        <v>Safe</v>
      </c>
      <c r="M1749" t="str">
        <f t="shared" si="111"/>
        <v>Aug-2024</v>
      </c>
    </row>
    <row r="1750" spans="1:13" x14ac:dyDescent="0.35">
      <c r="A1750">
        <v>11749</v>
      </c>
      <c r="B1750">
        <v>22</v>
      </c>
      <c r="C1750" t="s">
        <v>9</v>
      </c>
      <c r="D1750" t="s">
        <v>13</v>
      </c>
      <c r="E1750" s="2">
        <v>45237</v>
      </c>
      <c r="F1750" s="2">
        <v>45964</v>
      </c>
      <c r="G1750">
        <v>1500</v>
      </c>
      <c r="H1750" t="s">
        <v>15</v>
      </c>
      <c r="I1750" t="s">
        <v>17</v>
      </c>
      <c r="J1750">
        <f t="shared" si="109"/>
        <v>4500</v>
      </c>
      <c r="K1750" t="str">
        <f t="shared" si="108"/>
        <v>18-24</v>
      </c>
      <c r="L1750" t="str">
        <f t="shared" ca="1" si="110"/>
        <v>High Risk</v>
      </c>
      <c r="M1750" t="str">
        <f t="shared" si="111"/>
        <v>Nov-2023</v>
      </c>
    </row>
    <row r="1751" spans="1:13" x14ac:dyDescent="0.35">
      <c r="A1751">
        <v>11750</v>
      </c>
      <c r="B1751">
        <v>39</v>
      </c>
      <c r="C1751" t="s">
        <v>9</v>
      </c>
      <c r="D1751" t="s">
        <v>11</v>
      </c>
      <c r="E1751" s="2">
        <v>45191</v>
      </c>
      <c r="F1751" s="2">
        <v>45931</v>
      </c>
      <c r="G1751">
        <v>1700</v>
      </c>
      <c r="H1751" t="s">
        <v>15</v>
      </c>
      <c r="I1751" t="s">
        <v>17</v>
      </c>
      <c r="J1751">
        <f t="shared" si="109"/>
        <v>1700</v>
      </c>
      <c r="K1751" t="str">
        <f t="shared" si="108"/>
        <v>35+</v>
      </c>
      <c r="L1751" t="str">
        <f t="shared" ca="1" si="110"/>
        <v>High Risk</v>
      </c>
      <c r="M1751" t="str">
        <f t="shared" si="111"/>
        <v>Sep-2023</v>
      </c>
    </row>
    <row r="1752" spans="1:13" x14ac:dyDescent="0.35">
      <c r="A1752">
        <v>11751</v>
      </c>
      <c r="B1752">
        <v>33</v>
      </c>
      <c r="C1752" t="s">
        <v>9</v>
      </c>
      <c r="D1752" t="s">
        <v>13</v>
      </c>
      <c r="E1752" s="2">
        <v>45346</v>
      </c>
      <c r="F1752" s="2">
        <v>45950</v>
      </c>
      <c r="G1752">
        <v>1000</v>
      </c>
      <c r="H1752" t="s">
        <v>14</v>
      </c>
      <c r="I1752" t="s">
        <v>17</v>
      </c>
      <c r="J1752">
        <f t="shared" si="109"/>
        <v>3000</v>
      </c>
      <c r="K1752" t="str">
        <f t="shared" si="108"/>
        <v>25-34</v>
      </c>
      <c r="L1752" t="str">
        <f t="shared" ca="1" si="110"/>
        <v>High Risk</v>
      </c>
      <c r="M1752" t="str">
        <f t="shared" si="111"/>
        <v>Feb-2024</v>
      </c>
    </row>
    <row r="1753" spans="1:13" x14ac:dyDescent="0.35">
      <c r="A1753">
        <v>11752</v>
      </c>
      <c r="B1753">
        <v>23</v>
      </c>
      <c r="C1753" t="s">
        <v>10</v>
      </c>
      <c r="D1753" t="s">
        <v>11</v>
      </c>
      <c r="E1753" s="2">
        <v>45841</v>
      </c>
      <c r="F1753" s="2">
        <v>46016</v>
      </c>
      <c r="G1753">
        <v>1200</v>
      </c>
      <c r="H1753" t="s">
        <v>14</v>
      </c>
      <c r="I1753" t="s">
        <v>16</v>
      </c>
      <c r="J1753">
        <f t="shared" si="109"/>
        <v>1200</v>
      </c>
      <c r="K1753" t="str">
        <f t="shared" si="108"/>
        <v>18-24</v>
      </c>
      <c r="L1753" t="str">
        <f t="shared" ca="1" si="110"/>
        <v>Safe</v>
      </c>
      <c r="M1753" t="str">
        <f t="shared" si="111"/>
        <v>Jul-2025</v>
      </c>
    </row>
    <row r="1754" spans="1:13" x14ac:dyDescent="0.35">
      <c r="A1754">
        <v>11753</v>
      </c>
      <c r="B1754">
        <v>25</v>
      </c>
      <c r="C1754" t="s">
        <v>9</v>
      </c>
      <c r="D1754" t="s">
        <v>12</v>
      </c>
      <c r="E1754" s="2">
        <v>45933</v>
      </c>
      <c r="F1754" s="2">
        <v>45981</v>
      </c>
      <c r="G1754">
        <v>800</v>
      </c>
      <c r="H1754" t="s">
        <v>14</v>
      </c>
      <c r="I1754" t="s">
        <v>17</v>
      </c>
      <c r="J1754">
        <f t="shared" si="109"/>
        <v>9600</v>
      </c>
      <c r="K1754" t="str">
        <f t="shared" si="108"/>
        <v>25-34</v>
      </c>
      <c r="L1754" t="str">
        <f t="shared" ca="1" si="110"/>
        <v>High Risk</v>
      </c>
      <c r="M1754" t="str">
        <f t="shared" si="111"/>
        <v>Oct-2025</v>
      </c>
    </row>
    <row r="1755" spans="1:13" x14ac:dyDescent="0.35">
      <c r="A1755">
        <v>11754</v>
      </c>
      <c r="B1755">
        <v>42</v>
      </c>
      <c r="C1755" t="s">
        <v>9</v>
      </c>
      <c r="D1755" t="s">
        <v>11</v>
      </c>
      <c r="E1755" s="2">
        <v>45715</v>
      </c>
      <c r="F1755" s="2">
        <v>45965</v>
      </c>
      <c r="G1755">
        <v>1200</v>
      </c>
      <c r="H1755" t="s">
        <v>14</v>
      </c>
      <c r="I1755" t="s">
        <v>17</v>
      </c>
      <c r="J1755">
        <f t="shared" si="109"/>
        <v>1200</v>
      </c>
      <c r="K1755" t="str">
        <f t="shared" si="108"/>
        <v>35+</v>
      </c>
      <c r="L1755" t="str">
        <f t="shared" ca="1" si="110"/>
        <v>High Risk</v>
      </c>
      <c r="M1755" t="str">
        <f t="shared" si="111"/>
        <v>Feb-2025</v>
      </c>
    </row>
    <row r="1756" spans="1:13" x14ac:dyDescent="0.35">
      <c r="A1756">
        <v>11755</v>
      </c>
      <c r="B1756">
        <v>35</v>
      </c>
      <c r="C1756" t="s">
        <v>9</v>
      </c>
      <c r="D1756" t="s">
        <v>11</v>
      </c>
      <c r="E1756" s="2">
        <v>45577</v>
      </c>
      <c r="F1756" s="2">
        <v>46013</v>
      </c>
      <c r="G1756">
        <v>1200</v>
      </c>
      <c r="H1756" t="s">
        <v>14</v>
      </c>
      <c r="I1756" t="s">
        <v>16</v>
      </c>
      <c r="J1756">
        <f t="shared" si="109"/>
        <v>1200</v>
      </c>
      <c r="K1756" t="str">
        <f t="shared" si="108"/>
        <v>35+</v>
      </c>
      <c r="L1756" t="str">
        <f t="shared" ca="1" si="110"/>
        <v>Safe</v>
      </c>
      <c r="M1756" t="str">
        <f t="shared" si="111"/>
        <v>Oct-2024</v>
      </c>
    </row>
    <row r="1757" spans="1:13" x14ac:dyDescent="0.35">
      <c r="A1757">
        <v>11756</v>
      </c>
      <c r="B1757">
        <v>42</v>
      </c>
      <c r="C1757" t="s">
        <v>9</v>
      </c>
      <c r="D1757" t="s">
        <v>12</v>
      </c>
      <c r="E1757" s="2">
        <v>45385</v>
      </c>
      <c r="F1757" s="2">
        <v>46011</v>
      </c>
      <c r="G1757">
        <v>800</v>
      </c>
      <c r="H1757" t="s">
        <v>14</v>
      </c>
      <c r="I1757" t="s">
        <v>16</v>
      </c>
      <c r="J1757">
        <f t="shared" si="109"/>
        <v>9600</v>
      </c>
      <c r="K1757" t="str">
        <f t="shared" si="108"/>
        <v>35+</v>
      </c>
      <c r="L1757" t="str">
        <f t="shared" ca="1" si="110"/>
        <v>Safe</v>
      </c>
      <c r="M1757" t="str">
        <f t="shared" si="111"/>
        <v>Apr-2024</v>
      </c>
    </row>
    <row r="1758" spans="1:13" x14ac:dyDescent="0.35">
      <c r="A1758">
        <v>11757</v>
      </c>
      <c r="B1758">
        <v>29</v>
      </c>
      <c r="C1758" t="s">
        <v>9</v>
      </c>
      <c r="D1758" t="s">
        <v>11</v>
      </c>
      <c r="E1758" s="2">
        <v>45866</v>
      </c>
      <c r="F1758" s="2">
        <v>46018</v>
      </c>
      <c r="G1758">
        <v>1200</v>
      </c>
      <c r="H1758" t="s">
        <v>14</v>
      </c>
      <c r="I1758" t="s">
        <v>16</v>
      </c>
      <c r="J1758">
        <f t="shared" si="109"/>
        <v>1200</v>
      </c>
      <c r="K1758" t="str">
        <f t="shared" si="108"/>
        <v>25-34</v>
      </c>
      <c r="L1758" t="str">
        <f t="shared" ca="1" si="110"/>
        <v>Safe</v>
      </c>
      <c r="M1758" t="str">
        <f t="shared" si="111"/>
        <v>Jul-2025</v>
      </c>
    </row>
    <row r="1759" spans="1:13" x14ac:dyDescent="0.35">
      <c r="A1759">
        <v>11758</v>
      </c>
      <c r="B1759">
        <v>32</v>
      </c>
      <c r="C1759" t="s">
        <v>9</v>
      </c>
      <c r="D1759" t="s">
        <v>11</v>
      </c>
      <c r="E1759" s="2">
        <v>45714</v>
      </c>
      <c r="F1759" s="2">
        <v>45944</v>
      </c>
      <c r="G1759">
        <v>1200</v>
      </c>
      <c r="H1759" t="s">
        <v>14</v>
      </c>
      <c r="I1759" t="s">
        <v>17</v>
      </c>
      <c r="J1759">
        <f t="shared" si="109"/>
        <v>1200</v>
      </c>
      <c r="K1759" t="str">
        <f t="shared" si="108"/>
        <v>25-34</v>
      </c>
      <c r="L1759" t="str">
        <f t="shared" ca="1" si="110"/>
        <v>High Risk</v>
      </c>
      <c r="M1759" t="str">
        <f t="shared" si="111"/>
        <v>Feb-2025</v>
      </c>
    </row>
    <row r="1760" spans="1:13" x14ac:dyDescent="0.35">
      <c r="A1760">
        <v>11759</v>
      </c>
      <c r="B1760">
        <v>44</v>
      </c>
      <c r="C1760" t="s">
        <v>10</v>
      </c>
      <c r="D1760" t="s">
        <v>13</v>
      </c>
      <c r="E1760" s="2">
        <v>45831</v>
      </c>
      <c r="F1760" s="2">
        <v>45979</v>
      </c>
      <c r="G1760">
        <v>1000</v>
      </c>
      <c r="H1760" t="s">
        <v>14</v>
      </c>
      <c r="I1760" t="s">
        <v>17</v>
      </c>
      <c r="J1760">
        <f t="shared" si="109"/>
        <v>3000</v>
      </c>
      <c r="K1760" t="str">
        <f t="shared" si="108"/>
        <v>35+</v>
      </c>
      <c r="L1760" t="str">
        <f t="shared" ca="1" si="110"/>
        <v>High Risk</v>
      </c>
      <c r="M1760" t="str">
        <f t="shared" si="111"/>
        <v>Jun-2025</v>
      </c>
    </row>
    <row r="1761" spans="1:13" x14ac:dyDescent="0.35">
      <c r="A1761">
        <v>11760</v>
      </c>
      <c r="B1761">
        <v>43</v>
      </c>
      <c r="C1761" t="s">
        <v>9</v>
      </c>
      <c r="D1761" t="s">
        <v>13</v>
      </c>
      <c r="E1761" s="2">
        <v>45310</v>
      </c>
      <c r="F1761" s="2">
        <v>46026</v>
      </c>
      <c r="G1761">
        <v>1500</v>
      </c>
      <c r="H1761" t="s">
        <v>15</v>
      </c>
      <c r="I1761" t="s">
        <v>16</v>
      </c>
      <c r="J1761">
        <f t="shared" si="109"/>
        <v>4500</v>
      </c>
      <c r="K1761" t="str">
        <f t="shared" si="108"/>
        <v>35+</v>
      </c>
      <c r="L1761" t="str">
        <f t="shared" ca="1" si="110"/>
        <v>Safe</v>
      </c>
      <c r="M1761" t="str">
        <f t="shared" si="111"/>
        <v>Jan-2024</v>
      </c>
    </row>
    <row r="1762" spans="1:13" x14ac:dyDescent="0.35">
      <c r="A1762">
        <v>11761</v>
      </c>
      <c r="B1762">
        <v>26</v>
      </c>
      <c r="C1762" t="s">
        <v>9</v>
      </c>
      <c r="D1762" t="s">
        <v>13</v>
      </c>
      <c r="E1762" s="2">
        <v>45265</v>
      </c>
      <c r="F1762" s="2">
        <v>46030</v>
      </c>
      <c r="G1762">
        <v>1000</v>
      </c>
      <c r="H1762" t="s">
        <v>14</v>
      </c>
      <c r="I1762" t="s">
        <v>16</v>
      </c>
      <c r="J1762">
        <f t="shared" si="109"/>
        <v>3000</v>
      </c>
      <c r="K1762" t="str">
        <f t="shared" si="108"/>
        <v>25-34</v>
      </c>
      <c r="L1762" t="str">
        <f t="shared" ca="1" si="110"/>
        <v>Safe</v>
      </c>
      <c r="M1762" t="str">
        <f t="shared" si="111"/>
        <v>Dec-2023</v>
      </c>
    </row>
    <row r="1763" spans="1:13" x14ac:dyDescent="0.35">
      <c r="A1763">
        <v>11762</v>
      </c>
      <c r="B1763">
        <v>30</v>
      </c>
      <c r="C1763" t="s">
        <v>9</v>
      </c>
      <c r="D1763" t="s">
        <v>11</v>
      </c>
      <c r="E1763" s="2">
        <v>45955</v>
      </c>
      <c r="F1763" s="2">
        <v>45922</v>
      </c>
      <c r="G1763">
        <v>1200</v>
      </c>
      <c r="H1763" t="s">
        <v>14</v>
      </c>
      <c r="I1763" t="s">
        <v>17</v>
      </c>
      <c r="J1763">
        <f t="shared" si="109"/>
        <v>1200</v>
      </c>
      <c r="K1763" t="str">
        <f t="shared" si="108"/>
        <v>25-34</v>
      </c>
      <c r="L1763" t="str">
        <f t="shared" ca="1" si="110"/>
        <v>High Risk</v>
      </c>
      <c r="M1763" t="str">
        <f t="shared" si="111"/>
        <v>Oct-2025</v>
      </c>
    </row>
    <row r="1764" spans="1:13" x14ac:dyDescent="0.35">
      <c r="A1764">
        <v>11763</v>
      </c>
      <c r="B1764">
        <v>43</v>
      </c>
      <c r="C1764" t="s">
        <v>9</v>
      </c>
      <c r="D1764" t="s">
        <v>11</v>
      </c>
      <c r="E1764" s="2">
        <v>45346</v>
      </c>
      <c r="F1764" s="2">
        <v>46017</v>
      </c>
      <c r="G1764">
        <v>1200</v>
      </c>
      <c r="H1764" t="s">
        <v>14</v>
      </c>
      <c r="I1764" t="s">
        <v>16</v>
      </c>
      <c r="J1764">
        <f t="shared" si="109"/>
        <v>1200</v>
      </c>
      <c r="K1764" t="str">
        <f t="shared" si="108"/>
        <v>35+</v>
      </c>
      <c r="L1764" t="str">
        <f t="shared" ca="1" si="110"/>
        <v>Safe</v>
      </c>
      <c r="M1764" t="str">
        <f t="shared" si="111"/>
        <v>Feb-2024</v>
      </c>
    </row>
    <row r="1765" spans="1:13" x14ac:dyDescent="0.35">
      <c r="A1765">
        <v>11764</v>
      </c>
      <c r="B1765">
        <v>32</v>
      </c>
      <c r="C1765" t="s">
        <v>10</v>
      </c>
      <c r="D1765" t="s">
        <v>11</v>
      </c>
      <c r="E1765" s="2">
        <v>45769</v>
      </c>
      <c r="F1765" s="2">
        <v>46019</v>
      </c>
      <c r="G1765">
        <v>1700</v>
      </c>
      <c r="H1765" t="s">
        <v>15</v>
      </c>
      <c r="I1765" t="s">
        <v>16</v>
      </c>
      <c r="J1765">
        <f t="shared" si="109"/>
        <v>1700</v>
      </c>
      <c r="K1765" t="str">
        <f t="shared" si="108"/>
        <v>25-34</v>
      </c>
      <c r="L1765" t="str">
        <f t="shared" ca="1" si="110"/>
        <v>Safe</v>
      </c>
      <c r="M1765" t="str">
        <f t="shared" si="111"/>
        <v>Apr-2025</v>
      </c>
    </row>
    <row r="1766" spans="1:13" x14ac:dyDescent="0.35">
      <c r="A1766">
        <v>11765</v>
      </c>
      <c r="B1766">
        <v>27</v>
      </c>
      <c r="C1766" t="s">
        <v>9</v>
      </c>
      <c r="D1766" t="s">
        <v>11</v>
      </c>
      <c r="E1766" s="2">
        <v>45554</v>
      </c>
      <c r="F1766" s="2">
        <v>46013</v>
      </c>
      <c r="G1766">
        <v>1700</v>
      </c>
      <c r="H1766" t="s">
        <v>15</v>
      </c>
      <c r="I1766" t="s">
        <v>16</v>
      </c>
      <c r="J1766">
        <f t="shared" si="109"/>
        <v>1700</v>
      </c>
      <c r="K1766" t="str">
        <f t="shared" si="108"/>
        <v>25-34</v>
      </c>
      <c r="L1766" t="str">
        <f t="shared" ca="1" si="110"/>
        <v>Safe</v>
      </c>
      <c r="M1766" t="str">
        <f t="shared" si="111"/>
        <v>Sep-2024</v>
      </c>
    </row>
    <row r="1767" spans="1:13" x14ac:dyDescent="0.35">
      <c r="A1767">
        <v>11766</v>
      </c>
      <c r="B1767">
        <v>33</v>
      </c>
      <c r="C1767" t="s">
        <v>9</v>
      </c>
      <c r="D1767" t="s">
        <v>12</v>
      </c>
      <c r="E1767" s="2">
        <v>45460</v>
      </c>
      <c r="F1767" s="2">
        <v>45918</v>
      </c>
      <c r="G1767">
        <v>800</v>
      </c>
      <c r="H1767" t="s">
        <v>14</v>
      </c>
      <c r="I1767" t="s">
        <v>17</v>
      </c>
      <c r="J1767">
        <f t="shared" si="109"/>
        <v>9600</v>
      </c>
      <c r="K1767" t="str">
        <f t="shared" si="108"/>
        <v>25-34</v>
      </c>
      <c r="L1767" t="str">
        <f t="shared" ca="1" si="110"/>
        <v>High Risk</v>
      </c>
      <c r="M1767" t="str">
        <f t="shared" si="111"/>
        <v>Jun-2024</v>
      </c>
    </row>
    <row r="1768" spans="1:13" x14ac:dyDescent="0.35">
      <c r="A1768">
        <v>11767</v>
      </c>
      <c r="B1768">
        <v>24</v>
      </c>
      <c r="C1768" t="s">
        <v>9</v>
      </c>
      <c r="D1768" t="s">
        <v>13</v>
      </c>
      <c r="E1768" s="2">
        <v>45739</v>
      </c>
      <c r="F1768" s="2">
        <v>46016</v>
      </c>
      <c r="G1768">
        <v>1000</v>
      </c>
      <c r="H1768" t="s">
        <v>14</v>
      </c>
      <c r="I1768" t="s">
        <v>16</v>
      </c>
      <c r="J1768">
        <f t="shared" si="109"/>
        <v>3000</v>
      </c>
      <c r="K1768" t="str">
        <f t="shared" si="108"/>
        <v>18-24</v>
      </c>
      <c r="L1768" t="str">
        <f t="shared" ca="1" si="110"/>
        <v>Safe</v>
      </c>
      <c r="M1768" t="str">
        <f t="shared" si="111"/>
        <v>Mar-2025</v>
      </c>
    </row>
    <row r="1769" spans="1:13" x14ac:dyDescent="0.35">
      <c r="A1769">
        <v>11768</v>
      </c>
      <c r="B1769">
        <v>34</v>
      </c>
      <c r="C1769" t="s">
        <v>10</v>
      </c>
      <c r="D1769" t="s">
        <v>11</v>
      </c>
      <c r="E1769" s="2">
        <v>45187</v>
      </c>
      <c r="F1769" s="2">
        <v>46008</v>
      </c>
      <c r="G1769">
        <v>1200</v>
      </c>
      <c r="H1769" t="s">
        <v>14</v>
      </c>
      <c r="I1769" t="s">
        <v>16</v>
      </c>
      <c r="J1769">
        <f t="shared" si="109"/>
        <v>1200</v>
      </c>
      <c r="K1769" t="str">
        <f t="shared" si="108"/>
        <v>25-34</v>
      </c>
      <c r="L1769" t="str">
        <f t="shared" ca="1" si="110"/>
        <v>Safe</v>
      </c>
      <c r="M1769" t="str">
        <f t="shared" si="111"/>
        <v>Sep-2023</v>
      </c>
    </row>
    <row r="1770" spans="1:13" x14ac:dyDescent="0.35">
      <c r="A1770">
        <v>11769</v>
      </c>
      <c r="B1770">
        <v>40</v>
      </c>
      <c r="C1770" t="s">
        <v>9</v>
      </c>
      <c r="D1770" t="s">
        <v>13</v>
      </c>
      <c r="E1770" s="2">
        <v>45372</v>
      </c>
      <c r="F1770" s="2">
        <v>46023</v>
      </c>
      <c r="G1770">
        <v>1000</v>
      </c>
      <c r="H1770" t="s">
        <v>14</v>
      </c>
      <c r="I1770" t="s">
        <v>16</v>
      </c>
      <c r="J1770">
        <f t="shared" si="109"/>
        <v>3000</v>
      </c>
      <c r="K1770" t="str">
        <f t="shared" si="108"/>
        <v>35+</v>
      </c>
      <c r="L1770" t="str">
        <f t="shared" ca="1" si="110"/>
        <v>Safe</v>
      </c>
      <c r="M1770" t="str">
        <f t="shared" si="111"/>
        <v>Mar-2024</v>
      </c>
    </row>
    <row r="1771" spans="1:13" x14ac:dyDescent="0.35">
      <c r="A1771">
        <v>11770</v>
      </c>
      <c r="B1771">
        <v>43</v>
      </c>
      <c r="C1771" t="s">
        <v>9</v>
      </c>
      <c r="D1771" t="s">
        <v>11</v>
      </c>
      <c r="E1771" s="2">
        <v>45310</v>
      </c>
      <c r="F1771" s="2">
        <v>46028</v>
      </c>
      <c r="G1771">
        <v>1200</v>
      </c>
      <c r="H1771" t="s">
        <v>14</v>
      </c>
      <c r="I1771" t="s">
        <v>16</v>
      </c>
      <c r="J1771">
        <f t="shared" si="109"/>
        <v>1200</v>
      </c>
      <c r="K1771" t="str">
        <f t="shared" si="108"/>
        <v>35+</v>
      </c>
      <c r="L1771" t="str">
        <f t="shared" ca="1" si="110"/>
        <v>Safe</v>
      </c>
      <c r="M1771" t="str">
        <f t="shared" si="111"/>
        <v>Jan-2024</v>
      </c>
    </row>
    <row r="1772" spans="1:13" x14ac:dyDescent="0.35">
      <c r="A1772">
        <v>11771</v>
      </c>
      <c r="B1772">
        <v>38</v>
      </c>
      <c r="C1772" t="s">
        <v>10</v>
      </c>
      <c r="D1772" t="s">
        <v>12</v>
      </c>
      <c r="E1772" s="2">
        <v>45874</v>
      </c>
      <c r="F1772" s="2">
        <v>46009</v>
      </c>
      <c r="G1772">
        <v>800</v>
      </c>
      <c r="H1772" t="s">
        <v>14</v>
      </c>
      <c r="I1772" t="s">
        <v>16</v>
      </c>
      <c r="J1772">
        <f t="shared" si="109"/>
        <v>9600</v>
      </c>
      <c r="K1772" t="str">
        <f t="shared" si="108"/>
        <v>35+</v>
      </c>
      <c r="L1772" t="str">
        <f t="shared" ca="1" si="110"/>
        <v>Safe</v>
      </c>
      <c r="M1772" t="str">
        <f t="shared" si="111"/>
        <v>Aug-2025</v>
      </c>
    </row>
    <row r="1773" spans="1:13" x14ac:dyDescent="0.35">
      <c r="A1773">
        <v>11772</v>
      </c>
      <c r="B1773">
        <v>39</v>
      </c>
      <c r="C1773" t="s">
        <v>9</v>
      </c>
      <c r="D1773" t="s">
        <v>11</v>
      </c>
      <c r="E1773" s="2">
        <v>45557</v>
      </c>
      <c r="F1773" s="2">
        <v>46012</v>
      </c>
      <c r="G1773">
        <v>1700</v>
      </c>
      <c r="H1773" t="s">
        <v>15</v>
      </c>
      <c r="I1773" t="s">
        <v>16</v>
      </c>
      <c r="J1773">
        <f t="shared" si="109"/>
        <v>1700</v>
      </c>
      <c r="K1773" t="str">
        <f t="shared" si="108"/>
        <v>35+</v>
      </c>
      <c r="L1773" t="str">
        <f t="shared" ca="1" si="110"/>
        <v>Safe</v>
      </c>
      <c r="M1773" t="str">
        <f t="shared" si="111"/>
        <v>Sep-2024</v>
      </c>
    </row>
    <row r="1774" spans="1:13" x14ac:dyDescent="0.35">
      <c r="A1774">
        <v>11773</v>
      </c>
      <c r="B1774">
        <v>43</v>
      </c>
      <c r="C1774" t="s">
        <v>10</v>
      </c>
      <c r="D1774" t="s">
        <v>11</v>
      </c>
      <c r="E1774" s="2">
        <v>45332</v>
      </c>
      <c r="F1774" s="2">
        <v>46022</v>
      </c>
      <c r="G1774">
        <v>1200</v>
      </c>
      <c r="H1774" t="s">
        <v>14</v>
      </c>
      <c r="I1774" t="s">
        <v>16</v>
      </c>
      <c r="J1774">
        <f t="shared" si="109"/>
        <v>1200</v>
      </c>
      <c r="K1774" t="str">
        <f t="shared" si="108"/>
        <v>35+</v>
      </c>
      <c r="L1774" t="str">
        <f t="shared" ca="1" si="110"/>
        <v>Safe</v>
      </c>
      <c r="M1774" t="str">
        <f t="shared" si="111"/>
        <v>Feb-2024</v>
      </c>
    </row>
    <row r="1775" spans="1:13" x14ac:dyDescent="0.35">
      <c r="A1775">
        <v>11774</v>
      </c>
      <c r="B1775">
        <v>24</v>
      </c>
      <c r="C1775" t="s">
        <v>10</v>
      </c>
      <c r="D1775" t="s">
        <v>13</v>
      </c>
      <c r="E1775" s="2">
        <v>45945</v>
      </c>
      <c r="F1775" s="2">
        <v>46018</v>
      </c>
      <c r="G1775">
        <v>1000</v>
      </c>
      <c r="H1775" t="s">
        <v>14</v>
      </c>
      <c r="I1775" t="s">
        <v>16</v>
      </c>
      <c r="J1775">
        <f t="shared" si="109"/>
        <v>3000</v>
      </c>
      <c r="K1775" t="str">
        <f t="shared" si="108"/>
        <v>18-24</v>
      </c>
      <c r="L1775" t="str">
        <f t="shared" ca="1" si="110"/>
        <v>Safe</v>
      </c>
      <c r="M1775" t="str">
        <f t="shared" si="111"/>
        <v>Oct-2025</v>
      </c>
    </row>
    <row r="1776" spans="1:13" x14ac:dyDescent="0.35">
      <c r="A1776">
        <v>11775</v>
      </c>
      <c r="B1776">
        <v>31</v>
      </c>
      <c r="C1776" t="s">
        <v>9</v>
      </c>
      <c r="D1776" t="s">
        <v>13</v>
      </c>
      <c r="E1776" s="2">
        <v>45818</v>
      </c>
      <c r="F1776" s="2">
        <v>45993</v>
      </c>
      <c r="G1776">
        <v>1500</v>
      </c>
      <c r="H1776" t="s">
        <v>15</v>
      </c>
      <c r="I1776" t="s">
        <v>17</v>
      </c>
      <c r="J1776">
        <f t="shared" si="109"/>
        <v>4500</v>
      </c>
      <c r="K1776" t="str">
        <f t="shared" si="108"/>
        <v>25-34</v>
      </c>
      <c r="L1776" t="str">
        <f t="shared" ca="1" si="110"/>
        <v>High Risk</v>
      </c>
      <c r="M1776" t="str">
        <f t="shared" si="111"/>
        <v>Jun-2025</v>
      </c>
    </row>
    <row r="1777" spans="1:13" x14ac:dyDescent="0.35">
      <c r="A1777">
        <v>11776</v>
      </c>
      <c r="B1777">
        <v>32</v>
      </c>
      <c r="C1777" t="s">
        <v>9</v>
      </c>
      <c r="D1777" t="s">
        <v>13</v>
      </c>
      <c r="E1777" s="2">
        <v>45797</v>
      </c>
      <c r="F1777" s="2">
        <v>46012</v>
      </c>
      <c r="G1777">
        <v>1000</v>
      </c>
      <c r="H1777" t="s">
        <v>14</v>
      </c>
      <c r="I1777" t="s">
        <v>16</v>
      </c>
      <c r="J1777">
        <f t="shared" si="109"/>
        <v>3000</v>
      </c>
      <c r="K1777" t="str">
        <f t="shared" si="108"/>
        <v>25-34</v>
      </c>
      <c r="L1777" t="str">
        <f t="shared" ca="1" si="110"/>
        <v>Safe</v>
      </c>
      <c r="M1777" t="str">
        <f t="shared" si="111"/>
        <v>May-2025</v>
      </c>
    </row>
    <row r="1778" spans="1:13" x14ac:dyDescent="0.35">
      <c r="A1778">
        <v>11777</v>
      </c>
      <c r="B1778">
        <v>38</v>
      </c>
      <c r="C1778" t="s">
        <v>9</v>
      </c>
      <c r="D1778" t="s">
        <v>11</v>
      </c>
      <c r="E1778" s="2">
        <v>45600</v>
      </c>
      <c r="F1778" s="2">
        <v>46011</v>
      </c>
      <c r="G1778">
        <v>1200</v>
      </c>
      <c r="H1778" t="s">
        <v>14</v>
      </c>
      <c r="I1778" t="s">
        <v>16</v>
      </c>
      <c r="J1778">
        <f t="shared" si="109"/>
        <v>1200</v>
      </c>
      <c r="K1778" t="str">
        <f t="shared" si="108"/>
        <v>35+</v>
      </c>
      <c r="L1778" t="str">
        <f t="shared" ca="1" si="110"/>
        <v>Safe</v>
      </c>
      <c r="M1778" t="str">
        <f t="shared" si="111"/>
        <v>Nov-2024</v>
      </c>
    </row>
    <row r="1779" spans="1:13" x14ac:dyDescent="0.35">
      <c r="A1779">
        <v>11778</v>
      </c>
      <c r="B1779">
        <v>24</v>
      </c>
      <c r="C1779" t="s">
        <v>9</v>
      </c>
      <c r="D1779" t="s">
        <v>11</v>
      </c>
      <c r="E1779" s="2">
        <v>45148</v>
      </c>
      <c r="F1779" s="2">
        <v>46018</v>
      </c>
      <c r="G1779">
        <v>1200</v>
      </c>
      <c r="H1779" t="s">
        <v>14</v>
      </c>
      <c r="I1779" t="s">
        <v>16</v>
      </c>
      <c r="J1779">
        <f t="shared" si="109"/>
        <v>1200</v>
      </c>
      <c r="K1779" t="str">
        <f t="shared" si="108"/>
        <v>18-24</v>
      </c>
      <c r="L1779" t="str">
        <f t="shared" ca="1" si="110"/>
        <v>Safe</v>
      </c>
      <c r="M1779" t="str">
        <f t="shared" si="111"/>
        <v>Aug-2023</v>
      </c>
    </row>
    <row r="1780" spans="1:13" x14ac:dyDescent="0.35">
      <c r="A1780">
        <v>11779</v>
      </c>
      <c r="B1780">
        <v>26</v>
      </c>
      <c r="C1780" t="s">
        <v>10</v>
      </c>
      <c r="D1780" t="s">
        <v>13</v>
      </c>
      <c r="E1780" s="2">
        <v>45920</v>
      </c>
      <c r="F1780" s="2">
        <v>46008</v>
      </c>
      <c r="G1780">
        <v>1000</v>
      </c>
      <c r="H1780" t="s">
        <v>14</v>
      </c>
      <c r="I1780" t="s">
        <v>16</v>
      </c>
      <c r="J1780">
        <f t="shared" si="109"/>
        <v>3000</v>
      </c>
      <c r="K1780" t="str">
        <f t="shared" si="108"/>
        <v>25-34</v>
      </c>
      <c r="L1780" t="str">
        <f t="shared" ca="1" si="110"/>
        <v>Safe</v>
      </c>
      <c r="M1780" t="str">
        <f t="shared" si="111"/>
        <v>Sep-2025</v>
      </c>
    </row>
    <row r="1781" spans="1:13" x14ac:dyDescent="0.35">
      <c r="A1781">
        <v>11780</v>
      </c>
      <c r="B1781">
        <v>36</v>
      </c>
      <c r="C1781" t="s">
        <v>9</v>
      </c>
      <c r="D1781" t="s">
        <v>11</v>
      </c>
      <c r="E1781" s="2">
        <v>45315</v>
      </c>
      <c r="F1781" s="2">
        <v>46020</v>
      </c>
      <c r="G1781">
        <v>1200</v>
      </c>
      <c r="H1781" t="s">
        <v>14</v>
      </c>
      <c r="I1781" t="s">
        <v>16</v>
      </c>
      <c r="J1781">
        <f t="shared" si="109"/>
        <v>1200</v>
      </c>
      <c r="K1781" t="str">
        <f t="shared" si="108"/>
        <v>35+</v>
      </c>
      <c r="L1781" t="str">
        <f t="shared" ca="1" si="110"/>
        <v>Safe</v>
      </c>
      <c r="M1781" t="str">
        <f t="shared" si="111"/>
        <v>Jan-2024</v>
      </c>
    </row>
    <row r="1782" spans="1:13" x14ac:dyDescent="0.35">
      <c r="A1782">
        <v>11781</v>
      </c>
      <c r="B1782">
        <v>33</v>
      </c>
      <c r="C1782" t="s">
        <v>9</v>
      </c>
      <c r="D1782" t="s">
        <v>12</v>
      </c>
      <c r="E1782" s="2">
        <v>45362</v>
      </c>
      <c r="F1782" s="2">
        <v>46032</v>
      </c>
      <c r="G1782">
        <v>1300</v>
      </c>
      <c r="H1782" t="s">
        <v>15</v>
      </c>
      <c r="I1782" t="s">
        <v>16</v>
      </c>
      <c r="J1782">
        <f t="shared" si="109"/>
        <v>15600</v>
      </c>
      <c r="K1782" t="str">
        <f t="shared" si="108"/>
        <v>25-34</v>
      </c>
      <c r="L1782" t="str">
        <f t="shared" ca="1" si="110"/>
        <v>Safe</v>
      </c>
      <c r="M1782" t="str">
        <f t="shared" si="111"/>
        <v>Mar-2024</v>
      </c>
    </row>
    <row r="1783" spans="1:13" x14ac:dyDescent="0.35">
      <c r="A1783">
        <v>11782</v>
      </c>
      <c r="B1783">
        <v>25</v>
      </c>
      <c r="C1783" t="s">
        <v>10</v>
      </c>
      <c r="D1783" t="s">
        <v>11</v>
      </c>
      <c r="E1783" s="2">
        <v>45642</v>
      </c>
      <c r="F1783" s="2">
        <v>46014</v>
      </c>
      <c r="G1783">
        <v>1200</v>
      </c>
      <c r="H1783" t="s">
        <v>14</v>
      </c>
      <c r="I1783" t="s">
        <v>16</v>
      </c>
      <c r="J1783">
        <f t="shared" si="109"/>
        <v>1200</v>
      </c>
      <c r="K1783" t="str">
        <f t="shared" si="108"/>
        <v>25-34</v>
      </c>
      <c r="L1783" t="str">
        <f t="shared" ca="1" si="110"/>
        <v>Safe</v>
      </c>
      <c r="M1783" t="str">
        <f t="shared" si="111"/>
        <v>Dec-2024</v>
      </c>
    </row>
    <row r="1784" spans="1:13" x14ac:dyDescent="0.35">
      <c r="A1784">
        <v>11783</v>
      </c>
      <c r="B1784">
        <v>35</v>
      </c>
      <c r="C1784" t="s">
        <v>9</v>
      </c>
      <c r="D1784" t="s">
        <v>13</v>
      </c>
      <c r="E1784" s="2">
        <v>45633</v>
      </c>
      <c r="F1784" s="2">
        <v>45942</v>
      </c>
      <c r="G1784">
        <v>1000</v>
      </c>
      <c r="H1784" t="s">
        <v>14</v>
      </c>
      <c r="I1784" t="s">
        <v>17</v>
      </c>
      <c r="J1784">
        <f t="shared" si="109"/>
        <v>3000</v>
      </c>
      <c r="K1784" t="str">
        <f t="shared" si="108"/>
        <v>35+</v>
      </c>
      <c r="L1784" t="str">
        <f t="shared" ca="1" si="110"/>
        <v>High Risk</v>
      </c>
      <c r="M1784" t="str">
        <f t="shared" si="111"/>
        <v>Dec-2024</v>
      </c>
    </row>
    <row r="1785" spans="1:13" x14ac:dyDescent="0.35">
      <c r="A1785">
        <v>11784</v>
      </c>
      <c r="B1785">
        <v>44</v>
      </c>
      <c r="C1785" t="s">
        <v>9</v>
      </c>
      <c r="D1785" t="s">
        <v>13</v>
      </c>
      <c r="E1785" s="2">
        <v>45720</v>
      </c>
      <c r="F1785" s="2">
        <v>46020</v>
      </c>
      <c r="G1785">
        <v>1000</v>
      </c>
      <c r="H1785" t="s">
        <v>14</v>
      </c>
      <c r="I1785" t="s">
        <v>16</v>
      </c>
      <c r="J1785">
        <f t="shared" si="109"/>
        <v>3000</v>
      </c>
      <c r="K1785" t="str">
        <f t="shared" si="108"/>
        <v>35+</v>
      </c>
      <c r="L1785" t="str">
        <f t="shared" ca="1" si="110"/>
        <v>Safe</v>
      </c>
      <c r="M1785" t="str">
        <f t="shared" si="111"/>
        <v>Mar-2025</v>
      </c>
    </row>
    <row r="1786" spans="1:13" x14ac:dyDescent="0.35">
      <c r="A1786">
        <v>11785</v>
      </c>
      <c r="B1786">
        <v>40</v>
      </c>
      <c r="C1786" t="s">
        <v>9</v>
      </c>
      <c r="D1786" t="s">
        <v>11</v>
      </c>
      <c r="E1786" s="2">
        <v>45721</v>
      </c>
      <c r="F1786" s="2">
        <v>46011</v>
      </c>
      <c r="G1786">
        <v>1200</v>
      </c>
      <c r="H1786" t="s">
        <v>14</v>
      </c>
      <c r="I1786" t="s">
        <v>16</v>
      </c>
      <c r="J1786">
        <f t="shared" si="109"/>
        <v>1200</v>
      </c>
      <c r="K1786" t="str">
        <f t="shared" si="108"/>
        <v>35+</v>
      </c>
      <c r="L1786" t="str">
        <f t="shared" ca="1" si="110"/>
        <v>Safe</v>
      </c>
      <c r="M1786" t="str">
        <f t="shared" si="111"/>
        <v>Mar-2025</v>
      </c>
    </row>
    <row r="1787" spans="1:13" x14ac:dyDescent="0.35">
      <c r="A1787">
        <v>11786</v>
      </c>
      <c r="B1787">
        <v>35</v>
      </c>
      <c r="C1787" t="s">
        <v>9</v>
      </c>
      <c r="D1787" t="s">
        <v>13</v>
      </c>
      <c r="E1787" s="2">
        <v>45972</v>
      </c>
      <c r="F1787" s="2">
        <v>46008</v>
      </c>
      <c r="G1787">
        <v>1500</v>
      </c>
      <c r="H1787" t="s">
        <v>15</v>
      </c>
      <c r="I1787" t="s">
        <v>16</v>
      </c>
      <c r="J1787">
        <f t="shared" si="109"/>
        <v>4500</v>
      </c>
      <c r="K1787" t="str">
        <f t="shared" si="108"/>
        <v>35+</v>
      </c>
      <c r="L1787" t="str">
        <f t="shared" ca="1" si="110"/>
        <v>Safe</v>
      </c>
      <c r="M1787" t="str">
        <f t="shared" si="111"/>
        <v>Nov-2025</v>
      </c>
    </row>
    <row r="1788" spans="1:13" x14ac:dyDescent="0.35">
      <c r="A1788">
        <v>11787</v>
      </c>
      <c r="B1788">
        <v>37</v>
      </c>
      <c r="C1788" t="s">
        <v>10</v>
      </c>
      <c r="D1788" t="s">
        <v>12</v>
      </c>
      <c r="E1788" s="2">
        <v>45234</v>
      </c>
      <c r="F1788" s="2">
        <v>45921</v>
      </c>
      <c r="G1788">
        <v>1300</v>
      </c>
      <c r="H1788" t="s">
        <v>15</v>
      </c>
      <c r="I1788" t="s">
        <v>17</v>
      </c>
      <c r="J1788">
        <f t="shared" si="109"/>
        <v>15600</v>
      </c>
      <c r="K1788" t="str">
        <f t="shared" si="108"/>
        <v>35+</v>
      </c>
      <c r="L1788" t="str">
        <f t="shared" ca="1" si="110"/>
        <v>High Risk</v>
      </c>
      <c r="M1788" t="str">
        <f t="shared" si="111"/>
        <v>Nov-2023</v>
      </c>
    </row>
    <row r="1789" spans="1:13" x14ac:dyDescent="0.35">
      <c r="A1789">
        <v>11788</v>
      </c>
      <c r="B1789">
        <v>24</v>
      </c>
      <c r="C1789" t="s">
        <v>9</v>
      </c>
      <c r="D1789" t="s">
        <v>11</v>
      </c>
      <c r="E1789" s="2">
        <v>45784</v>
      </c>
      <c r="F1789" s="2">
        <v>46013</v>
      </c>
      <c r="G1789">
        <v>1200</v>
      </c>
      <c r="H1789" t="s">
        <v>14</v>
      </c>
      <c r="I1789" t="s">
        <v>16</v>
      </c>
      <c r="J1789">
        <f t="shared" si="109"/>
        <v>1200</v>
      </c>
      <c r="K1789" t="str">
        <f t="shared" si="108"/>
        <v>18-24</v>
      </c>
      <c r="L1789" t="str">
        <f t="shared" ca="1" si="110"/>
        <v>Safe</v>
      </c>
      <c r="M1789" t="str">
        <f t="shared" si="111"/>
        <v>May-2025</v>
      </c>
    </row>
    <row r="1790" spans="1:13" x14ac:dyDescent="0.35">
      <c r="A1790">
        <v>11789</v>
      </c>
      <c r="B1790">
        <v>20</v>
      </c>
      <c r="C1790" t="s">
        <v>9</v>
      </c>
      <c r="D1790" t="s">
        <v>12</v>
      </c>
      <c r="E1790" s="2">
        <v>45578</v>
      </c>
      <c r="F1790" s="2">
        <v>45941</v>
      </c>
      <c r="G1790">
        <v>1300</v>
      </c>
      <c r="H1790" t="s">
        <v>15</v>
      </c>
      <c r="I1790" t="s">
        <v>17</v>
      </c>
      <c r="J1790">
        <f t="shared" si="109"/>
        <v>15600</v>
      </c>
      <c r="K1790" t="str">
        <f t="shared" si="108"/>
        <v>18-24</v>
      </c>
      <c r="L1790" t="str">
        <f t="shared" ca="1" si="110"/>
        <v>High Risk</v>
      </c>
      <c r="M1790" t="str">
        <f t="shared" si="111"/>
        <v>Oct-2024</v>
      </c>
    </row>
    <row r="1791" spans="1:13" x14ac:dyDescent="0.35">
      <c r="A1791">
        <v>11790</v>
      </c>
      <c r="B1791">
        <v>35</v>
      </c>
      <c r="C1791" t="s">
        <v>9</v>
      </c>
      <c r="D1791" t="s">
        <v>13</v>
      </c>
      <c r="E1791" s="2">
        <v>45585</v>
      </c>
      <c r="F1791" s="2">
        <v>45952</v>
      </c>
      <c r="G1791">
        <v>1000</v>
      </c>
      <c r="H1791" t="s">
        <v>14</v>
      </c>
      <c r="I1791" t="s">
        <v>17</v>
      </c>
      <c r="J1791">
        <f t="shared" si="109"/>
        <v>3000</v>
      </c>
      <c r="K1791" t="str">
        <f t="shared" si="108"/>
        <v>35+</v>
      </c>
      <c r="L1791" t="str">
        <f t="shared" ca="1" si="110"/>
        <v>High Risk</v>
      </c>
      <c r="M1791" t="str">
        <f t="shared" si="111"/>
        <v>Oct-2024</v>
      </c>
    </row>
    <row r="1792" spans="1:13" x14ac:dyDescent="0.35">
      <c r="A1792">
        <v>11791</v>
      </c>
      <c r="B1792">
        <v>44</v>
      </c>
      <c r="C1792" t="s">
        <v>9</v>
      </c>
      <c r="D1792" t="s">
        <v>11</v>
      </c>
      <c r="E1792" s="2">
        <v>45377</v>
      </c>
      <c r="F1792" s="2">
        <v>46016</v>
      </c>
      <c r="G1792">
        <v>1200</v>
      </c>
      <c r="H1792" t="s">
        <v>14</v>
      </c>
      <c r="I1792" t="s">
        <v>16</v>
      </c>
      <c r="J1792">
        <f t="shared" si="109"/>
        <v>1200</v>
      </c>
      <c r="K1792" t="str">
        <f t="shared" si="108"/>
        <v>35+</v>
      </c>
      <c r="L1792" t="str">
        <f t="shared" ca="1" si="110"/>
        <v>Safe</v>
      </c>
      <c r="M1792" t="str">
        <f t="shared" si="111"/>
        <v>Mar-2024</v>
      </c>
    </row>
    <row r="1793" spans="1:13" x14ac:dyDescent="0.35">
      <c r="A1793">
        <v>11792</v>
      </c>
      <c r="B1793">
        <v>27</v>
      </c>
      <c r="C1793" t="s">
        <v>9</v>
      </c>
      <c r="D1793" t="s">
        <v>11</v>
      </c>
      <c r="E1793" s="2">
        <v>45296</v>
      </c>
      <c r="F1793" s="2">
        <v>46022</v>
      </c>
      <c r="G1793">
        <v>1200</v>
      </c>
      <c r="H1793" t="s">
        <v>14</v>
      </c>
      <c r="I1793" t="s">
        <v>16</v>
      </c>
      <c r="J1793">
        <f t="shared" si="109"/>
        <v>1200</v>
      </c>
      <c r="K1793" t="str">
        <f t="shared" si="108"/>
        <v>25-34</v>
      </c>
      <c r="L1793" t="str">
        <f t="shared" ca="1" si="110"/>
        <v>Safe</v>
      </c>
      <c r="M1793" t="str">
        <f t="shared" si="111"/>
        <v>Jan-2024</v>
      </c>
    </row>
    <row r="1794" spans="1:13" x14ac:dyDescent="0.35">
      <c r="A1794">
        <v>11793</v>
      </c>
      <c r="B1794">
        <v>24</v>
      </c>
      <c r="C1794" t="s">
        <v>9</v>
      </c>
      <c r="D1794" t="s">
        <v>11</v>
      </c>
      <c r="E1794" s="2">
        <v>45338</v>
      </c>
      <c r="F1794" s="2">
        <v>45984</v>
      </c>
      <c r="G1794">
        <v>1700</v>
      </c>
      <c r="H1794" t="s">
        <v>15</v>
      </c>
      <c r="I1794" t="s">
        <v>17</v>
      </c>
      <c r="J1794">
        <f t="shared" si="109"/>
        <v>1700</v>
      </c>
      <c r="K1794" t="str">
        <f t="shared" ref="K1794:K1857" si="112">IF(B1794&lt;25,"18-24",IF(B1794&lt;35,"25-34","35+"))</f>
        <v>18-24</v>
      </c>
      <c r="L1794" t="str">
        <f t="shared" ca="1" si="110"/>
        <v>High Risk</v>
      </c>
      <c r="M1794" t="str">
        <f t="shared" si="111"/>
        <v>Feb-2024</v>
      </c>
    </row>
    <row r="1795" spans="1:13" x14ac:dyDescent="0.35">
      <c r="A1795">
        <v>11794</v>
      </c>
      <c r="B1795">
        <v>34</v>
      </c>
      <c r="C1795" t="s">
        <v>9</v>
      </c>
      <c r="D1795" t="s">
        <v>13</v>
      </c>
      <c r="E1795" s="2">
        <v>45734</v>
      </c>
      <c r="F1795" s="2">
        <v>45927</v>
      </c>
      <c r="G1795">
        <v>1000</v>
      </c>
      <c r="H1795" t="s">
        <v>14</v>
      </c>
      <c r="I1795" t="s">
        <v>17</v>
      </c>
      <c r="J1795">
        <f t="shared" ref="J1795:J1858" si="113">IF(D1795="Monthly",G1795,IF(D1795="Quarterly",G1795*3,G1795*12))</f>
        <v>3000</v>
      </c>
      <c r="K1795" t="str">
        <f t="shared" si="112"/>
        <v>25-34</v>
      </c>
      <c r="L1795" t="str">
        <f t="shared" ref="L1795:L1858" ca="1" si="114">IF(F1795&lt;TODAY()-30,"High Risk","Safe")</f>
        <v>High Risk</v>
      </c>
      <c r="M1795" t="str">
        <f t="shared" ref="M1795:M1858" si="115">TEXT(E1795,"mmm-yyyy")</f>
        <v>Mar-2025</v>
      </c>
    </row>
    <row r="1796" spans="1:13" x14ac:dyDescent="0.35">
      <c r="A1796">
        <v>11795</v>
      </c>
      <c r="B1796">
        <v>31</v>
      </c>
      <c r="C1796" t="s">
        <v>10</v>
      </c>
      <c r="D1796" t="s">
        <v>12</v>
      </c>
      <c r="E1796" s="2">
        <v>45485</v>
      </c>
      <c r="F1796" s="2">
        <v>46022</v>
      </c>
      <c r="G1796">
        <v>800</v>
      </c>
      <c r="H1796" t="s">
        <v>14</v>
      </c>
      <c r="I1796" t="s">
        <v>16</v>
      </c>
      <c r="J1796">
        <f t="shared" si="113"/>
        <v>9600</v>
      </c>
      <c r="K1796" t="str">
        <f t="shared" si="112"/>
        <v>25-34</v>
      </c>
      <c r="L1796" t="str">
        <f t="shared" ca="1" si="114"/>
        <v>Safe</v>
      </c>
      <c r="M1796" t="str">
        <f t="shared" si="115"/>
        <v>Jul-2024</v>
      </c>
    </row>
    <row r="1797" spans="1:13" x14ac:dyDescent="0.35">
      <c r="A1797">
        <v>11796</v>
      </c>
      <c r="B1797">
        <v>41</v>
      </c>
      <c r="C1797" t="s">
        <v>9</v>
      </c>
      <c r="D1797" t="s">
        <v>12</v>
      </c>
      <c r="E1797" s="2">
        <v>45255</v>
      </c>
      <c r="F1797" s="2">
        <v>46027</v>
      </c>
      <c r="G1797">
        <v>1300</v>
      </c>
      <c r="H1797" t="s">
        <v>15</v>
      </c>
      <c r="I1797" t="s">
        <v>16</v>
      </c>
      <c r="J1797">
        <f t="shared" si="113"/>
        <v>15600</v>
      </c>
      <c r="K1797" t="str">
        <f t="shared" si="112"/>
        <v>35+</v>
      </c>
      <c r="L1797" t="str">
        <f t="shared" ca="1" si="114"/>
        <v>Safe</v>
      </c>
      <c r="M1797" t="str">
        <f t="shared" si="115"/>
        <v>Nov-2023</v>
      </c>
    </row>
    <row r="1798" spans="1:13" x14ac:dyDescent="0.35">
      <c r="A1798">
        <v>11797</v>
      </c>
      <c r="B1798">
        <v>20</v>
      </c>
      <c r="C1798" t="s">
        <v>9</v>
      </c>
      <c r="D1798" t="s">
        <v>12</v>
      </c>
      <c r="E1798" s="2">
        <v>45992</v>
      </c>
      <c r="F1798" s="2">
        <v>46024</v>
      </c>
      <c r="G1798">
        <v>1300</v>
      </c>
      <c r="H1798" t="s">
        <v>15</v>
      </c>
      <c r="I1798" t="s">
        <v>16</v>
      </c>
      <c r="J1798">
        <f t="shared" si="113"/>
        <v>15600</v>
      </c>
      <c r="K1798" t="str">
        <f t="shared" si="112"/>
        <v>18-24</v>
      </c>
      <c r="L1798" t="str">
        <f t="shared" ca="1" si="114"/>
        <v>Safe</v>
      </c>
      <c r="M1798" t="str">
        <f t="shared" si="115"/>
        <v>Dec-2025</v>
      </c>
    </row>
    <row r="1799" spans="1:13" x14ac:dyDescent="0.35">
      <c r="A1799">
        <v>11798</v>
      </c>
      <c r="B1799">
        <v>29</v>
      </c>
      <c r="C1799" t="s">
        <v>9</v>
      </c>
      <c r="D1799" t="s">
        <v>12</v>
      </c>
      <c r="E1799" s="2">
        <v>45897</v>
      </c>
      <c r="F1799" s="2">
        <v>46030</v>
      </c>
      <c r="G1799">
        <v>1300</v>
      </c>
      <c r="H1799" t="s">
        <v>15</v>
      </c>
      <c r="I1799" t="s">
        <v>16</v>
      </c>
      <c r="J1799">
        <f t="shared" si="113"/>
        <v>15600</v>
      </c>
      <c r="K1799" t="str">
        <f t="shared" si="112"/>
        <v>25-34</v>
      </c>
      <c r="L1799" t="str">
        <f t="shared" ca="1" si="114"/>
        <v>Safe</v>
      </c>
      <c r="M1799" t="str">
        <f t="shared" si="115"/>
        <v>Aug-2025</v>
      </c>
    </row>
    <row r="1800" spans="1:13" x14ac:dyDescent="0.35">
      <c r="A1800">
        <v>11799</v>
      </c>
      <c r="B1800">
        <v>45</v>
      </c>
      <c r="C1800" t="s">
        <v>10</v>
      </c>
      <c r="D1800" t="s">
        <v>13</v>
      </c>
      <c r="E1800" s="2">
        <v>45855</v>
      </c>
      <c r="F1800" s="2">
        <v>46008</v>
      </c>
      <c r="G1800">
        <v>1000</v>
      </c>
      <c r="H1800" t="s">
        <v>14</v>
      </c>
      <c r="I1800" t="s">
        <v>16</v>
      </c>
      <c r="J1800">
        <f t="shared" si="113"/>
        <v>3000</v>
      </c>
      <c r="K1800" t="str">
        <f t="shared" si="112"/>
        <v>35+</v>
      </c>
      <c r="L1800" t="str">
        <f t="shared" ca="1" si="114"/>
        <v>Safe</v>
      </c>
      <c r="M1800" t="str">
        <f t="shared" si="115"/>
        <v>Jul-2025</v>
      </c>
    </row>
    <row r="1801" spans="1:13" x14ac:dyDescent="0.35">
      <c r="A1801">
        <v>11800</v>
      </c>
      <c r="B1801">
        <v>30</v>
      </c>
      <c r="C1801" t="s">
        <v>10</v>
      </c>
      <c r="D1801" t="s">
        <v>11</v>
      </c>
      <c r="E1801" s="2">
        <v>45746</v>
      </c>
      <c r="F1801" s="2">
        <v>45990</v>
      </c>
      <c r="G1801">
        <v>1700</v>
      </c>
      <c r="H1801" t="s">
        <v>15</v>
      </c>
      <c r="I1801" t="s">
        <v>17</v>
      </c>
      <c r="J1801">
        <f t="shared" si="113"/>
        <v>1700</v>
      </c>
      <c r="K1801" t="str">
        <f t="shared" si="112"/>
        <v>25-34</v>
      </c>
      <c r="L1801" t="str">
        <f t="shared" ca="1" si="114"/>
        <v>High Risk</v>
      </c>
      <c r="M1801" t="str">
        <f t="shared" si="115"/>
        <v>Mar-2025</v>
      </c>
    </row>
    <row r="1802" spans="1:13" x14ac:dyDescent="0.35">
      <c r="A1802">
        <v>11801</v>
      </c>
      <c r="B1802">
        <v>19</v>
      </c>
      <c r="C1802" t="s">
        <v>9</v>
      </c>
      <c r="D1802" t="s">
        <v>13</v>
      </c>
      <c r="E1802" s="2">
        <v>45478</v>
      </c>
      <c r="F1802" s="2">
        <v>45993</v>
      </c>
      <c r="G1802">
        <v>1000</v>
      </c>
      <c r="H1802" t="s">
        <v>14</v>
      </c>
      <c r="I1802" t="s">
        <v>17</v>
      </c>
      <c r="J1802">
        <f t="shared" si="113"/>
        <v>3000</v>
      </c>
      <c r="K1802" t="str">
        <f t="shared" si="112"/>
        <v>18-24</v>
      </c>
      <c r="L1802" t="str">
        <f t="shared" ca="1" si="114"/>
        <v>High Risk</v>
      </c>
      <c r="M1802" t="str">
        <f t="shared" si="115"/>
        <v>Jul-2024</v>
      </c>
    </row>
    <row r="1803" spans="1:13" x14ac:dyDescent="0.35">
      <c r="A1803">
        <v>11802</v>
      </c>
      <c r="B1803">
        <v>20</v>
      </c>
      <c r="C1803" t="s">
        <v>10</v>
      </c>
      <c r="D1803" t="s">
        <v>11</v>
      </c>
      <c r="E1803" s="2">
        <v>45665</v>
      </c>
      <c r="F1803" s="2">
        <v>46022</v>
      </c>
      <c r="G1803">
        <v>1200</v>
      </c>
      <c r="H1803" t="s">
        <v>14</v>
      </c>
      <c r="I1803" t="s">
        <v>16</v>
      </c>
      <c r="J1803">
        <f t="shared" si="113"/>
        <v>1200</v>
      </c>
      <c r="K1803" t="str">
        <f t="shared" si="112"/>
        <v>18-24</v>
      </c>
      <c r="L1803" t="str">
        <f t="shared" ca="1" si="114"/>
        <v>Safe</v>
      </c>
      <c r="M1803" t="str">
        <f t="shared" si="115"/>
        <v>Jan-2025</v>
      </c>
    </row>
    <row r="1804" spans="1:13" x14ac:dyDescent="0.35">
      <c r="A1804">
        <v>11803</v>
      </c>
      <c r="B1804">
        <v>22</v>
      </c>
      <c r="C1804" t="s">
        <v>9</v>
      </c>
      <c r="D1804" t="s">
        <v>13</v>
      </c>
      <c r="E1804" s="2">
        <v>45161</v>
      </c>
      <c r="F1804" s="2">
        <v>46015</v>
      </c>
      <c r="G1804">
        <v>1000</v>
      </c>
      <c r="H1804" t="s">
        <v>14</v>
      </c>
      <c r="I1804" t="s">
        <v>16</v>
      </c>
      <c r="J1804">
        <f t="shared" si="113"/>
        <v>3000</v>
      </c>
      <c r="K1804" t="str">
        <f t="shared" si="112"/>
        <v>18-24</v>
      </c>
      <c r="L1804" t="str">
        <f t="shared" ca="1" si="114"/>
        <v>Safe</v>
      </c>
      <c r="M1804" t="str">
        <f t="shared" si="115"/>
        <v>Aug-2023</v>
      </c>
    </row>
    <row r="1805" spans="1:13" x14ac:dyDescent="0.35">
      <c r="A1805">
        <v>11804</v>
      </c>
      <c r="B1805">
        <v>28</v>
      </c>
      <c r="C1805" t="s">
        <v>9</v>
      </c>
      <c r="D1805" t="s">
        <v>11</v>
      </c>
      <c r="E1805" s="2">
        <v>45594</v>
      </c>
      <c r="F1805" s="2">
        <v>46018</v>
      </c>
      <c r="G1805">
        <v>1700</v>
      </c>
      <c r="H1805" t="s">
        <v>15</v>
      </c>
      <c r="I1805" t="s">
        <v>16</v>
      </c>
      <c r="J1805">
        <f t="shared" si="113"/>
        <v>1700</v>
      </c>
      <c r="K1805" t="str">
        <f t="shared" si="112"/>
        <v>25-34</v>
      </c>
      <c r="L1805" t="str">
        <f t="shared" ca="1" si="114"/>
        <v>Safe</v>
      </c>
      <c r="M1805" t="str">
        <f t="shared" si="115"/>
        <v>Oct-2024</v>
      </c>
    </row>
    <row r="1806" spans="1:13" x14ac:dyDescent="0.35">
      <c r="A1806">
        <v>11805</v>
      </c>
      <c r="B1806">
        <v>25</v>
      </c>
      <c r="C1806" t="s">
        <v>9</v>
      </c>
      <c r="D1806" t="s">
        <v>11</v>
      </c>
      <c r="E1806" s="2">
        <v>45862</v>
      </c>
      <c r="F1806" s="2">
        <v>46022</v>
      </c>
      <c r="G1806">
        <v>1200</v>
      </c>
      <c r="H1806" t="s">
        <v>14</v>
      </c>
      <c r="I1806" t="s">
        <v>16</v>
      </c>
      <c r="J1806">
        <f t="shared" si="113"/>
        <v>1200</v>
      </c>
      <c r="K1806" t="str">
        <f t="shared" si="112"/>
        <v>25-34</v>
      </c>
      <c r="L1806" t="str">
        <f t="shared" ca="1" si="114"/>
        <v>Safe</v>
      </c>
      <c r="M1806" t="str">
        <f t="shared" si="115"/>
        <v>Jul-2025</v>
      </c>
    </row>
    <row r="1807" spans="1:13" x14ac:dyDescent="0.35">
      <c r="A1807">
        <v>11806</v>
      </c>
      <c r="B1807">
        <v>43</v>
      </c>
      <c r="C1807" t="s">
        <v>9</v>
      </c>
      <c r="D1807" t="s">
        <v>11</v>
      </c>
      <c r="E1807" s="2">
        <v>45613</v>
      </c>
      <c r="F1807" s="2">
        <v>46029</v>
      </c>
      <c r="G1807">
        <v>1700</v>
      </c>
      <c r="H1807" t="s">
        <v>15</v>
      </c>
      <c r="I1807" t="s">
        <v>16</v>
      </c>
      <c r="J1807">
        <f t="shared" si="113"/>
        <v>1700</v>
      </c>
      <c r="K1807" t="str">
        <f t="shared" si="112"/>
        <v>35+</v>
      </c>
      <c r="L1807" t="str">
        <f t="shared" ca="1" si="114"/>
        <v>Safe</v>
      </c>
      <c r="M1807" t="str">
        <f t="shared" si="115"/>
        <v>Nov-2024</v>
      </c>
    </row>
    <row r="1808" spans="1:13" x14ac:dyDescent="0.35">
      <c r="A1808">
        <v>11807</v>
      </c>
      <c r="B1808">
        <v>40</v>
      </c>
      <c r="C1808" t="s">
        <v>10</v>
      </c>
      <c r="D1808" t="s">
        <v>11</v>
      </c>
      <c r="E1808" s="2">
        <v>45255</v>
      </c>
      <c r="F1808" s="2">
        <v>46031</v>
      </c>
      <c r="G1808">
        <v>1200</v>
      </c>
      <c r="H1808" t="s">
        <v>14</v>
      </c>
      <c r="I1808" t="s">
        <v>16</v>
      </c>
      <c r="J1808">
        <f t="shared" si="113"/>
        <v>1200</v>
      </c>
      <c r="K1808" t="str">
        <f t="shared" si="112"/>
        <v>35+</v>
      </c>
      <c r="L1808" t="str">
        <f t="shared" ca="1" si="114"/>
        <v>Safe</v>
      </c>
      <c r="M1808" t="str">
        <f t="shared" si="115"/>
        <v>Nov-2023</v>
      </c>
    </row>
    <row r="1809" spans="1:13" x14ac:dyDescent="0.35">
      <c r="A1809">
        <v>11808</v>
      </c>
      <c r="B1809">
        <v>40</v>
      </c>
      <c r="C1809" t="s">
        <v>9</v>
      </c>
      <c r="D1809" t="s">
        <v>13</v>
      </c>
      <c r="E1809" s="2">
        <v>45370</v>
      </c>
      <c r="F1809" s="2">
        <v>46012</v>
      </c>
      <c r="G1809">
        <v>1000</v>
      </c>
      <c r="H1809" t="s">
        <v>14</v>
      </c>
      <c r="I1809" t="s">
        <v>16</v>
      </c>
      <c r="J1809">
        <f t="shared" si="113"/>
        <v>3000</v>
      </c>
      <c r="K1809" t="str">
        <f t="shared" si="112"/>
        <v>35+</v>
      </c>
      <c r="L1809" t="str">
        <f t="shared" ca="1" si="114"/>
        <v>Safe</v>
      </c>
      <c r="M1809" t="str">
        <f t="shared" si="115"/>
        <v>Mar-2024</v>
      </c>
    </row>
    <row r="1810" spans="1:13" x14ac:dyDescent="0.35">
      <c r="A1810">
        <v>11809</v>
      </c>
      <c r="B1810">
        <v>29</v>
      </c>
      <c r="C1810" t="s">
        <v>9</v>
      </c>
      <c r="D1810" t="s">
        <v>13</v>
      </c>
      <c r="E1810" s="2">
        <v>45166</v>
      </c>
      <c r="F1810" s="2">
        <v>46016</v>
      </c>
      <c r="G1810">
        <v>1000</v>
      </c>
      <c r="H1810" t="s">
        <v>14</v>
      </c>
      <c r="I1810" t="s">
        <v>16</v>
      </c>
      <c r="J1810">
        <f t="shared" si="113"/>
        <v>3000</v>
      </c>
      <c r="K1810" t="str">
        <f t="shared" si="112"/>
        <v>25-34</v>
      </c>
      <c r="L1810" t="str">
        <f t="shared" ca="1" si="114"/>
        <v>Safe</v>
      </c>
      <c r="M1810" t="str">
        <f t="shared" si="115"/>
        <v>Aug-2023</v>
      </c>
    </row>
    <row r="1811" spans="1:13" x14ac:dyDescent="0.35">
      <c r="A1811">
        <v>11810</v>
      </c>
      <c r="B1811">
        <v>24</v>
      </c>
      <c r="C1811" t="s">
        <v>10</v>
      </c>
      <c r="D1811" t="s">
        <v>13</v>
      </c>
      <c r="E1811" s="2">
        <v>45352</v>
      </c>
      <c r="F1811" s="2">
        <v>46017</v>
      </c>
      <c r="G1811">
        <v>1000</v>
      </c>
      <c r="H1811" t="s">
        <v>14</v>
      </c>
      <c r="I1811" t="s">
        <v>16</v>
      </c>
      <c r="J1811">
        <f t="shared" si="113"/>
        <v>3000</v>
      </c>
      <c r="K1811" t="str">
        <f t="shared" si="112"/>
        <v>18-24</v>
      </c>
      <c r="L1811" t="str">
        <f t="shared" ca="1" si="114"/>
        <v>Safe</v>
      </c>
      <c r="M1811" t="str">
        <f t="shared" si="115"/>
        <v>Mar-2024</v>
      </c>
    </row>
    <row r="1812" spans="1:13" x14ac:dyDescent="0.35">
      <c r="A1812">
        <v>11811</v>
      </c>
      <c r="B1812">
        <v>32</v>
      </c>
      <c r="C1812" t="s">
        <v>9</v>
      </c>
      <c r="D1812" t="s">
        <v>13</v>
      </c>
      <c r="E1812" s="2">
        <v>45203</v>
      </c>
      <c r="F1812" s="2">
        <v>46027</v>
      </c>
      <c r="G1812">
        <v>1500</v>
      </c>
      <c r="H1812" t="s">
        <v>15</v>
      </c>
      <c r="I1812" t="s">
        <v>16</v>
      </c>
      <c r="J1812">
        <f t="shared" si="113"/>
        <v>4500</v>
      </c>
      <c r="K1812" t="str">
        <f t="shared" si="112"/>
        <v>25-34</v>
      </c>
      <c r="L1812" t="str">
        <f t="shared" ca="1" si="114"/>
        <v>Safe</v>
      </c>
      <c r="M1812" t="str">
        <f t="shared" si="115"/>
        <v>Oct-2023</v>
      </c>
    </row>
    <row r="1813" spans="1:13" x14ac:dyDescent="0.35">
      <c r="A1813">
        <v>11812</v>
      </c>
      <c r="B1813">
        <v>41</v>
      </c>
      <c r="C1813" t="s">
        <v>9</v>
      </c>
      <c r="D1813" t="s">
        <v>13</v>
      </c>
      <c r="E1813" s="2">
        <v>45249</v>
      </c>
      <c r="F1813" s="2">
        <v>46009</v>
      </c>
      <c r="G1813">
        <v>1000</v>
      </c>
      <c r="H1813" t="s">
        <v>14</v>
      </c>
      <c r="I1813" t="s">
        <v>16</v>
      </c>
      <c r="J1813">
        <f t="shared" si="113"/>
        <v>3000</v>
      </c>
      <c r="K1813" t="str">
        <f t="shared" si="112"/>
        <v>35+</v>
      </c>
      <c r="L1813" t="str">
        <f t="shared" ca="1" si="114"/>
        <v>Safe</v>
      </c>
      <c r="M1813" t="str">
        <f t="shared" si="115"/>
        <v>Nov-2023</v>
      </c>
    </row>
    <row r="1814" spans="1:13" x14ac:dyDescent="0.35">
      <c r="A1814">
        <v>11813</v>
      </c>
      <c r="B1814">
        <v>34</v>
      </c>
      <c r="C1814" t="s">
        <v>9</v>
      </c>
      <c r="D1814" t="s">
        <v>11</v>
      </c>
      <c r="E1814" s="2">
        <v>45849</v>
      </c>
      <c r="F1814" s="2">
        <v>46022</v>
      </c>
      <c r="G1814">
        <v>1200</v>
      </c>
      <c r="H1814" t="s">
        <v>14</v>
      </c>
      <c r="I1814" t="s">
        <v>16</v>
      </c>
      <c r="J1814">
        <f t="shared" si="113"/>
        <v>1200</v>
      </c>
      <c r="K1814" t="str">
        <f t="shared" si="112"/>
        <v>25-34</v>
      </c>
      <c r="L1814" t="str">
        <f t="shared" ca="1" si="114"/>
        <v>Safe</v>
      </c>
      <c r="M1814" t="str">
        <f t="shared" si="115"/>
        <v>Jul-2025</v>
      </c>
    </row>
    <row r="1815" spans="1:13" x14ac:dyDescent="0.35">
      <c r="A1815">
        <v>11814</v>
      </c>
      <c r="B1815">
        <v>21</v>
      </c>
      <c r="C1815" t="s">
        <v>9</v>
      </c>
      <c r="D1815" t="s">
        <v>11</v>
      </c>
      <c r="E1815" s="2">
        <v>45141</v>
      </c>
      <c r="F1815" s="2">
        <v>46026</v>
      </c>
      <c r="G1815">
        <v>1700</v>
      </c>
      <c r="H1815" t="s">
        <v>15</v>
      </c>
      <c r="I1815" t="s">
        <v>16</v>
      </c>
      <c r="J1815">
        <f t="shared" si="113"/>
        <v>1700</v>
      </c>
      <c r="K1815" t="str">
        <f t="shared" si="112"/>
        <v>18-24</v>
      </c>
      <c r="L1815" t="str">
        <f t="shared" ca="1" si="114"/>
        <v>Safe</v>
      </c>
      <c r="M1815" t="str">
        <f t="shared" si="115"/>
        <v>Aug-2023</v>
      </c>
    </row>
    <row r="1816" spans="1:13" x14ac:dyDescent="0.35">
      <c r="A1816">
        <v>11815</v>
      </c>
      <c r="B1816">
        <v>39</v>
      </c>
      <c r="C1816" t="s">
        <v>9</v>
      </c>
      <c r="D1816" t="s">
        <v>13</v>
      </c>
      <c r="E1816" s="2">
        <v>46001</v>
      </c>
      <c r="F1816" s="2">
        <v>46029</v>
      </c>
      <c r="G1816">
        <v>1000</v>
      </c>
      <c r="H1816" t="s">
        <v>14</v>
      </c>
      <c r="I1816" t="s">
        <v>16</v>
      </c>
      <c r="J1816">
        <f t="shared" si="113"/>
        <v>3000</v>
      </c>
      <c r="K1816" t="str">
        <f t="shared" si="112"/>
        <v>35+</v>
      </c>
      <c r="L1816" t="str">
        <f t="shared" ca="1" si="114"/>
        <v>Safe</v>
      </c>
      <c r="M1816" t="str">
        <f t="shared" si="115"/>
        <v>Dec-2025</v>
      </c>
    </row>
    <row r="1817" spans="1:13" x14ac:dyDescent="0.35">
      <c r="A1817">
        <v>11816</v>
      </c>
      <c r="B1817">
        <v>42</v>
      </c>
      <c r="C1817" t="s">
        <v>9</v>
      </c>
      <c r="D1817" t="s">
        <v>13</v>
      </c>
      <c r="E1817" s="2">
        <v>45135</v>
      </c>
      <c r="F1817" s="2">
        <v>46027</v>
      </c>
      <c r="G1817">
        <v>1000</v>
      </c>
      <c r="H1817" t="s">
        <v>14</v>
      </c>
      <c r="I1817" t="s">
        <v>16</v>
      </c>
      <c r="J1817">
        <f t="shared" si="113"/>
        <v>3000</v>
      </c>
      <c r="K1817" t="str">
        <f t="shared" si="112"/>
        <v>35+</v>
      </c>
      <c r="L1817" t="str">
        <f t="shared" ca="1" si="114"/>
        <v>Safe</v>
      </c>
      <c r="M1817" t="str">
        <f t="shared" si="115"/>
        <v>Jul-2023</v>
      </c>
    </row>
    <row r="1818" spans="1:13" x14ac:dyDescent="0.35">
      <c r="A1818">
        <v>11817</v>
      </c>
      <c r="B1818">
        <v>30</v>
      </c>
      <c r="C1818" t="s">
        <v>9</v>
      </c>
      <c r="D1818" t="s">
        <v>11</v>
      </c>
      <c r="E1818" s="2">
        <v>45685</v>
      </c>
      <c r="F1818" s="2">
        <v>46010</v>
      </c>
      <c r="G1818">
        <v>1200</v>
      </c>
      <c r="H1818" t="s">
        <v>14</v>
      </c>
      <c r="I1818" t="s">
        <v>16</v>
      </c>
      <c r="J1818">
        <f t="shared" si="113"/>
        <v>1200</v>
      </c>
      <c r="K1818" t="str">
        <f t="shared" si="112"/>
        <v>25-34</v>
      </c>
      <c r="L1818" t="str">
        <f t="shared" ca="1" si="114"/>
        <v>Safe</v>
      </c>
      <c r="M1818" t="str">
        <f t="shared" si="115"/>
        <v>Jan-2025</v>
      </c>
    </row>
    <row r="1819" spans="1:13" x14ac:dyDescent="0.35">
      <c r="A1819">
        <v>11818</v>
      </c>
      <c r="B1819">
        <v>35</v>
      </c>
      <c r="C1819" t="s">
        <v>9</v>
      </c>
      <c r="D1819" t="s">
        <v>11</v>
      </c>
      <c r="E1819" s="2">
        <v>45469</v>
      </c>
      <c r="F1819" s="2">
        <v>46008</v>
      </c>
      <c r="G1819">
        <v>1200</v>
      </c>
      <c r="H1819" t="s">
        <v>14</v>
      </c>
      <c r="I1819" t="s">
        <v>16</v>
      </c>
      <c r="J1819">
        <f t="shared" si="113"/>
        <v>1200</v>
      </c>
      <c r="K1819" t="str">
        <f t="shared" si="112"/>
        <v>35+</v>
      </c>
      <c r="L1819" t="str">
        <f t="shared" ca="1" si="114"/>
        <v>Safe</v>
      </c>
      <c r="M1819" t="str">
        <f t="shared" si="115"/>
        <v>Jun-2024</v>
      </c>
    </row>
    <row r="1820" spans="1:13" x14ac:dyDescent="0.35">
      <c r="A1820">
        <v>11819</v>
      </c>
      <c r="B1820">
        <v>18</v>
      </c>
      <c r="C1820" t="s">
        <v>10</v>
      </c>
      <c r="D1820" t="s">
        <v>11</v>
      </c>
      <c r="E1820" s="2">
        <v>45274</v>
      </c>
      <c r="F1820" s="2">
        <v>46028</v>
      </c>
      <c r="G1820">
        <v>1200</v>
      </c>
      <c r="H1820" t="s">
        <v>14</v>
      </c>
      <c r="I1820" t="s">
        <v>16</v>
      </c>
      <c r="J1820">
        <f t="shared" si="113"/>
        <v>1200</v>
      </c>
      <c r="K1820" t="str">
        <f t="shared" si="112"/>
        <v>18-24</v>
      </c>
      <c r="L1820" t="str">
        <f t="shared" ca="1" si="114"/>
        <v>Safe</v>
      </c>
      <c r="M1820" t="str">
        <f t="shared" si="115"/>
        <v>Dec-2023</v>
      </c>
    </row>
    <row r="1821" spans="1:13" x14ac:dyDescent="0.35">
      <c r="A1821">
        <v>11820</v>
      </c>
      <c r="B1821">
        <v>33</v>
      </c>
      <c r="C1821" t="s">
        <v>9</v>
      </c>
      <c r="D1821" t="s">
        <v>13</v>
      </c>
      <c r="E1821" s="2">
        <v>45478</v>
      </c>
      <c r="F1821" s="2">
        <v>46010</v>
      </c>
      <c r="G1821">
        <v>1000</v>
      </c>
      <c r="H1821" t="s">
        <v>14</v>
      </c>
      <c r="I1821" t="s">
        <v>16</v>
      </c>
      <c r="J1821">
        <f t="shared" si="113"/>
        <v>3000</v>
      </c>
      <c r="K1821" t="str">
        <f t="shared" si="112"/>
        <v>25-34</v>
      </c>
      <c r="L1821" t="str">
        <f t="shared" ca="1" si="114"/>
        <v>Safe</v>
      </c>
      <c r="M1821" t="str">
        <f t="shared" si="115"/>
        <v>Jul-2024</v>
      </c>
    </row>
    <row r="1822" spans="1:13" x14ac:dyDescent="0.35">
      <c r="A1822">
        <v>11821</v>
      </c>
      <c r="B1822">
        <v>30</v>
      </c>
      <c r="C1822" t="s">
        <v>9</v>
      </c>
      <c r="D1822" t="s">
        <v>11</v>
      </c>
      <c r="E1822" s="2">
        <v>45857</v>
      </c>
      <c r="F1822" s="2">
        <v>46024</v>
      </c>
      <c r="G1822">
        <v>1200</v>
      </c>
      <c r="H1822" t="s">
        <v>14</v>
      </c>
      <c r="I1822" t="s">
        <v>16</v>
      </c>
      <c r="J1822">
        <f t="shared" si="113"/>
        <v>1200</v>
      </c>
      <c r="K1822" t="str">
        <f t="shared" si="112"/>
        <v>25-34</v>
      </c>
      <c r="L1822" t="str">
        <f t="shared" ca="1" si="114"/>
        <v>Safe</v>
      </c>
      <c r="M1822" t="str">
        <f t="shared" si="115"/>
        <v>Jul-2025</v>
      </c>
    </row>
    <row r="1823" spans="1:13" x14ac:dyDescent="0.35">
      <c r="A1823">
        <v>11822</v>
      </c>
      <c r="B1823">
        <v>27</v>
      </c>
      <c r="C1823" t="s">
        <v>9</v>
      </c>
      <c r="D1823" t="s">
        <v>13</v>
      </c>
      <c r="E1823" s="2">
        <v>45431</v>
      </c>
      <c r="F1823" s="2">
        <v>46010</v>
      </c>
      <c r="G1823">
        <v>1000</v>
      </c>
      <c r="H1823" t="s">
        <v>14</v>
      </c>
      <c r="I1823" t="s">
        <v>16</v>
      </c>
      <c r="J1823">
        <f t="shared" si="113"/>
        <v>3000</v>
      </c>
      <c r="K1823" t="str">
        <f t="shared" si="112"/>
        <v>25-34</v>
      </c>
      <c r="L1823" t="str">
        <f t="shared" ca="1" si="114"/>
        <v>Safe</v>
      </c>
      <c r="M1823" t="str">
        <f t="shared" si="115"/>
        <v>May-2024</v>
      </c>
    </row>
    <row r="1824" spans="1:13" x14ac:dyDescent="0.35">
      <c r="A1824">
        <v>11823</v>
      </c>
      <c r="B1824">
        <v>29</v>
      </c>
      <c r="C1824" t="s">
        <v>9</v>
      </c>
      <c r="D1824" t="s">
        <v>12</v>
      </c>
      <c r="E1824" s="2">
        <v>45479</v>
      </c>
      <c r="F1824" s="2">
        <v>46020</v>
      </c>
      <c r="G1824">
        <v>1300</v>
      </c>
      <c r="H1824" t="s">
        <v>15</v>
      </c>
      <c r="I1824" t="s">
        <v>16</v>
      </c>
      <c r="J1824">
        <f t="shared" si="113"/>
        <v>15600</v>
      </c>
      <c r="K1824" t="str">
        <f t="shared" si="112"/>
        <v>25-34</v>
      </c>
      <c r="L1824" t="str">
        <f t="shared" ca="1" si="114"/>
        <v>Safe</v>
      </c>
      <c r="M1824" t="str">
        <f t="shared" si="115"/>
        <v>Jul-2024</v>
      </c>
    </row>
    <row r="1825" spans="1:13" x14ac:dyDescent="0.35">
      <c r="A1825">
        <v>11824</v>
      </c>
      <c r="B1825">
        <v>19</v>
      </c>
      <c r="C1825" t="s">
        <v>9</v>
      </c>
      <c r="D1825" t="s">
        <v>11</v>
      </c>
      <c r="E1825" s="2">
        <v>45641</v>
      </c>
      <c r="F1825" s="2">
        <v>46022</v>
      </c>
      <c r="G1825">
        <v>1700</v>
      </c>
      <c r="H1825" t="s">
        <v>15</v>
      </c>
      <c r="I1825" t="s">
        <v>16</v>
      </c>
      <c r="J1825">
        <f t="shared" si="113"/>
        <v>1700</v>
      </c>
      <c r="K1825" t="str">
        <f t="shared" si="112"/>
        <v>18-24</v>
      </c>
      <c r="L1825" t="str">
        <f t="shared" ca="1" si="114"/>
        <v>Safe</v>
      </c>
      <c r="M1825" t="str">
        <f t="shared" si="115"/>
        <v>Dec-2024</v>
      </c>
    </row>
    <row r="1826" spans="1:13" x14ac:dyDescent="0.35">
      <c r="A1826">
        <v>11825</v>
      </c>
      <c r="B1826">
        <v>40</v>
      </c>
      <c r="C1826" t="s">
        <v>9</v>
      </c>
      <c r="D1826" t="s">
        <v>12</v>
      </c>
      <c r="E1826" s="2">
        <v>45886</v>
      </c>
      <c r="F1826" s="2">
        <v>46016</v>
      </c>
      <c r="G1826">
        <v>800</v>
      </c>
      <c r="H1826" t="s">
        <v>14</v>
      </c>
      <c r="I1826" t="s">
        <v>16</v>
      </c>
      <c r="J1826">
        <f t="shared" si="113"/>
        <v>9600</v>
      </c>
      <c r="K1826" t="str">
        <f t="shared" si="112"/>
        <v>35+</v>
      </c>
      <c r="L1826" t="str">
        <f t="shared" ca="1" si="114"/>
        <v>Safe</v>
      </c>
      <c r="M1826" t="str">
        <f t="shared" si="115"/>
        <v>Aug-2025</v>
      </c>
    </row>
    <row r="1827" spans="1:13" x14ac:dyDescent="0.35">
      <c r="A1827">
        <v>11826</v>
      </c>
      <c r="B1827">
        <v>20</v>
      </c>
      <c r="C1827" t="s">
        <v>9</v>
      </c>
      <c r="D1827" t="s">
        <v>13</v>
      </c>
      <c r="E1827" s="2">
        <v>45923</v>
      </c>
      <c r="F1827" s="2">
        <v>46023</v>
      </c>
      <c r="G1827">
        <v>1000</v>
      </c>
      <c r="H1827" t="s">
        <v>14</v>
      </c>
      <c r="I1827" t="s">
        <v>16</v>
      </c>
      <c r="J1827">
        <f t="shared" si="113"/>
        <v>3000</v>
      </c>
      <c r="K1827" t="str">
        <f t="shared" si="112"/>
        <v>18-24</v>
      </c>
      <c r="L1827" t="str">
        <f t="shared" ca="1" si="114"/>
        <v>Safe</v>
      </c>
      <c r="M1827" t="str">
        <f t="shared" si="115"/>
        <v>Sep-2025</v>
      </c>
    </row>
    <row r="1828" spans="1:13" x14ac:dyDescent="0.35">
      <c r="A1828">
        <v>11827</v>
      </c>
      <c r="B1828">
        <v>27</v>
      </c>
      <c r="C1828" t="s">
        <v>10</v>
      </c>
      <c r="D1828" t="s">
        <v>13</v>
      </c>
      <c r="E1828" s="2">
        <v>45166</v>
      </c>
      <c r="F1828" s="2">
        <v>46024</v>
      </c>
      <c r="G1828">
        <v>1000</v>
      </c>
      <c r="H1828" t="s">
        <v>14</v>
      </c>
      <c r="I1828" t="s">
        <v>16</v>
      </c>
      <c r="J1828">
        <f t="shared" si="113"/>
        <v>3000</v>
      </c>
      <c r="K1828" t="str">
        <f t="shared" si="112"/>
        <v>25-34</v>
      </c>
      <c r="L1828" t="str">
        <f t="shared" ca="1" si="114"/>
        <v>Safe</v>
      </c>
      <c r="M1828" t="str">
        <f t="shared" si="115"/>
        <v>Aug-2023</v>
      </c>
    </row>
    <row r="1829" spans="1:13" x14ac:dyDescent="0.35">
      <c r="A1829">
        <v>11828</v>
      </c>
      <c r="B1829">
        <v>19</v>
      </c>
      <c r="C1829" t="s">
        <v>9</v>
      </c>
      <c r="D1829" t="s">
        <v>13</v>
      </c>
      <c r="E1829" s="2">
        <v>45461</v>
      </c>
      <c r="F1829" s="2">
        <v>46009</v>
      </c>
      <c r="G1829">
        <v>1500</v>
      </c>
      <c r="H1829" t="s">
        <v>15</v>
      </c>
      <c r="I1829" t="s">
        <v>16</v>
      </c>
      <c r="J1829">
        <f t="shared" si="113"/>
        <v>4500</v>
      </c>
      <c r="K1829" t="str">
        <f t="shared" si="112"/>
        <v>18-24</v>
      </c>
      <c r="L1829" t="str">
        <f t="shared" ca="1" si="114"/>
        <v>Safe</v>
      </c>
      <c r="M1829" t="str">
        <f t="shared" si="115"/>
        <v>Jun-2024</v>
      </c>
    </row>
    <row r="1830" spans="1:13" x14ac:dyDescent="0.35">
      <c r="A1830">
        <v>11829</v>
      </c>
      <c r="B1830">
        <v>44</v>
      </c>
      <c r="C1830" t="s">
        <v>10</v>
      </c>
      <c r="D1830" t="s">
        <v>13</v>
      </c>
      <c r="E1830" s="2">
        <v>45226</v>
      </c>
      <c r="F1830" s="2">
        <v>46029</v>
      </c>
      <c r="G1830">
        <v>1500</v>
      </c>
      <c r="H1830" t="s">
        <v>15</v>
      </c>
      <c r="I1830" t="s">
        <v>16</v>
      </c>
      <c r="J1830">
        <f t="shared" si="113"/>
        <v>4500</v>
      </c>
      <c r="K1830" t="str">
        <f t="shared" si="112"/>
        <v>35+</v>
      </c>
      <c r="L1830" t="str">
        <f t="shared" ca="1" si="114"/>
        <v>Safe</v>
      </c>
      <c r="M1830" t="str">
        <f t="shared" si="115"/>
        <v>Oct-2023</v>
      </c>
    </row>
    <row r="1831" spans="1:13" x14ac:dyDescent="0.35">
      <c r="A1831">
        <v>11830</v>
      </c>
      <c r="B1831">
        <v>40</v>
      </c>
      <c r="C1831" t="s">
        <v>9</v>
      </c>
      <c r="D1831" t="s">
        <v>13</v>
      </c>
      <c r="E1831" s="2">
        <v>45869</v>
      </c>
      <c r="F1831" s="2">
        <v>46025</v>
      </c>
      <c r="G1831">
        <v>1000</v>
      </c>
      <c r="H1831" t="s">
        <v>14</v>
      </c>
      <c r="I1831" t="s">
        <v>16</v>
      </c>
      <c r="J1831">
        <f t="shared" si="113"/>
        <v>3000</v>
      </c>
      <c r="K1831" t="str">
        <f t="shared" si="112"/>
        <v>35+</v>
      </c>
      <c r="L1831" t="str">
        <f t="shared" ca="1" si="114"/>
        <v>Safe</v>
      </c>
      <c r="M1831" t="str">
        <f t="shared" si="115"/>
        <v>Jul-2025</v>
      </c>
    </row>
    <row r="1832" spans="1:13" x14ac:dyDescent="0.35">
      <c r="A1832">
        <v>11831</v>
      </c>
      <c r="B1832">
        <v>30</v>
      </c>
      <c r="C1832" t="s">
        <v>10</v>
      </c>
      <c r="D1832" t="s">
        <v>11</v>
      </c>
      <c r="E1832" s="2">
        <v>45869</v>
      </c>
      <c r="F1832" s="2">
        <v>46031</v>
      </c>
      <c r="G1832">
        <v>1200</v>
      </c>
      <c r="H1832" t="s">
        <v>14</v>
      </c>
      <c r="I1832" t="s">
        <v>16</v>
      </c>
      <c r="J1832">
        <f t="shared" si="113"/>
        <v>1200</v>
      </c>
      <c r="K1832" t="str">
        <f t="shared" si="112"/>
        <v>25-34</v>
      </c>
      <c r="L1832" t="str">
        <f t="shared" ca="1" si="114"/>
        <v>Safe</v>
      </c>
      <c r="M1832" t="str">
        <f t="shared" si="115"/>
        <v>Jul-2025</v>
      </c>
    </row>
    <row r="1833" spans="1:13" x14ac:dyDescent="0.35">
      <c r="A1833">
        <v>11832</v>
      </c>
      <c r="B1833">
        <v>30</v>
      </c>
      <c r="C1833" t="s">
        <v>9</v>
      </c>
      <c r="D1833" t="s">
        <v>11</v>
      </c>
      <c r="E1833" s="2">
        <v>45233</v>
      </c>
      <c r="F1833" s="2">
        <v>46008</v>
      </c>
      <c r="G1833">
        <v>1700</v>
      </c>
      <c r="H1833" t="s">
        <v>15</v>
      </c>
      <c r="I1833" t="s">
        <v>16</v>
      </c>
      <c r="J1833">
        <f t="shared" si="113"/>
        <v>1700</v>
      </c>
      <c r="K1833" t="str">
        <f t="shared" si="112"/>
        <v>25-34</v>
      </c>
      <c r="L1833" t="str">
        <f t="shared" ca="1" si="114"/>
        <v>Safe</v>
      </c>
      <c r="M1833" t="str">
        <f t="shared" si="115"/>
        <v>Nov-2023</v>
      </c>
    </row>
    <row r="1834" spans="1:13" x14ac:dyDescent="0.35">
      <c r="A1834">
        <v>11833</v>
      </c>
      <c r="B1834">
        <v>35</v>
      </c>
      <c r="C1834" t="s">
        <v>10</v>
      </c>
      <c r="D1834" t="s">
        <v>11</v>
      </c>
      <c r="E1834" s="2">
        <v>45756</v>
      </c>
      <c r="F1834" s="2">
        <v>46009</v>
      </c>
      <c r="G1834">
        <v>1200</v>
      </c>
      <c r="H1834" t="s">
        <v>14</v>
      </c>
      <c r="I1834" t="s">
        <v>16</v>
      </c>
      <c r="J1834">
        <f t="shared" si="113"/>
        <v>1200</v>
      </c>
      <c r="K1834" t="str">
        <f t="shared" si="112"/>
        <v>35+</v>
      </c>
      <c r="L1834" t="str">
        <f t="shared" ca="1" si="114"/>
        <v>Safe</v>
      </c>
      <c r="M1834" t="str">
        <f t="shared" si="115"/>
        <v>Apr-2025</v>
      </c>
    </row>
    <row r="1835" spans="1:13" x14ac:dyDescent="0.35">
      <c r="A1835">
        <v>11834</v>
      </c>
      <c r="B1835">
        <v>20</v>
      </c>
      <c r="C1835" t="s">
        <v>9</v>
      </c>
      <c r="D1835" t="s">
        <v>11</v>
      </c>
      <c r="E1835" s="2">
        <v>45927</v>
      </c>
      <c r="F1835" s="2">
        <v>45935</v>
      </c>
      <c r="G1835">
        <v>1200</v>
      </c>
      <c r="H1835" t="s">
        <v>14</v>
      </c>
      <c r="I1835" t="s">
        <v>17</v>
      </c>
      <c r="J1835">
        <f t="shared" si="113"/>
        <v>1200</v>
      </c>
      <c r="K1835" t="str">
        <f t="shared" si="112"/>
        <v>18-24</v>
      </c>
      <c r="L1835" t="str">
        <f t="shared" ca="1" si="114"/>
        <v>High Risk</v>
      </c>
      <c r="M1835" t="str">
        <f t="shared" si="115"/>
        <v>Sep-2025</v>
      </c>
    </row>
    <row r="1836" spans="1:13" x14ac:dyDescent="0.35">
      <c r="A1836">
        <v>11835</v>
      </c>
      <c r="B1836">
        <v>44</v>
      </c>
      <c r="C1836" t="s">
        <v>9</v>
      </c>
      <c r="D1836" t="s">
        <v>11</v>
      </c>
      <c r="E1836" s="2">
        <v>45272</v>
      </c>
      <c r="F1836" s="2">
        <v>46025</v>
      </c>
      <c r="G1836">
        <v>1200</v>
      </c>
      <c r="H1836" t="s">
        <v>14</v>
      </c>
      <c r="I1836" t="s">
        <v>16</v>
      </c>
      <c r="J1836">
        <f t="shared" si="113"/>
        <v>1200</v>
      </c>
      <c r="K1836" t="str">
        <f t="shared" si="112"/>
        <v>35+</v>
      </c>
      <c r="L1836" t="str">
        <f t="shared" ca="1" si="114"/>
        <v>Safe</v>
      </c>
      <c r="M1836" t="str">
        <f t="shared" si="115"/>
        <v>Dec-2023</v>
      </c>
    </row>
    <row r="1837" spans="1:13" x14ac:dyDescent="0.35">
      <c r="A1837">
        <v>11836</v>
      </c>
      <c r="B1837">
        <v>24</v>
      </c>
      <c r="C1837" t="s">
        <v>9</v>
      </c>
      <c r="D1837" t="s">
        <v>11</v>
      </c>
      <c r="E1837" s="2">
        <v>45967</v>
      </c>
      <c r="F1837" s="2">
        <v>45920</v>
      </c>
      <c r="G1837">
        <v>1200</v>
      </c>
      <c r="H1837" t="s">
        <v>14</v>
      </c>
      <c r="I1837" t="s">
        <v>17</v>
      </c>
      <c r="J1837">
        <f t="shared" si="113"/>
        <v>1200</v>
      </c>
      <c r="K1837" t="str">
        <f t="shared" si="112"/>
        <v>18-24</v>
      </c>
      <c r="L1837" t="str">
        <f t="shared" ca="1" si="114"/>
        <v>High Risk</v>
      </c>
      <c r="M1837" t="str">
        <f t="shared" si="115"/>
        <v>Nov-2025</v>
      </c>
    </row>
    <row r="1838" spans="1:13" x14ac:dyDescent="0.35">
      <c r="A1838">
        <v>11837</v>
      </c>
      <c r="B1838">
        <v>31</v>
      </c>
      <c r="C1838" t="s">
        <v>10</v>
      </c>
      <c r="D1838" t="s">
        <v>11</v>
      </c>
      <c r="E1838" s="2">
        <v>45171</v>
      </c>
      <c r="F1838" s="2">
        <v>46012</v>
      </c>
      <c r="G1838">
        <v>1700</v>
      </c>
      <c r="H1838" t="s">
        <v>15</v>
      </c>
      <c r="I1838" t="s">
        <v>16</v>
      </c>
      <c r="J1838">
        <f t="shared" si="113"/>
        <v>1700</v>
      </c>
      <c r="K1838" t="str">
        <f t="shared" si="112"/>
        <v>25-34</v>
      </c>
      <c r="L1838" t="str">
        <f t="shared" ca="1" si="114"/>
        <v>Safe</v>
      </c>
      <c r="M1838" t="str">
        <f t="shared" si="115"/>
        <v>Sep-2023</v>
      </c>
    </row>
    <row r="1839" spans="1:13" x14ac:dyDescent="0.35">
      <c r="A1839">
        <v>11838</v>
      </c>
      <c r="B1839">
        <v>37</v>
      </c>
      <c r="C1839" t="s">
        <v>9</v>
      </c>
      <c r="D1839" t="s">
        <v>13</v>
      </c>
      <c r="E1839" s="2">
        <v>45610</v>
      </c>
      <c r="F1839" s="2">
        <v>46015</v>
      </c>
      <c r="G1839">
        <v>1000</v>
      </c>
      <c r="H1839" t="s">
        <v>14</v>
      </c>
      <c r="I1839" t="s">
        <v>16</v>
      </c>
      <c r="J1839">
        <f t="shared" si="113"/>
        <v>3000</v>
      </c>
      <c r="K1839" t="str">
        <f t="shared" si="112"/>
        <v>35+</v>
      </c>
      <c r="L1839" t="str">
        <f t="shared" ca="1" si="114"/>
        <v>Safe</v>
      </c>
      <c r="M1839" t="str">
        <f t="shared" si="115"/>
        <v>Nov-2024</v>
      </c>
    </row>
    <row r="1840" spans="1:13" x14ac:dyDescent="0.35">
      <c r="A1840">
        <v>11839</v>
      </c>
      <c r="B1840">
        <v>34</v>
      </c>
      <c r="C1840" t="s">
        <v>9</v>
      </c>
      <c r="D1840" t="s">
        <v>12</v>
      </c>
      <c r="E1840" s="2">
        <v>45171</v>
      </c>
      <c r="F1840" s="2">
        <v>46032</v>
      </c>
      <c r="G1840">
        <v>800</v>
      </c>
      <c r="H1840" t="s">
        <v>14</v>
      </c>
      <c r="I1840" t="s">
        <v>16</v>
      </c>
      <c r="J1840">
        <f t="shared" si="113"/>
        <v>9600</v>
      </c>
      <c r="K1840" t="str">
        <f t="shared" si="112"/>
        <v>25-34</v>
      </c>
      <c r="L1840" t="str">
        <f t="shared" ca="1" si="114"/>
        <v>Safe</v>
      </c>
      <c r="M1840" t="str">
        <f t="shared" si="115"/>
        <v>Sep-2023</v>
      </c>
    </row>
    <row r="1841" spans="1:13" x14ac:dyDescent="0.35">
      <c r="A1841">
        <v>11840</v>
      </c>
      <c r="B1841">
        <v>38</v>
      </c>
      <c r="C1841" t="s">
        <v>9</v>
      </c>
      <c r="D1841" t="s">
        <v>12</v>
      </c>
      <c r="E1841" s="2">
        <v>45468</v>
      </c>
      <c r="F1841" s="2">
        <v>46029</v>
      </c>
      <c r="G1841">
        <v>1300</v>
      </c>
      <c r="H1841" t="s">
        <v>15</v>
      </c>
      <c r="I1841" t="s">
        <v>16</v>
      </c>
      <c r="J1841">
        <f t="shared" si="113"/>
        <v>15600</v>
      </c>
      <c r="K1841" t="str">
        <f t="shared" si="112"/>
        <v>35+</v>
      </c>
      <c r="L1841" t="str">
        <f t="shared" ca="1" si="114"/>
        <v>Safe</v>
      </c>
      <c r="M1841" t="str">
        <f t="shared" si="115"/>
        <v>Jun-2024</v>
      </c>
    </row>
    <row r="1842" spans="1:13" x14ac:dyDescent="0.35">
      <c r="A1842">
        <v>11841</v>
      </c>
      <c r="B1842">
        <v>29</v>
      </c>
      <c r="C1842" t="s">
        <v>9</v>
      </c>
      <c r="D1842" t="s">
        <v>13</v>
      </c>
      <c r="E1842" s="2">
        <v>45340</v>
      </c>
      <c r="F1842" s="2">
        <v>45948</v>
      </c>
      <c r="G1842">
        <v>1000</v>
      </c>
      <c r="H1842" t="s">
        <v>14</v>
      </c>
      <c r="I1842" t="s">
        <v>17</v>
      </c>
      <c r="J1842">
        <f t="shared" si="113"/>
        <v>3000</v>
      </c>
      <c r="K1842" t="str">
        <f t="shared" si="112"/>
        <v>25-34</v>
      </c>
      <c r="L1842" t="str">
        <f t="shared" ca="1" si="114"/>
        <v>High Risk</v>
      </c>
      <c r="M1842" t="str">
        <f t="shared" si="115"/>
        <v>Feb-2024</v>
      </c>
    </row>
    <row r="1843" spans="1:13" x14ac:dyDescent="0.35">
      <c r="A1843">
        <v>11842</v>
      </c>
      <c r="B1843">
        <v>42</v>
      </c>
      <c r="C1843" t="s">
        <v>9</v>
      </c>
      <c r="D1843" t="s">
        <v>13</v>
      </c>
      <c r="E1843" s="2">
        <v>45268</v>
      </c>
      <c r="F1843" s="2">
        <v>46013</v>
      </c>
      <c r="G1843">
        <v>1000</v>
      </c>
      <c r="H1843" t="s">
        <v>14</v>
      </c>
      <c r="I1843" t="s">
        <v>16</v>
      </c>
      <c r="J1843">
        <f t="shared" si="113"/>
        <v>3000</v>
      </c>
      <c r="K1843" t="str">
        <f t="shared" si="112"/>
        <v>35+</v>
      </c>
      <c r="L1843" t="str">
        <f t="shared" ca="1" si="114"/>
        <v>Safe</v>
      </c>
      <c r="M1843" t="str">
        <f t="shared" si="115"/>
        <v>Dec-2023</v>
      </c>
    </row>
    <row r="1844" spans="1:13" x14ac:dyDescent="0.35">
      <c r="A1844">
        <v>11843</v>
      </c>
      <c r="B1844">
        <v>33</v>
      </c>
      <c r="C1844" t="s">
        <v>9</v>
      </c>
      <c r="D1844" t="s">
        <v>12</v>
      </c>
      <c r="E1844" s="2">
        <v>45228</v>
      </c>
      <c r="F1844" s="2">
        <v>45934</v>
      </c>
      <c r="G1844">
        <v>800</v>
      </c>
      <c r="H1844" t="s">
        <v>14</v>
      </c>
      <c r="I1844" t="s">
        <v>17</v>
      </c>
      <c r="J1844">
        <f t="shared" si="113"/>
        <v>9600</v>
      </c>
      <c r="K1844" t="str">
        <f t="shared" si="112"/>
        <v>25-34</v>
      </c>
      <c r="L1844" t="str">
        <f t="shared" ca="1" si="114"/>
        <v>High Risk</v>
      </c>
      <c r="M1844" t="str">
        <f t="shared" si="115"/>
        <v>Oct-2023</v>
      </c>
    </row>
    <row r="1845" spans="1:13" x14ac:dyDescent="0.35">
      <c r="A1845">
        <v>11844</v>
      </c>
      <c r="B1845">
        <v>41</v>
      </c>
      <c r="C1845" t="s">
        <v>10</v>
      </c>
      <c r="D1845" t="s">
        <v>11</v>
      </c>
      <c r="E1845" s="2">
        <v>45613</v>
      </c>
      <c r="F1845" s="2">
        <v>45999</v>
      </c>
      <c r="G1845">
        <v>1200</v>
      </c>
      <c r="H1845" t="s">
        <v>14</v>
      </c>
      <c r="I1845" t="s">
        <v>17</v>
      </c>
      <c r="J1845">
        <f t="shared" si="113"/>
        <v>1200</v>
      </c>
      <c r="K1845" t="str">
        <f t="shared" si="112"/>
        <v>35+</v>
      </c>
      <c r="L1845" t="str">
        <f t="shared" ca="1" si="114"/>
        <v>High Risk</v>
      </c>
      <c r="M1845" t="str">
        <f t="shared" si="115"/>
        <v>Nov-2024</v>
      </c>
    </row>
    <row r="1846" spans="1:13" x14ac:dyDescent="0.35">
      <c r="A1846">
        <v>11845</v>
      </c>
      <c r="B1846">
        <v>29</v>
      </c>
      <c r="C1846" t="s">
        <v>10</v>
      </c>
      <c r="D1846" t="s">
        <v>11</v>
      </c>
      <c r="E1846" s="2">
        <v>45544</v>
      </c>
      <c r="F1846" s="2">
        <v>46009</v>
      </c>
      <c r="G1846">
        <v>1700</v>
      </c>
      <c r="H1846" t="s">
        <v>15</v>
      </c>
      <c r="I1846" t="s">
        <v>16</v>
      </c>
      <c r="J1846">
        <f t="shared" si="113"/>
        <v>1700</v>
      </c>
      <c r="K1846" t="str">
        <f t="shared" si="112"/>
        <v>25-34</v>
      </c>
      <c r="L1846" t="str">
        <f t="shared" ca="1" si="114"/>
        <v>Safe</v>
      </c>
      <c r="M1846" t="str">
        <f t="shared" si="115"/>
        <v>Sep-2024</v>
      </c>
    </row>
    <row r="1847" spans="1:13" x14ac:dyDescent="0.35">
      <c r="A1847">
        <v>11846</v>
      </c>
      <c r="B1847">
        <v>32</v>
      </c>
      <c r="C1847" t="s">
        <v>10</v>
      </c>
      <c r="D1847" t="s">
        <v>12</v>
      </c>
      <c r="E1847" s="2">
        <v>45463</v>
      </c>
      <c r="F1847" s="2">
        <v>45938</v>
      </c>
      <c r="G1847">
        <v>800</v>
      </c>
      <c r="H1847" t="s">
        <v>14</v>
      </c>
      <c r="I1847" t="s">
        <v>17</v>
      </c>
      <c r="J1847">
        <f t="shared" si="113"/>
        <v>9600</v>
      </c>
      <c r="K1847" t="str">
        <f t="shared" si="112"/>
        <v>25-34</v>
      </c>
      <c r="L1847" t="str">
        <f t="shared" ca="1" si="114"/>
        <v>High Risk</v>
      </c>
      <c r="M1847" t="str">
        <f t="shared" si="115"/>
        <v>Jun-2024</v>
      </c>
    </row>
    <row r="1848" spans="1:13" x14ac:dyDescent="0.35">
      <c r="A1848">
        <v>11847</v>
      </c>
      <c r="B1848">
        <v>42</v>
      </c>
      <c r="C1848" t="s">
        <v>9</v>
      </c>
      <c r="D1848" t="s">
        <v>13</v>
      </c>
      <c r="E1848" s="2">
        <v>45493</v>
      </c>
      <c r="F1848" s="2">
        <v>46026</v>
      </c>
      <c r="G1848">
        <v>1500</v>
      </c>
      <c r="H1848" t="s">
        <v>15</v>
      </c>
      <c r="I1848" t="s">
        <v>16</v>
      </c>
      <c r="J1848">
        <f t="shared" si="113"/>
        <v>4500</v>
      </c>
      <c r="K1848" t="str">
        <f t="shared" si="112"/>
        <v>35+</v>
      </c>
      <c r="L1848" t="str">
        <f t="shared" ca="1" si="114"/>
        <v>Safe</v>
      </c>
      <c r="M1848" t="str">
        <f t="shared" si="115"/>
        <v>Jul-2024</v>
      </c>
    </row>
    <row r="1849" spans="1:13" x14ac:dyDescent="0.35">
      <c r="A1849">
        <v>11848</v>
      </c>
      <c r="B1849">
        <v>27</v>
      </c>
      <c r="C1849" t="s">
        <v>10</v>
      </c>
      <c r="D1849" t="s">
        <v>13</v>
      </c>
      <c r="E1849" s="2">
        <v>45534</v>
      </c>
      <c r="F1849" s="2">
        <v>46027</v>
      </c>
      <c r="G1849">
        <v>1000</v>
      </c>
      <c r="H1849" t="s">
        <v>14</v>
      </c>
      <c r="I1849" t="s">
        <v>16</v>
      </c>
      <c r="J1849">
        <f t="shared" si="113"/>
        <v>3000</v>
      </c>
      <c r="K1849" t="str">
        <f t="shared" si="112"/>
        <v>25-34</v>
      </c>
      <c r="L1849" t="str">
        <f t="shared" ca="1" si="114"/>
        <v>Safe</v>
      </c>
      <c r="M1849" t="str">
        <f t="shared" si="115"/>
        <v>Aug-2024</v>
      </c>
    </row>
    <row r="1850" spans="1:13" x14ac:dyDescent="0.35">
      <c r="A1850">
        <v>11849</v>
      </c>
      <c r="B1850">
        <v>42</v>
      </c>
      <c r="C1850" t="s">
        <v>10</v>
      </c>
      <c r="D1850" t="s">
        <v>11</v>
      </c>
      <c r="E1850" s="2">
        <v>45451</v>
      </c>
      <c r="F1850" s="2">
        <v>46032</v>
      </c>
      <c r="G1850">
        <v>1200</v>
      </c>
      <c r="H1850" t="s">
        <v>14</v>
      </c>
      <c r="I1850" t="s">
        <v>16</v>
      </c>
      <c r="J1850">
        <f t="shared" si="113"/>
        <v>1200</v>
      </c>
      <c r="K1850" t="str">
        <f t="shared" si="112"/>
        <v>35+</v>
      </c>
      <c r="L1850" t="str">
        <f t="shared" ca="1" si="114"/>
        <v>Safe</v>
      </c>
      <c r="M1850" t="str">
        <f t="shared" si="115"/>
        <v>Jun-2024</v>
      </c>
    </row>
    <row r="1851" spans="1:13" x14ac:dyDescent="0.35">
      <c r="A1851">
        <v>11850</v>
      </c>
      <c r="B1851">
        <v>24</v>
      </c>
      <c r="C1851" t="s">
        <v>9</v>
      </c>
      <c r="D1851" t="s">
        <v>11</v>
      </c>
      <c r="E1851" s="2">
        <v>45931</v>
      </c>
      <c r="F1851" s="2">
        <v>46021</v>
      </c>
      <c r="G1851">
        <v>1200</v>
      </c>
      <c r="H1851" t="s">
        <v>14</v>
      </c>
      <c r="I1851" t="s">
        <v>16</v>
      </c>
      <c r="J1851">
        <f t="shared" si="113"/>
        <v>1200</v>
      </c>
      <c r="K1851" t="str">
        <f t="shared" si="112"/>
        <v>18-24</v>
      </c>
      <c r="L1851" t="str">
        <f t="shared" ca="1" si="114"/>
        <v>Safe</v>
      </c>
      <c r="M1851" t="str">
        <f t="shared" si="115"/>
        <v>Oct-2025</v>
      </c>
    </row>
    <row r="1852" spans="1:13" x14ac:dyDescent="0.35">
      <c r="A1852">
        <v>11851</v>
      </c>
      <c r="B1852">
        <v>37</v>
      </c>
      <c r="C1852" t="s">
        <v>9</v>
      </c>
      <c r="D1852" t="s">
        <v>12</v>
      </c>
      <c r="E1852" s="2">
        <v>45546</v>
      </c>
      <c r="F1852" s="2">
        <v>46021</v>
      </c>
      <c r="G1852">
        <v>800</v>
      </c>
      <c r="H1852" t="s">
        <v>14</v>
      </c>
      <c r="I1852" t="s">
        <v>16</v>
      </c>
      <c r="J1852">
        <f t="shared" si="113"/>
        <v>9600</v>
      </c>
      <c r="K1852" t="str">
        <f t="shared" si="112"/>
        <v>35+</v>
      </c>
      <c r="L1852" t="str">
        <f t="shared" ca="1" si="114"/>
        <v>Safe</v>
      </c>
      <c r="M1852" t="str">
        <f t="shared" si="115"/>
        <v>Sep-2024</v>
      </c>
    </row>
    <row r="1853" spans="1:13" x14ac:dyDescent="0.35">
      <c r="A1853">
        <v>11852</v>
      </c>
      <c r="B1853">
        <v>22</v>
      </c>
      <c r="C1853" t="s">
        <v>9</v>
      </c>
      <c r="D1853" t="s">
        <v>13</v>
      </c>
      <c r="E1853" s="2">
        <v>45884</v>
      </c>
      <c r="F1853" s="2">
        <v>46015</v>
      </c>
      <c r="G1853">
        <v>1000</v>
      </c>
      <c r="H1853" t="s">
        <v>14</v>
      </c>
      <c r="I1853" t="s">
        <v>16</v>
      </c>
      <c r="J1853">
        <f t="shared" si="113"/>
        <v>3000</v>
      </c>
      <c r="K1853" t="str">
        <f t="shared" si="112"/>
        <v>18-24</v>
      </c>
      <c r="L1853" t="str">
        <f t="shared" ca="1" si="114"/>
        <v>Safe</v>
      </c>
      <c r="M1853" t="str">
        <f t="shared" si="115"/>
        <v>Aug-2025</v>
      </c>
    </row>
    <row r="1854" spans="1:13" x14ac:dyDescent="0.35">
      <c r="A1854">
        <v>11853</v>
      </c>
      <c r="B1854">
        <v>18</v>
      </c>
      <c r="C1854" t="s">
        <v>10</v>
      </c>
      <c r="D1854" t="s">
        <v>11</v>
      </c>
      <c r="E1854" s="2">
        <v>45200</v>
      </c>
      <c r="F1854" s="2">
        <v>46028</v>
      </c>
      <c r="G1854">
        <v>1700</v>
      </c>
      <c r="H1854" t="s">
        <v>15</v>
      </c>
      <c r="I1854" t="s">
        <v>16</v>
      </c>
      <c r="J1854">
        <f t="shared" si="113"/>
        <v>1700</v>
      </c>
      <c r="K1854" t="str">
        <f t="shared" si="112"/>
        <v>18-24</v>
      </c>
      <c r="L1854" t="str">
        <f t="shared" ca="1" si="114"/>
        <v>Safe</v>
      </c>
      <c r="M1854" t="str">
        <f t="shared" si="115"/>
        <v>Oct-2023</v>
      </c>
    </row>
    <row r="1855" spans="1:13" x14ac:dyDescent="0.35">
      <c r="A1855">
        <v>11854</v>
      </c>
      <c r="B1855">
        <v>34</v>
      </c>
      <c r="C1855" t="s">
        <v>9</v>
      </c>
      <c r="D1855" t="s">
        <v>11</v>
      </c>
      <c r="E1855" s="2">
        <v>45706</v>
      </c>
      <c r="F1855" s="2">
        <v>46021</v>
      </c>
      <c r="G1855">
        <v>1200</v>
      </c>
      <c r="H1855" t="s">
        <v>14</v>
      </c>
      <c r="I1855" t="s">
        <v>16</v>
      </c>
      <c r="J1855">
        <f t="shared" si="113"/>
        <v>1200</v>
      </c>
      <c r="K1855" t="str">
        <f t="shared" si="112"/>
        <v>25-34</v>
      </c>
      <c r="L1855" t="str">
        <f t="shared" ca="1" si="114"/>
        <v>Safe</v>
      </c>
      <c r="M1855" t="str">
        <f t="shared" si="115"/>
        <v>Feb-2025</v>
      </c>
    </row>
    <row r="1856" spans="1:13" x14ac:dyDescent="0.35">
      <c r="A1856">
        <v>11855</v>
      </c>
      <c r="B1856">
        <v>20</v>
      </c>
      <c r="C1856" t="s">
        <v>9</v>
      </c>
      <c r="D1856" t="s">
        <v>13</v>
      </c>
      <c r="E1856" s="2">
        <v>45231</v>
      </c>
      <c r="F1856" s="2">
        <v>46023</v>
      </c>
      <c r="G1856">
        <v>1000</v>
      </c>
      <c r="H1856" t="s">
        <v>14</v>
      </c>
      <c r="I1856" t="s">
        <v>16</v>
      </c>
      <c r="J1856">
        <f t="shared" si="113"/>
        <v>3000</v>
      </c>
      <c r="K1856" t="str">
        <f t="shared" si="112"/>
        <v>18-24</v>
      </c>
      <c r="L1856" t="str">
        <f t="shared" ca="1" si="114"/>
        <v>Safe</v>
      </c>
      <c r="M1856" t="str">
        <f t="shared" si="115"/>
        <v>Nov-2023</v>
      </c>
    </row>
    <row r="1857" spans="1:13" x14ac:dyDescent="0.35">
      <c r="A1857">
        <v>11856</v>
      </c>
      <c r="B1857">
        <v>30</v>
      </c>
      <c r="C1857" t="s">
        <v>9</v>
      </c>
      <c r="D1857" t="s">
        <v>13</v>
      </c>
      <c r="E1857" s="2">
        <v>45464</v>
      </c>
      <c r="F1857" s="2">
        <v>46013</v>
      </c>
      <c r="G1857">
        <v>1000</v>
      </c>
      <c r="H1857" t="s">
        <v>14</v>
      </c>
      <c r="I1857" t="s">
        <v>16</v>
      </c>
      <c r="J1857">
        <f t="shared" si="113"/>
        <v>3000</v>
      </c>
      <c r="K1857" t="str">
        <f t="shared" si="112"/>
        <v>25-34</v>
      </c>
      <c r="L1857" t="str">
        <f t="shared" ca="1" si="114"/>
        <v>Safe</v>
      </c>
      <c r="M1857" t="str">
        <f t="shared" si="115"/>
        <v>Jun-2024</v>
      </c>
    </row>
    <row r="1858" spans="1:13" x14ac:dyDescent="0.35">
      <c r="A1858">
        <v>11857</v>
      </c>
      <c r="B1858">
        <v>31</v>
      </c>
      <c r="C1858" t="s">
        <v>10</v>
      </c>
      <c r="D1858" t="s">
        <v>11</v>
      </c>
      <c r="E1858" s="2">
        <v>45241</v>
      </c>
      <c r="F1858" s="2">
        <v>46020</v>
      </c>
      <c r="G1858">
        <v>1200</v>
      </c>
      <c r="H1858" t="s">
        <v>14</v>
      </c>
      <c r="I1858" t="s">
        <v>16</v>
      </c>
      <c r="J1858">
        <f t="shared" si="113"/>
        <v>1200</v>
      </c>
      <c r="K1858" t="str">
        <f t="shared" ref="K1858:K1921" si="116">IF(B1858&lt;25,"18-24",IF(B1858&lt;35,"25-34","35+"))</f>
        <v>25-34</v>
      </c>
      <c r="L1858" t="str">
        <f t="shared" ca="1" si="114"/>
        <v>Safe</v>
      </c>
      <c r="M1858" t="str">
        <f t="shared" si="115"/>
        <v>Nov-2023</v>
      </c>
    </row>
    <row r="1859" spans="1:13" x14ac:dyDescent="0.35">
      <c r="A1859">
        <v>11858</v>
      </c>
      <c r="B1859">
        <v>41</v>
      </c>
      <c r="C1859" t="s">
        <v>10</v>
      </c>
      <c r="D1859" t="s">
        <v>12</v>
      </c>
      <c r="E1859" s="2">
        <v>45148</v>
      </c>
      <c r="F1859" s="2">
        <v>46015</v>
      </c>
      <c r="G1859">
        <v>800</v>
      </c>
      <c r="H1859" t="s">
        <v>14</v>
      </c>
      <c r="I1859" t="s">
        <v>16</v>
      </c>
      <c r="J1859">
        <f t="shared" ref="J1859:J1922" si="117">IF(D1859="Monthly",G1859,IF(D1859="Quarterly",G1859*3,G1859*12))</f>
        <v>9600</v>
      </c>
      <c r="K1859" t="str">
        <f t="shared" si="116"/>
        <v>35+</v>
      </c>
      <c r="L1859" t="str">
        <f t="shared" ref="L1859:L1922" ca="1" si="118">IF(F1859&lt;TODAY()-30,"High Risk","Safe")</f>
        <v>Safe</v>
      </c>
      <c r="M1859" t="str">
        <f t="shared" ref="M1859:M1922" si="119">TEXT(E1859,"mmm-yyyy")</f>
        <v>Aug-2023</v>
      </c>
    </row>
    <row r="1860" spans="1:13" x14ac:dyDescent="0.35">
      <c r="A1860">
        <v>11859</v>
      </c>
      <c r="B1860">
        <v>35</v>
      </c>
      <c r="C1860" t="s">
        <v>10</v>
      </c>
      <c r="D1860" t="s">
        <v>11</v>
      </c>
      <c r="E1860" s="2">
        <v>45351</v>
      </c>
      <c r="F1860" s="2">
        <v>46016</v>
      </c>
      <c r="G1860">
        <v>1700</v>
      </c>
      <c r="H1860" t="s">
        <v>15</v>
      </c>
      <c r="I1860" t="s">
        <v>16</v>
      </c>
      <c r="J1860">
        <f t="shared" si="117"/>
        <v>1700</v>
      </c>
      <c r="K1860" t="str">
        <f t="shared" si="116"/>
        <v>35+</v>
      </c>
      <c r="L1860" t="str">
        <f t="shared" ca="1" si="118"/>
        <v>Safe</v>
      </c>
      <c r="M1860" t="str">
        <f t="shared" si="119"/>
        <v>Feb-2024</v>
      </c>
    </row>
    <row r="1861" spans="1:13" x14ac:dyDescent="0.35">
      <c r="A1861">
        <v>11860</v>
      </c>
      <c r="B1861">
        <v>21</v>
      </c>
      <c r="C1861" t="s">
        <v>9</v>
      </c>
      <c r="D1861" t="s">
        <v>11</v>
      </c>
      <c r="E1861" s="2">
        <v>45424</v>
      </c>
      <c r="F1861" s="2">
        <v>46021</v>
      </c>
      <c r="G1861">
        <v>1200</v>
      </c>
      <c r="H1861" t="s">
        <v>14</v>
      </c>
      <c r="I1861" t="s">
        <v>16</v>
      </c>
      <c r="J1861">
        <f t="shared" si="117"/>
        <v>1200</v>
      </c>
      <c r="K1861" t="str">
        <f t="shared" si="116"/>
        <v>18-24</v>
      </c>
      <c r="L1861" t="str">
        <f t="shared" ca="1" si="118"/>
        <v>Safe</v>
      </c>
      <c r="M1861" t="str">
        <f t="shared" si="119"/>
        <v>May-2024</v>
      </c>
    </row>
    <row r="1862" spans="1:13" x14ac:dyDescent="0.35">
      <c r="A1862">
        <v>11861</v>
      </c>
      <c r="B1862">
        <v>35</v>
      </c>
      <c r="C1862" t="s">
        <v>9</v>
      </c>
      <c r="D1862" t="s">
        <v>13</v>
      </c>
      <c r="E1862" s="2">
        <v>45711</v>
      </c>
      <c r="F1862" s="2">
        <v>46020</v>
      </c>
      <c r="G1862">
        <v>1500</v>
      </c>
      <c r="H1862" t="s">
        <v>15</v>
      </c>
      <c r="I1862" t="s">
        <v>16</v>
      </c>
      <c r="J1862">
        <f t="shared" si="117"/>
        <v>4500</v>
      </c>
      <c r="K1862" t="str">
        <f t="shared" si="116"/>
        <v>35+</v>
      </c>
      <c r="L1862" t="str">
        <f t="shared" ca="1" si="118"/>
        <v>Safe</v>
      </c>
      <c r="M1862" t="str">
        <f t="shared" si="119"/>
        <v>Feb-2025</v>
      </c>
    </row>
    <row r="1863" spans="1:13" x14ac:dyDescent="0.35">
      <c r="A1863">
        <v>11862</v>
      </c>
      <c r="B1863">
        <v>22</v>
      </c>
      <c r="C1863" t="s">
        <v>9</v>
      </c>
      <c r="D1863" t="s">
        <v>11</v>
      </c>
      <c r="E1863" s="2">
        <v>45580</v>
      </c>
      <c r="F1863" s="2">
        <v>46015</v>
      </c>
      <c r="G1863">
        <v>1200</v>
      </c>
      <c r="H1863" t="s">
        <v>14</v>
      </c>
      <c r="I1863" t="s">
        <v>16</v>
      </c>
      <c r="J1863">
        <f t="shared" si="117"/>
        <v>1200</v>
      </c>
      <c r="K1863" t="str">
        <f t="shared" si="116"/>
        <v>18-24</v>
      </c>
      <c r="L1863" t="str">
        <f t="shared" ca="1" si="118"/>
        <v>Safe</v>
      </c>
      <c r="M1863" t="str">
        <f t="shared" si="119"/>
        <v>Oct-2024</v>
      </c>
    </row>
    <row r="1864" spans="1:13" x14ac:dyDescent="0.35">
      <c r="A1864">
        <v>11863</v>
      </c>
      <c r="B1864">
        <v>42</v>
      </c>
      <c r="C1864" t="s">
        <v>9</v>
      </c>
      <c r="D1864" t="s">
        <v>12</v>
      </c>
      <c r="E1864" s="2">
        <v>45463</v>
      </c>
      <c r="F1864" s="2">
        <v>46019</v>
      </c>
      <c r="G1864">
        <v>1300</v>
      </c>
      <c r="H1864" t="s">
        <v>15</v>
      </c>
      <c r="I1864" t="s">
        <v>16</v>
      </c>
      <c r="J1864">
        <f t="shared" si="117"/>
        <v>15600</v>
      </c>
      <c r="K1864" t="str">
        <f t="shared" si="116"/>
        <v>35+</v>
      </c>
      <c r="L1864" t="str">
        <f t="shared" ca="1" si="118"/>
        <v>Safe</v>
      </c>
      <c r="M1864" t="str">
        <f t="shared" si="119"/>
        <v>Jun-2024</v>
      </c>
    </row>
    <row r="1865" spans="1:13" x14ac:dyDescent="0.35">
      <c r="A1865">
        <v>11864</v>
      </c>
      <c r="B1865">
        <v>33</v>
      </c>
      <c r="C1865" t="s">
        <v>9</v>
      </c>
      <c r="D1865" t="s">
        <v>13</v>
      </c>
      <c r="E1865" s="2">
        <v>45598</v>
      </c>
      <c r="F1865" s="2">
        <v>46016</v>
      </c>
      <c r="G1865">
        <v>1500</v>
      </c>
      <c r="H1865" t="s">
        <v>15</v>
      </c>
      <c r="I1865" t="s">
        <v>16</v>
      </c>
      <c r="J1865">
        <f t="shared" si="117"/>
        <v>4500</v>
      </c>
      <c r="K1865" t="str">
        <f t="shared" si="116"/>
        <v>25-34</v>
      </c>
      <c r="L1865" t="str">
        <f t="shared" ca="1" si="118"/>
        <v>Safe</v>
      </c>
      <c r="M1865" t="str">
        <f t="shared" si="119"/>
        <v>Nov-2024</v>
      </c>
    </row>
    <row r="1866" spans="1:13" x14ac:dyDescent="0.35">
      <c r="A1866">
        <v>11865</v>
      </c>
      <c r="B1866">
        <v>18</v>
      </c>
      <c r="C1866" t="s">
        <v>9</v>
      </c>
      <c r="D1866" t="s">
        <v>12</v>
      </c>
      <c r="E1866" s="2">
        <v>45387</v>
      </c>
      <c r="F1866" s="2">
        <v>46023</v>
      </c>
      <c r="G1866">
        <v>1300</v>
      </c>
      <c r="H1866" t="s">
        <v>15</v>
      </c>
      <c r="I1866" t="s">
        <v>16</v>
      </c>
      <c r="J1866">
        <f t="shared" si="117"/>
        <v>15600</v>
      </c>
      <c r="K1866" t="str">
        <f t="shared" si="116"/>
        <v>18-24</v>
      </c>
      <c r="L1866" t="str">
        <f t="shared" ca="1" si="118"/>
        <v>Safe</v>
      </c>
      <c r="M1866" t="str">
        <f t="shared" si="119"/>
        <v>Apr-2024</v>
      </c>
    </row>
    <row r="1867" spans="1:13" x14ac:dyDescent="0.35">
      <c r="A1867">
        <v>11866</v>
      </c>
      <c r="B1867">
        <v>38</v>
      </c>
      <c r="C1867" t="s">
        <v>9</v>
      </c>
      <c r="D1867" t="s">
        <v>11</v>
      </c>
      <c r="E1867" s="2">
        <v>45331</v>
      </c>
      <c r="F1867" s="2">
        <v>46030</v>
      </c>
      <c r="G1867">
        <v>1200</v>
      </c>
      <c r="H1867" t="s">
        <v>14</v>
      </c>
      <c r="I1867" t="s">
        <v>16</v>
      </c>
      <c r="J1867">
        <f t="shared" si="117"/>
        <v>1200</v>
      </c>
      <c r="K1867" t="str">
        <f t="shared" si="116"/>
        <v>35+</v>
      </c>
      <c r="L1867" t="str">
        <f t="shared" ca="1" si="118"/>
        <v>Safe</v>
      </c>
      <c r="M1867" t="str">
        <f t="shared" si="119"/>
        <v>Feb-2024</v>
      </c>
    </row>
    <row r="1868" spans="1:13" x14ac:dyDescent="0.35">
      <c r="A1868">
        <v>11867</v>
      </c>
      <c r="B1868">
        <v>31</v>
      </c>
      <c r="C1868" t="s">
        <v>9</v>
      </c>
      <c r="D1868" t="s">
        <v>11</v>
      </c>
      <c r="E1868" s="2">
        <v>45454</v>
      </c>
      <c r="F1868" s="2">
        <v>46010</v>
      </c>
      <c r="G1868">
        <v>1200</v>
      </c>
      <c r="H1868" t="s">
        <v>14</v>
      </c>
      <c r="I1868" t="s">
        <v>16</v>
      </c>
      <c r="J1868">
        <f t="shared" si="117"/>
        <v>1200</v>
      </c>
      <c r="K1868" t="str">
        <f t="shared" si="116"/>
        <v>25-34</v>
      </c>
      <c r="L1868" t="str">
        <f t="shared" ca="1" si="118"/>
        <v>Safe</v>
      </c>
      <c r="M1868" t="str">
        <f t="shared" si="119"/>
        <v>Jun-2024</v>
      </c>
    </row>
    <row r="1869" spans="1:13" x14ac:dyDescent="0.35">
      <c r="A1869">
        <v>11868</v>
      </c>
      <c r="B1869">
        <v>32</v>
      </c>
      <c r="C1869" t="s">
        <v>10</v>
      </c>
      <c r="D1869" t="s">
        <v>11</v>
      </c>
      <c r="E1869" s="2">
        <v>45595</v>
      </c>
      <c r="F1869" s="2">
        <v>46012</v>
      </c>
      <c r="G1869">
        <v>1700</v>
      </c>
      <c r="H1869" t="s">
        <v>15</v>
      </c>
      <c r="I1869" t="s">
        <v>16</v>
      </c>
      <c r="J1869">
        <f t="shared" si="117"/>
        <v>1700</v>
      </c>
      <c r="K1869" t="str">
        <f t="shared" si="116"/>
        <v>25-34</v>
      </c>
      <c r="L1869" t="str">
        <f t="shared" ca="1" si="118"/>
        <v>Safe</v>
      </c>
      <c r="M1869" t="str">
        <f t="shared" si="119"/>
        <v>Oct-2024</v>
      </c>
    </row>
    <row r="1870" spans="1:13" x14ac:dyDescent="0.35">
      <c r="A1870">
        <v>11869</v>
      </c>
      <c r="B1870">
        <v>26</v>
      </c>
      <c r="C1870" t="s">
        <v>9</v>
      </c>
      <c r="D1870" t="s">
        <v>13</v>
      </c>
      <c r="E1870" s="2">
        <v>45727</v>
      </c>
      <c r="F1870" s="2">
        <v>46018</v>
      </c>
      <c r="G1870">
        <v>1500</v>
      </c>
      <c r="H1870" t="s">
        <v>15</v>
      </c>
      <c r="I1870" t="s">
        <v>16</v>
      </c>
      <c r="J1870">
        <f t="shared" si="117"/>
        <v>4500</v>
      </c>
      <c r="K1870" t="str">
        <f t="shared" si="116"/>
        <v>25-34</v>
      </c>
      <c r="L1870" t="str">
        <f t="shared" ca="1" si="118"/>
        <v>Safe</v>
      </c>
      <c r="M1870" t="str">
        <f t="shared" si="119"/>
        <v>Mar-2025</v>
      </c>
    </row>
    <row r="1871" spans="1:13" x14ac:dyDescent="0.35">
      <c r="A1871">
        <v>11870</v>
      </c>
      <c r="B1871">
        <v>32</v>
      </c>
      <c r="C1871" t="s">
        <v>10</v>
      </c>
      <c r="D1871" t="s">
        <v>13</v>
      </c>
      <c r="E1871" s="2">
        <v>45153</v>
      </c>
      <c r="F1871" s="2">
        <v>46022</v>
      </c>
      <c r="G1871">
        <v>1000</v>
      </c>
      <c r="H1871" t="s">
        <v>14</v>
      </c>
      <c r="I1871" t="s">
        <v>16</v>
      </c>
      <c r="J1871">
        <f t="shared" si="117"/>
        <v>3000</v>
      </c>
      <c r="K1871" t="str">
        <f t="shared" si="116"/>
        <v>25-34</v>
      </c>
      <c r="L1871" t="str">
        <f t="shared" ca="1" si="118"/>
        <v>Safe</v>
      </c>
      <c r="M1871" t="str">
        <f t="shared" si="119"/>
        <v>Aug-2023</v>
      </c>
    </row>
    <row r="1872" spans="1:13" x14ac:dyDescent="0.35">
      <c r="A1872">
        <v>11871</v>
      </c>
      <c r="B1872">
        <v>34</v>
      </c>
      <c r="C1872" t="s">
        <v>9</v>
      </c>
      <c r="D1872" t="s">
        <v>12</v>
      </c>
      <c r="E1872" s="2">
        <v>45371</v>
      </c>
      <c r="F1872" s="2">
        <v>46019</v>
      </c>
      <c r="G1872">
        <v>1300</v>
      </c>
      <c r="H1872" t="s">
        <v>15</v>
      </c>
      <c r="I1872" t="s">
        <v>16</v>
      </c>
      <c r="J1872">
        <f t="shared" si="117"/>
        <v>15600</v>
      </c>
      <c r="K1872" t="str">
        <f t="shared" si="116"/>
        <v>25-34</v>
      </c>
      <c r="L1872" t="str">
        <f t="shared" ca="1" si="118"/>
        <v>Safe</v>
      </c>
      <c r="M1872" t="str">
        <f t="shared" si="119"/>
        <v>Mar-2024</v>
      </c>
    </row>
    <row r="1873" spans="1:13" x14ac:dyDescent="0.35">
      <c r="A1873">
        <v>11872</v>
      </c>
      <c r="B1873">
        <v>42</v>
      </c>
      <c r="C1873" t="s">
        <v>9</v>
      </c>
      <c r="D1873" t="s">
        <v>13</v>
      </c>
      <c r="E1873" s="2">
        <v>45729</v>
      </c>
      <c r="F1873" s="2">
        <v>46017</v>
      </c>
      <c r="G1873">
        <v>1000</v>
      </c>
      <c r="H1873" t="s">
        <v>14</v>
      </c>
      <c r="I1873" t="s">
        <v>16</v>
      </c>
      <c r="J1873">
        <f t="shared" si="117"/>
        <v>3000</v>
      </c>
      <c r="K1873" t="str">
        <f t="shared" si="116"/>
        <v>35+</v>
      </c>
      <c r="L1873" t="str">
        <f t="shared" ca="1" si="118"/>
        <v>Safe</v>
      </c>
      <c r="M1873" t="str">
        <f t="shared" si="119"/>
        <v>Mar-2025</v>
      </c>
    </row>
    <row r="1874" spans="1:13" x14ac:dyDescent="0.35">
      <c r="A1874">
        <v>11873</v>
      </c>
      <c r="B1874">
        <v>41</v>
      </c>
      <c r="C1874" t="s">
        <v>9</v>
      </c>
      <c r="D1874" t="s">
        <v>12</v>
      </c>
      <c r="E1874" s="2">
        <v>45293</v>
      </c>
      <c r="F1874" s="2">
        <v>46028</v>
      </c>
      <c r="G1874">
        <v>1300</v>
      </c>
      <c r="H1874" t="s">
        <v>15</v>
      </c>
      <c r="I1874" t="s">
        <v>16</v>
      </c>
      <c r="J1874">
        <f t="shared" si="117"/>
        <v>15600</v>
      </c>
      <c r="K1874" t="str">
        <f t="shared" si="116"/>
        <v>35+</v>
      </c>
      <c r="L1874" t="str">
        <f t="shared" ca="1" si="118"/>
        <v>Safe</v>
      </c>
      <c r="M1874" t="str">
        <f t="shared" si="119"/>
        <v>Jan-2024</v>
      </c>
    </row>
    <row r="1875" spans="1:13" x14ac:dyDescent="0.35">
      <c r="A1875">
        <v>11874</v>
      </c>
      <c r="B1875">
        <v>21</v>
      </c>
      <c r="C1875" t="s">
        <v>9</v>
      </c>
      <c r="D1875" t="s">
        <v>13</v>
      </c>
      <c r="E1875" s="2">
        <v>45679</v>
      </c>
      <c r="F1875" s="2">
        <v>46024</v>
      </c>
      <c r="G1875">
        <v>1000</v>
      </c>
      <c r="H1875" t="s">
        <v>14</v>
      </c>
      <c r="I1875" t="s">
        <v>16</v>
      </c>
      <c r="J1875">
        <f t="shared" si="117"/>
        <v>3000</v>
      </c>
      <c r="K1875" t="str">
        <f t="shared" si="116"/>
        <v>18-24</v>
      </c>
      <c r="L1875" t="str">
        <f t="shared" ca="1" si="118"/>
        <v>Safe</v>
      </c>
      <c r="M1875" t="str">
        <f t="shared" si="119"/>
        <v>Jan-2025</v>
      </c>
    </row>
    <row r="1876" spans="1:13" x14ac:dyDescent="0.35">
      <c r="A1876">
        <v>11875</v>
      </c>
      <c r="B1876">
        <v>29</v>
      </c>
      <c r="C1876" t="s">
        <v>9</v>
      </c>
      <c r="D1876" t="s">
        <v>11</v>
      </c>
      <c r="E1876" s="2">
        <v>45330</v>
      </c>
      <c r="F1876" s="2">
        <v>46019</v>
      </c>
      <c r="G1876">
        <v>1700</v>
      </c>
      <c r="H1876" t="s">
        <v>15</v>
      </c>
      <c r="I1876" t="s">
        <v>16</v>
      </c>
      <c r="J1876">
        <f t="shared" si="117"/>
        <v>1700</v>
      </c>
      <c r="K1876" t="str">
        <f t="shared" si="116"/>
        <v>25-34</v>
      </c>
      <c r="L1876" t="str">
        <f t="shared" ca="1" si="118"/>
        <v>Safe</v>
      </c>
      <c r="M1876" t="str">
        <f t="shared" si="119"/>
        <v>Feb-2024</v>
      </c>
    </row>
    <row r="1877" spans="1:13" x14ac:dyDescent="0.35">
      <c r="A1877">
        <v>11876</v>
      </c>
      <c r="B1877">
        <v>44</v>
      </c>
      <c r="C1877" t="s">
        <v>9</v>
      </c>
      <c r="D1877" t="s">
        <v>11</v>
      </c>
      <c r="E1877" s="2">
        <v>45909</v>
      </c>
      <c r="F1877" s="2">
        <v>46015</v>
      </c>
      <c r="G1877">
        <v>1200</v>
      </c>
      <c r="H1877" t="s">
        <v>14</v>
      </c>
      <c r="I1877" t="s">
        <v>16</v>
      </c>
      <c r="J1877">
        <f t="shared" si="117"/>
        <v>1200</v>
      </c>
      <c r="K1877" t="str">
        <f t="shared" si="116"/>
        <v>35+</v>
      </c>
      <c r="L1877" t="str">
        <f t="shared" ca="1" si="118"/>
        <v>Safe</v>
      </c>
      <c r="M1877" t="str">
        <f t="shared" si="119"/>
        <v>Sep-2025</v>
      </c>
    </row>
    <row r="1878" spans="1:13" x14ac:dyDescent="0.35">
      <c r="A1878">
        <v>11877</v>
      </c>
      <c r="B1878">
        <v>43</v>
      </c>
      <c r="C1878" t="s">
        <v>9</v>
      </c>
      <c r="D1878" t="s">
        <v>13</v>
      </c>
      <c r="E1878" s="2">
        <v>45176</v>
      </c>
      <c r="F1878" s="2">
        <v>45926</v>
      </c>
      <c r="G1878">
        <v>1000</v>
      </c>
      <c r="H1878" t="s">
        <v>14</v>
      </c>
      <c r="I1878" t="s">
        <v>17</v>
      </c>
      <c r="J1878">
        <f t="shared" si="117"/>
        <v>3000</v>
      </c>
      <c r="K1878" t="str">
        <f t="shared" si="116"/>
        <v>35+</v>
      </c>
      <c r="L1878" t="str">
        <f t="shared" ca="1" si="118"/>
        <v>High Risk</v>
      </c>
      <c r="M1878" t="str">
        <f t="shared" si="119"/>
        <v>Sep-2023</v>
      </c>
    </row>
    <row r="1879" spans="1:13" x14ac:dyDescent="0.35">
      <c r="A1879">
        <v>11878</v>
      </c>
      <c r="B1879">
        <v>22</v>
      </c>
      <c r="C1879" t="s">
        <v>9</v>
      </c>
      <c r="D1879" t="s">
        <v>11</v>
      </c>
      <c r="E1879" s="2">
        <v>45776</v>
      </c>
      <c r="F1879" s="2">
        <v>46023</v>
      </c>
      <c r="G1879">
        <v>1200</v>
      </c>
      <c r="H1879" t="s">
        <v>14</v>
      </c>
      <c r="I1879" t="s">
        <v>16</v>
      </c>
      <c r="J1879">
        <f t="shared" si="117"/>
        <v>1200</v>
      </c>
      <c r="K1879" t="str">
        <f t="shared" si="116"/>
        <v>18-24</v>
      </c>
      <c r="L1879" t="str">
        <f t="shared" ca="1" si="118"/>
        <v>Safe</v>
      </c>
      <c r="M1879" t="str">
        <f t="shared" si="119"/>
        <v>Apr-2025</v>
      </c>
    </row>
    <row r="1880" spans="1:13" x14ac:dyDescent="0.35">
      <c r="A1880">
        <v>11879</v>
      </c>
      <c r="B1880">
        <v>22</v>
      </c>
      <c r="C1880" t="s">
        <v>9</v>
      </c>
      <c r="D1880" t="s">
        <v>11</v>
      </c>
      <c r="E1880" s="2">
        <v>45532</v>
      </c>
      <c r="F1880" s="2">
        <v>46009</v>
      </c>
      <c r="G1880">
        <v>1700</v>
      </c>
      <c r="H1880" t="s">
        <v>15</v>
      </c>
      <c r="I1880" t="s">
        <v>16</v>
      </c>
      <c r="J1880">
        <f t="shared" si="117"/>
        <v>1700</v>
      </c>
      <c r="K1880" t="str">
        <f t="shared" si="116"/>
        <v>18-24</v>
      </c>
      <c r="L1880" t="str">
        <f t="shared" ca="1" si="118"/>
        <v>Safe</v>
      </c>
      <c r="M1880" t="str">
        <f t="shared" si="119"/>
        <v>Aug-2024</v>
      </c>
    </row>
    <row r="1881" spans="1:13" x14ac:dyDescent="0.35">
      <c r="A1881">
        <v>11880</v>
      </c>
      <c r="B1881">
        <v>28</v>
      </c>
      <c r="C1881" t="s">
        <v>10</v>
      </c>
      <c r="D1881" t="s">
        <v>13</v>
      </c>
      <c r="E1881" s="2">
        <v>45951</v>
      </c>
      <c r="F1881" s="2">
        <v>46010</v>
      </c>
      <c r="G1881">
        <v>1000</v>
      </c>
      <c r="H1881" t="s">
        <v>14</v>
      </c>
      <c r="I1881" t="s">
        <v>16</v>
      </c>
      <c r="J1881">
        <f t="shared" si="117"/>
        <v>3000</v>
      </c>
      <c r="K1881" t="str">
        <f t="shared" si="116"/>
        <v>25-34</v>
      </c>
      <c r="L1881" t="str">
        <f t="shared" ca="1" si="118"/>
        <v>Safe</v>
      </c>
      <c r="M1881" t="str">
        <f t="shared" si="119"/>
        <v>Oct-2025</v>
      </c>
    </row>
    <row r="1882" spans="1:13" x14ac:dyDescent="0.35">
      <c r="A1882">
        <v>11881</v>
      </c>
      <c r="B1882">
        <v>45</v>
      </c>
      <c r="C1882" t="s">
        <v>10</v>
      </c>
      <c r="D1882" t="s">
        <v>12</v>
      </c>
      <c r="E1882" s="2">
        <v>45331</v>
      </c>
      <c r="F1882" s="2">
        <v>46029</v>
      </c>
      <c r="G1882">
        <v>800</v>
      </c>
      <c r="H1882" t="s">
        <v>14</v>
      </c>
      <c r="I1882" t="s">
        <v>16</v>
      </c>
      <c r="J1882">
        <f t="shared" si="117"/>
        <v>9600</v>
      </c>
      <c r="K1882" t="str">
        <f t="shared" si="116"/>
        <v>35+</v>
      </c>
      <c r="L1882" t="str">
        <f t="shared" ca="1" si="118"/>
        <v>Safe</v>
      </c>
      <c r="M1882" t="str">
        <f t="shared" si="119"/>
        <v>Feb-2024</v>
      </c>
    </row>
    <row r="1883" spans="1:13" x14ac:dyDescent="0.35">
      <c r="A1883">
        <v>11882</v>
      </c>
      <c r="B1883">
        <v>23</v>
      </c>
      <c r="C1883" t="s">
        <v>10</v>
      </c>
      <c r="D1883" t="s">
        <v>11</v>
      </c>
      <c r="E1883" s="2">
        <v>45258</v>
      </c>
      <c r="F1883" s="2">
        <v>45975</v>
      </c>
      <c r="G1883">
        <v>1700</v>
      </c>
      <c r="H1883" t="s">
        <v>15</v>
      </c>
      <c r="I1883" t="s">
        <v>17</v>
      </c>
      <c r="J1883">
        <f t="shared" si="117"/>
        <v>1700</v>
      </c>
      <c r="K1883" t="str">
        <f t="shared" si="116"/>
        <v>18-24</v>
      </c>
      <c r="L1883" t="str">
        <f t="shared" ca="1" si="118"/>
        <v>High Risk</v>
      </c>
      <c r="M1883" t="str">
        <f t="shared" si="119"/>
        <v>Nov-2023</v>
      </c>
    </row>
    <row r="1884" spans="1:13" x14ac:dyDescent="0.35">
      <c r="A1884">
        <v>11883</v>
      </c>
      <c r="B1884">
        <v>24</v>
      </c>
      <c r="C1884" t="s">
        <v>9</v>
      </c>
      <c r="D1884" t="s">
        <v>12</v>
      </c>
      <c r="E1884" s="2">
        <v>45801</v>
      </c>
      <c r="F1884" s="2">
        <v>46032</v>
      </c>
      <c r="G1884">
        <v>1300</v>
      </c>
      <c r="H1884" t="s">
        <v>15</v>
      </c>
      <c r="I1884" t="s">
        <v>16</v>
      </c>
      <c r="J1884">
        <f t="shared" si="117"/>
        <v>15600</v>
      </c>
      <c r="K1884" t="str">
        <f t="shared" si="116"/>
        <v>18-24</v>
      </c>
      <c r="L1884" t="str">
        <f t="shared" ca="1" si="118"/>
        <v>Safe</v>
      </c>
      <c r="M1884" t="str">
        <f t="shared" si="119"/>
        <v>May-2025</v>
      </c>
    </row>
    <row r="1885" spans="1:13" x14ac:dyDescent="0.35">
      <c r="A1885">
        <v>11884</v>
      </c>
      <c r="B1885">
        <v>41</v>
      </c>
      <c r="C1885" t="s">
        <v>10</v>
      </c>
      <c r="D1885" t="s">
        <v>12</v>
      </c>
      <c r="E1885" s="2">
        <v>45207</v>
      </c>
      <c r="F1885" s="2">
        <v>46028</v>
      </c>
      <c r="G1885">
        <v>800</v>
      </c>
      <c r="H1885" t="s">
        <v>14</v>
      </c>
      <c r="I1885" t="s">
        <v>16</v>
      </c>
      <c r="J1885">
        <f t="shared" si="117"/>
        <v>9600</v>
      </c>
      <c r="K1885" t="str">
        <f t="shared" si="116"/>
        <v>35+</v>
      </c>
      <c r="L1885" t="str">
        <f t="shared" ca="1" si="118"/>
        <v>Safe</v>
      </c>
      <c r="M1885" t="str">
        <f t="shared" si="119"/>
        <v>Oct-2023</v>
      </c>
    </row>
    <row r="1886" spans="1:13" x14ac:dyDescent="0.35">
      <c r="A1886">
        <v>11885</v>
      </c>
      <c r="B1886">
        <v>31</v>
      </c>
      <c r="C1886" t="s">
        <v>10</v>
      </c>
      <c r="D1886" t="s">
        <v>13</v>
      </c>
      <c r="E1886" s="2">
        <v>45786</v>
      </c>
      <c r="F1886" s="2">
        <v>46022</v>
      </c>
      <c r="G1886">
        <v>1500</v>
      </c>
      <c r="H1886" t="s">
        <v>15</v>
      </c>
      <c r="I1886" t="s">
        <v>16</v>
      </c>
      <c r="J1886">
        <f t="shared" si="117"/>
        <v>4500</v>
      </c>
      <c r="K1886" t="str">
        <f t="shared" si="116"/>
        <v>25-34</v>
      </c>
      <c r="L1886" t="str">
        <f t="shared" ca="1" si="118"/>
        <v>Safe</v>
      </c>
      <c r="M1886" t="str">
        <f t="shared" si="119"/>
        <v>May-2025</v>
      </c>
    </row>
    <row r="1887" spans="1:13" x14ac:dyDescent="0.35">
      <c r="A1887">
        <v>11886</v>
      </c>
      <c r="B1887">
        <v>41</v>
      </c>
      <c r="C1887" t="s">
        <v>9</v>
      </c>
      <c r="D1887" t="s">
        <v>11</v>
      </c>
      <c r="E1887" s="2">
        <v>45210</v>
      </c>
      <c r="F1887" s="2">
        <v>46014</v>
      </c>
      <c r="G1887">
        <v>1200</v>
      </c>
      <c r="H1887" t="s">
        <v>14</v>
      </c>
      <c r="I1887" t="s">
        <v>16</v>
      </c>
      <c r="J1887">
        <f t="shared" si="117"/>
        <v>1200</v>
      </c>
      <c r="K1887" t="str">
        <f t="shared" si="116"/>
        <v>35+</v>
      </c>
      <c r="L1887" t="str">
        <f t="shared" ca="1" si="118"/>
        <v>Safe</v>
      </c>
      <c r="M1887" t="str">
        <f t="shared" si="119"/>
        <v>Oct-2023</v>
      </c>
    </row>
    <row r="1888" spans="1:13" x14ac:dyDescent="0.35">
      <c r="A1888">
        <v>11887</v>
      </c>
      <c r="B1888">
        <v>28</v>
      </c>
      <c r="C1888" t="s">
        <v>10</v>
      </c>
      <c r="D1888" t="s">
        <v>11</v>
      </c>
      <c r="E1888" s="2">
        <v>45862</v>
      </c>
      <c r="F1888" s="2">
        <v>46019</v>
      </c>
      <c r="G1888">
        <v>1200</v>
      </c>
      <c r="H1888" t="s">
        <v>14</v>
      </c>
      <c r="I1888" t="s">
        <v>16</v>
      </c>
      <c r="J1888">
        <f t="shared" si="117"/>
        <v>1200</v>
      </c>
      <c r="K1888" t="str">
        <f t="shared" si="116"/>
        <v>25-34</v>
      </c>
      <c r="L1888" t="str">
        <f t="shared" ca="1" si="118"/>
        <v>Safe</v>
      </c>
      <c r="M1888" t="str">
        <f t="shared" si="119"/>
        <v>Jul-2025</v>
      </c>
    </row>
    <row r="1889" spans="1:13" x14ac:dyDescent="0.35">
      <c r="A1889">
        <v>11888</v>
      </c>
      <c r="B1889">
        <v>30</v>
      </c>
      <c r="C1889" t="s">
        <v>9</v>
      </c>
      <c r="D1889" t="s">
        <v>13</v>
      </c>
      <c r="E1889" s="2">
        <v>45159</v>
      </c>
      <c r="F1889" s="2">
        <v>45999</v>
      </c>
      <c r="G1889">
        <v>1000</v>
      </c>
      <c r="H1889" t="s">
        <v>14</v>
      </c>
      <c r="I1889" t="s">
        <v>17</v>
      </c>
      <c r="J1889">
        <f t="shared" si="117"/>
        <v>3000</v>
      </c>
      <c r="K1889" t="str">
        <f t="shared" si="116"/>
        <v>25-34</v>
      </c>
      <c r="L1889" t="str">
        <f t="shared" ca="1" si="118"/>
        <v>High Risk</v>
      </c>
      <c r="M1889" t="str">
        <f t="shared" si="119"/>
        <v>Aug-2023</v>
      </c>
    </row>
    <row r="1890" spans="1:13" x14ac:dyDescent="0.35">
      <c r="A1890">
        <v>11889</v>
      </c>
      <c r="B1890">
        <v>19</v>
      </c>
      <c r="C1890" t="s">
        <v>10</v>
      </c>
      <c r="D1890" t="s">
        <v>13</v>
      </c>
      <c r="E1890" s="2">
        <v>45548</v>
      </c>
      <c r="F1890" s="2">
        <v>45937</v>
      </c>
      <c r="G1890">
        <v>1000</v>
      </c>
      <c r="H1890" t="s">
        <v>14</v>
      </c>
      <c r="I1890" t="s">
        <v>17</v>
      </c>
      <c r="J1890">
        <f t="shared" si="117"/>
        <v>3000</v>
      </c>
      <c r="K1890" t="str">
        <f t="shared" si="116"/>
        <v>18-24</v>
      </c>
      <c r="L1890" t="str">
        <f t="shared" ca="1" si="118"/>
        <v>High Risk</v>
      </c>
      <c r="M1890" t="str">
        <f t="shared" si="119"/>
        <v>Sep-2024</v>
      </c>
    </row>
    <row r="1891" spans="1:13" x14ac:dyDescent="0.35">
      <c r="A1891">
        <v>11890</v>
      </c>
      <c r="B1891">
        <v>42</v>
      </c>
      <c r="C1891" t="s">
        <v>10</v>
      </c>
      <c r="D1891" t="s">
        <v>12</v>
      </c>
      <c r="E1891" s="2">
        <v>45199</v>
      </c>
      <c r="F1891" s="2">
        <v>46025</v>
      </c>
      <c r="G1891">
        <v>800</v>
      </c>
      <c r="H1891" t="s">
        <v>14</v>
      </c>
      <c r="I1891" t="s">
        <v>16</v>
      </c>
      <c r="J1891">
        <f t="shared" si="117"/>
        <v>9600</v>
      </c>
      <c r="K1891" t="str">
        <f t="shared" si="116"/>
        <v>35+</v>
      </c>
      <c r="L1891" t="str">
        <f t="shared" ca="1" si="118"/>
        <v>Safe</v>
      </c>
      <c r="M1891" t="str">
        <f t="shared" si="119"/>
        <v>Sep-2023</v>
      </c>
    </row>
    <row r="1892" spans="1:13" x14ac:dyDescent="0.35">
      <c r="A1892">
        <v>11891</v>
      </c>
      <c r="B1892">
        <v>24</v>
      </c>
      <c r="C1892" t="s">
        <v>9</v>
      </c>
      <c r="D1892" t="s">
        <v>13</v>
      </c>
      <c r="E1892" s="2">
        <v>45918</v>
      </c>
      <c r="F1892" s="2">
        <v>46013</v>
      </c>
      <c r="G1892">
        <v>1500</v>
      </c>
      <c r="H1892" t="s">
        <v>15</v>
      </c>
      <c r="I1892" t="s">
        <v>16</v>
      </c>
      <c r="J1892">
        <f t="shared" si="117"/>
        <v>4500</v>
      </c>
      <c r="K1892" t="str">
        <f t="shared" si="116"/>
        <v>18-24</v>
      </c>
      <c r="L1892" t="str">
        <f t="shared" ca="1" si="118"/>
        <v>Safe</v>
      </c>
      <c r="M1892" t="str">
        <f t="shared" si="119"/>
        <v>Sep-2025</v>
      </c>
    </row>
    <row r="1893" spans="1:13" x14ac:dyDescent="0.35">
      <c r="A1893">
        <v>11892</v>
      </c>
      <c r="B1893">
        <v>37</v>
      </c>
      <c r="C1893" t="s">
        <v>9</v>
      </c>
      <c r="D1893" t="s">
        <v>11</v>
      </c>
      <c r="E1893" s="2">
        <v>45339</v>
      </c>
      <c r="F1893" s="2">
        <v>46027</v>
      </c>
      <c r="G1893">
        <v>1200</v>
      </c>
      <c r="H1893" t="s">
        <v>14</v>
      </c>
      <c r="I1893" t="s">
        <v>16</v>
      </c>
      <c r="J1893">
        <f t="shared" si="117"/>
        <v>1200</v>
      </c>
      <c r="K1893" t="str">
        <f t="shared" si="116"/>
        <v>35+</v>
      </c>
      <c r="L1893" t="str">
        <f t="shared" ca="1" si="118"/>
        <v>Safe</v>
      </c>
      <c r="M1893" t="str">
        <f t="shared" si="119"/>
        <v>Feb-2024</v>
      </c>
    </row>
    <row r="1894" spans="1:13" x14ac:dyDescent="0.35">
      <c r="A1894">
        <v>11893</v>
      </c>
      <c r="B1894">
        <v>21</v>
      </c>
      <c r="C1894" t="s">
        <v>10</v>
      </c>
      <c r="D1894" t="s">
        <v>11</v>
      </c>
      <c r="E1894" s="2">
        <v>45673</v>
      </c>
      <c r="F1894" s="2">
        <v>46015</v>
      </c>
      <c r="G1894">
        <v>1700</v>
      </c>
      <c r="H1894" t="s">
        <v>15</v>
      </c>
      <c r="I1894" t="s">
        <v>16</v>
      </c>
      <c r="J1894">
        <f t="shared" si="117"/>
        <v>1700</v>
      </c>
      <c r="K1894" t="str">
        <f t="shared" si="116"/>
        <v>18-24</v>
      </c>
      <c r="L1894" t="str">
        <f t="shared" ca="1" si="118"/>
        <v>Safe</v>
      </c>
      <c r="M1894" t="str">
        <f t="shared" si="119"/>
        <v>Jan-2025</v>
      </c>
    </row>
    <row r="1895" spans="1:13" x14ac:dyDescent="0.35">
      <c r="A1895">
        <v>11894</v>
      </c>
      <c r="B1895">
        <v>44</v>
      </c>
      <c r="C1895" t="s">
        <v>9</v>
      </c>
      <c r="D1895" t="s">
        <v>13</v>
      </c>
      <c r="E1895" s="2">
        <v>45977</v>
      </c>
      <c r="F1895" s="2">
        <v>46029</v>
      </c>
      <c r="G1895">
        <v>1000</v>
      </c>
      <c r="H1895" t="s">
        <v>14</v>
      </c>
      <c r="I1895" t="s">
        <v>16</v>
      </c>
      <c r="J1895">
        <f t="shared" si="117"/>
        <v>3000</v>
      </c>
      <c r="K1895" t="str">
        <f t="shared" si="116"/>
        <v>35+</v>
      </c>
      <c r="L1895" t="str">
        <f t="shared" ca="1" si="118"/>
        <v>Safe</v>
      </c>
      <c r="M1895" t="str">
        <f t="shared" si="119"/>
        <v>Nov-2025</v>
      </c>
    </row>
    <row r="1896" spans="1:13" x14ac:dyDescent="0.35">
      <c r="A1896">
        <v>11895</v>
      </c>
      <c r="B1896">
        <v>25</v>
      </c>
      <c r="C1896" t="s">
        <v>9</v>
      </c>
      <c r="D1896" t="s">
        <v>11</v>
      </c>
      <c r="E1896" s="2">
        <v>45701</v>
      </c>
      <c r="F1896" s="2">
        <v>46014</v>
      </c>
      <c r="G1896">
        <v>1200</v>
      </c>
      <c r="H1896" t="s">
        <v>14</v>
      </c>
      <c r="I1896" t="s">
        <v>16</v>
      </c>
      <c r="J1896">
        <f t="shared" si="117"/>
        <v>1200</v>
      </c>
      <c r="K1896" t="str">
        <f t="shared" si="116"/>
        <v>25-34</v>
      </c>
      <c r="L1896" t="str">
        <f t="shared" ca="1" si="118"/>
        <v>Safe</v>
      </c>
      <c r="M1896" t="str">
        <f t="shared" si="119"/>
        <v>Feb-2025</v>
      </c>
    </row>
    <row r="1897" spans="1:13" x14ac:dyDescent="0.35">
      <c r="A1897">
        <v>11896</v>
      </c>
      <c r="B1897">
        <v>37</v>
      </c>
      <c r="C1897" t="s">
        <v>10</v>
      </c>
      <c r="D1897" t="s">
        <v>11</v>
      </c>
      <c r="E1897" s="2">
        <v>45634</v>
      </c>
      <c r="F1897" s="2">
        <v>45983</v>
      </c>
      <c r="G1897">
        <v>1700</v>
      </c>
      <c r="H1897" t="s">
        <v>15</v>
      </c>
      <c r="I1897" t="s">
        <v>17</v>
      </c>
      <c r="J1897">
        <f t="shared" si="117"/>
        <v>1700</v>
      </c>
      <c r="K1897" t="str">
        <f t="shared" si="116"/>
        <v>35+</v>
      </c>
      <c r="L1897" t="str">
        <f t="shared" ca="1" si="118"/>
        <v>High Risk</v>
      </c>
      <c r="M1897" t="str">
        <f t="shared" si="119"/>
        <v>Dec-2024</v>
      </c>
    </row>
    <row r="1898" spans="1:13" x14ac:dyDescent="0.35">
      <c r="A1898">
        <v>11897</v>
      </c>
      <c r="B1898">
        <v>39</v>
      </c>
      <c r="C1898" t="s">
        <v>9</v>
      </c>
      <c r="D1898" t="s">
        <v>13</v>
      </c>
      <c r="E1898" s="2">
        <v>45779</v>
      </c>
      <c r="F1898" s="2">
        <v>46008</v>
      </c>
      <c r="G1898">
        <v>1000</v>
      </c>
      <c r="H1898" t="s">
        <v>14</v>
      </c>
      <c r="I1898" t="s">
        <v>16</v>
      </c>
      <c r="J1898">
        <f t="shared" si="117"/>
        <v>3000</v>
      </c>
      <c r="K1898" t="str">
        <f t="shared" si="116"/>
        <v>35+</v>
      </c>
      <c r="L1898" t="str">
        <f t="shared" ca="1" si="118"/>
        <v>Safe</v>
      </c>
      <c r="M1898" t="str">
        <f t="shared" si="119"/>
        <v>May-2025</v>
      </c>
    </row>
    <row r="1899" spans="1:13" x14ac:dyDescent="0.35">
      <c r="A1899">
        <v>11898</v>
      </c>
      <c r="B1899">
        <v>38</v>
      </c>
      <c r="C1899" t="s">
        <v>9</v>
      </c>
      <c r="D1899" t="s">
        <v>11</v>
      </c>
      <c r="E1899" s="2">
        <v>45647</v>
      </c>
      <c r="F1899" s="2">
        <v>45976</v>
      </c>
      <c r="G1899">
        <v>1700</v>
      </c>
      <c r="H1899" t="s">
        <v>15</v>
      </c>
      <c r="I1899" t="s">
        <v>17</v>
      </c>
      <c r="J1899">
        <f t="shared" si="117"/>
        <v>1700</v>
      </c>
      <c r="K1899" t="str">
        <f t="shared" si="116"/>
        <v>35+</v>
      </c>
      <c r="L1899" t="str">
        <f t="shared" ca="1" si="118"/>
        <v>High Risk</v>
      </c>
      <c r="M1899" t="str">
        <f t="shared" si="119"/>
        <v>Dec-2024</v>
      </c>
    </row>
    <row r="1900" spans="1:13" x14ac:dyDescent="0.35">
      <c r="A1900">
        <v>11899</v>
      </c>
      <c r="B1900">
        <v>36</v>
      </c>
      <c r="C1900" t="s">
        <v>9</v>
      </c>
      <c r="D1900" t="s">
        <v>11</v>
      </c>
      <c r="E1900" s="2">
        <v>45871</v>
      </c>
      <c r="F1900" s="2">
        <v>46011</v>
      </c>
      <c r="G1900">
        <v>1200</v>
      </c>
      <c r="H1900" t="s">
        <v>14</v>
      </c>
      <c r="I1900" t="s">
        <v>16</v>
      </c>
      <c r="J1900">
        <f t="shared" si="117"/>
        <v>1200</v>
      </c>
      <c r="K1900" t="str">
        <f t="shared" si="116"/>
        <v>35+</v>
      </c>
      <c r="L1900" t="str">
        <f t="shared" ca="1" si="118"/>
        <v>Safe</v>
      </c>
      <c r="M1900" t="str">
        <f t="shared" si="119"/>
        <v>Aug-2025</v>
      </c>
    </row>
    <row r="1901" spans="1:13" x14ac:dyDescent="0.35">
      <c r="A1901">
        <v>11900</v>
      </c>
      <c r="B1901">
        <v>30</v>
      </c>
      <c r="C1901" t="s">
        <v>9</v>
      </c>
      <c r="D1901" t="s">
        <v>11</v>
      </c>
      <c r="E1901" s="2">
        <v>45889</v>
      </c>
      <c r="F1901" s="2">
        <v>46002</v>
      </c>
      <c r="G1901">
        <v>1200</v>
      </c>
      <c r="H1901" t="s">
        <v>14</v>
      </c>
      <c r="I1901" t="s">
        <v>17</v>
      </c>
      <c r="J1901">
        <f t="shared" si="117"/>
        <v>1200</v>
      </c>
      <c r="K1901" t="str">
        <f t="shared" si="116"/>
        <v>25-34</v>
      </c>
      <c r="L1901" t="str">
        <f t="shared" ca="1" si="118"/>
        <v>High Risk</v>
      </c>
      <c r="M1901" t="str">
        <f t="shared" si="119"/>
        <v>Aug-2025</v>
      </c>
    </row>
    <row r="1902" spans="1:13" x14ac:dyDescent="0.35">
      <c r="A1902">
        <v>11901</v>
      </c>
      <c r="B1902">
        <v>31</v>
      </c>
      <c r="C1902" t="s">
        <v>9</v>
      </c>
      <c r="D1902" t="s">
        <v>11</v>
      </c>
      <c r="E1902" s="2">
        <v>45642</v>
      </c>
      <c r="F1902" s="2">
        <v>45915</v>
      </c>
      <c r="G1902">
        <v>1200</v>
      </c>
      <c r="H1902" t="s">
        <v>14</v>
      </c>
      <c r="I1902" t="s">
        <v>17</v>
      </c>
      <c r="J1902">
        <f t="shared" si="117"/>
        <v>1200</v>
      </c>
      <c r="K1902" t="str">
        <f t="shared" si="116"/>
        <v>25-34</v>
      </c>
      <c r="L1902" t="str">
        <f t="shared" ca="1" si="118"/>
        <v>High Risk</v>
      </c>
      <c r="M1902" t="str">
        <f t="shared" si="119"/>
        <v>Dec-2024</v>
      </c>
    </row>
    <row r="1903" spans="1:13" x14ac:dyDescent="0.35">
      <c r="A1903">
        <v>11902</v>
      </c>
      <c r="B1903">
        <v>27</v>
      </c>
      <c r="C1903" t="s">
        <v>9</v>
      </c>
      <c r="D1903" t="s">
        <v>11</v>
      </c>
      <c r="E1903" s="2">
        <v>45136</v>
      </c>
      <c r="F1903" s="2">
        <v>46015</v>
      </c>
      <c r="G1903">
        <v>1700</v>
      </c>
      <c r="H1903" t="s">
        <v>15</v>
      </c>
      <c r="I1903" t="s">
        <v>16</v>
      </c>
      <c r="J1903">
        <f t="shared" si="117"/>
        <v>1700</v>
      </c>
      <c r="K1903" t="str">
        <f t="shared" si="116"/>
        <v>25-34</v>
      </c>
      <c r="L1903" t="str">
        <f t="shared" ca="1" si="118"/>
        <v>Safe</v>
      </c>
      <c r="M1903" t="str">
        <f t="shared" si="119"/>
        <v>Jul-2023</v>
      </c>
    </row>
    <row r="1904" spans="1:13" x14ac:dyDescent="0.35">
      <c r="A1904">
        <v>11903</v>
      </c>
      <c r="B1904">
        <v>28</v>
      </c>
      <c r="C1904" t="s">
        <v>9</v>
      </c>
      <c r="D1904" t="s">
        <v>13</v>
      </c>
      <c r="E1904" s="2">
        <v>45779</v>
      </c>
      <c r="F1904" s="2">
        <v>45951</v>
      </c>
      <c r="G1904">
        <v>1000</v>
      </c>
      <c r="H1904" t="s">
        <v>14</v>
      </c>
      <c r="I1904" t="s">
        <v>17</v>
      </c>
      <c r="J1904">
        <f t="shared" si="117"/>
        <v>3000</v>
      </c>
      <c r="K1904" t="str">
        <f t="shared" si="116"/>
        <v>25-34</v>
      </c>
      <c r="L1904" t="str">
        <f t="shared" ca="1" si="118"/>
        <v>High Risk</v>
      </c>
      <c r="M1904" t="str">
        <f t="shared" si="119"/>
        <v>May-2025</v>
      </c>
    </row>
    <row r="1905" spans="1:13" x14ac:dyDescent="0.35">
      <c r="A1905">
        <v>11904</v>
      </c>
      <c r="B1905">
        <v>19</v>
      </c>
      <c r="C1905" t="s">
        <v>9</v>
      </c>
      <c r="D1905" t="s">
        <v>12</v>
      </c>
      <c r="E1905" s="2">
        <v>45647</v>
      </c>
      <c r="F1905" s="2">
        <v>46018</v>
      </c>
      <c r="G1905">
        <v>800</v>
      </c>
      <c r="H1905" t="s">
        <v>14</v>
      </c>
      <c r="I1905" t="s">
        <v>16</v>
      </c>
      <c r="J1905">
        <f t="shared" si="117"/>
        <v>9600</v>
      </c>
      <c r="K1905" t="str">
        <f t="shared" si="116"/>
        <v>18-24</v>
      </c>
      <c r="L1905" t="str">
        <f t="shared" ca="1" si="118"/>
        <v>Safe</v>
      </c>
      <c r="M1905" t="str">
        <f t="shared" si="119"/>
        <v>Dec-2024</v>
      </c>
    </row>
    <row r="1906" spans="1:13" x14ac:dyDescent="0.35">
      <c r="A1906">
        <v>11905</v>
      </c>
      <c r="B1906">
        <v>42</v>
      </c>
      <c r="C1906" t="s">
        <v>10</v>
      </c>
      <c r="D1906" t="s">
        <v>11</v>
      </c>
      <c r="E1906" s="2">
        <v>45606</v>
      </c>
      <c r="F1906" s="2">
        <v>46009</v>
      </c>
      <c r="G1906">
        <v>1700</v>
      </c>
      <c r="H1906" t="s">
        <v>15</v>
      </c>
      <c r="I1906" t="s">
        <v>16</v>
      </c>
      <c r="J1906">
        <f t="shared" si="117"/>
        <v>1700</v>
      </c>
      <c r="K1906" t="str">
        <f t="shared" si="116"/>
        <v>35+</v>
      </c>
      <c r="L1906" t="str">
        <f t="shared" ca="1" si="118"/>
        <v>Safe</v>
      </c>
      <c r="M1906" t="str">
        <f t="shared" si="119"/>
        <v>Nov-2024</v>
      </c>
    </row>
    <row r="1907" spans="1:13" x14ac:dyDescent="0.35">
      <c r="A1907">
        <v>11906</v>
      </c>
      <c r="B1907">
        <v>43</v>
      </c>
      <c r="C1907" t="s">
        <v>9</v>
      </c>
      <c r="D1907" t="s">
        <v>12</v>
      </c>
      <c r="E1907" s="2">
        <v>45370</v>
      </c>
      <c r="F1907" s="2">
        <v>45919</v>
      </c>
      <c r="G1907">
        <v>800</v>
      </c>
      <c r="H1907" t="s">
        <v>14</v>
      </c>
      <c r="I1907" t="s">
        <v>17</v>
      </c>
      <c r="J1907">
        <f t="shared" si="117"/>
        <v>9600</v>
      </c>
      <c r="K1907" t="str">
        <f t="shared" si="116"/>
        <v>35+</v>
      </c>
      <c r="L1907" t="str">
        <f t="shared" ca="1" si="118"/>
        <v>High Risk</v>
      </c>
      <c r="M1907" t="str">
        <f t="shared" si="119"/>
        <v>Mar-2024</v>
      </c>
    </row>
    <row r="1908" spans="1:13" x14ac:dyDescent="0.35">
      <c r="A1908">
        <v>11907</v>
      </c>
      <c r="B1908">
        <v>26</v>
      </c>
      <c r="C1908" t="s">
        <v>9</v>
      </c>
      <c r="D1908" t="s">
        <v>11</v>
      </c>
      <c r="E1908" s="2">
        <v>45363</v>
      </c>
      <c r="F1908" s="2">
        <v>46021</v>
      </c>
      <c r="G1908">
        <v>1700</v>
      </c>
      <c r="H1908" t="s">
        <v>15</v>
      </c>
      <c r="I1908" t="s">
        <v>16</v>
      </c>
      <c r="J1908">
        <f t="shared" si="117"/>
        <v>1700</v>
      </c>
      <c r="K1908" t="str">
        <f t="shared" si="116"/>
        <v>25-34</v>
      </c>
      <c r="L1908" t="str">
        <f t="shared" ca="1" si="118"/>
        <v>Safe</v>
      </c>
      <c r="M1908" t="str">
        <f t="shared" si="119"/>
        <v>Mar-2024</v>
      </c>
    </row>
    <row r="1909" spans="1:13" x14ac:dyDescent="0.35">
      <c r="A1909">
        <v>11908</v>
      </c>
      <c r="B1909">
        <v>34</v>
      </c>
      <c r="C1909" t="s">
        <v>9</v>
      </c>
      <c r="D1909" t="s">
        <v>13</v>
      </c>
      <c r="E1909" s="2">
        <v>45789</v>
      </c>
      <c r="F1909" s="2">
        <v>46028</v>
      </c>
      <c r="G1909">
        <v>1000</v>
      </c>
      <c r="H1909" t="s">
        <v>14</v>
      </c>
      <c r="I1909" t="s">
        <v>16</v>
      </c>
      <c r="J1909">
        <f t="shared" si="117"/>
        <v>3000</v>
      </c>
      <c r="K1909" t="str">
        <f t="shared" si="116"/>
        <v>25-34</v>
      </c>
      <c r="L1909" t="str">
        <f t="shared" ca="1" si="118"/>
        <v>Safe</v>
      </c>
      <c r="M1909" t="str">
        <f t="shared" si="119"/>
        <v>May-2025</v>
      </c>
    </row>
    <row r="1910" spans="1:13" x14ac:dyDescent="0.35">
      <c r="A1910">
        <v>11909</v>
      </c>
      <c r="B1910">
        <v>43</v>
      </c>
      <c r="C1910" t="s">
        <v>9</v>
      </c>
      <c r="D1910" t="s">
        <v>12</v>
      </c>
      <c r="E1910" s="2">
        <v>45772</v>
      </c>
      <c r="F1910" s="2">
        <v>46015</v>
      </c>
      <c r="G1910">
        <v>800</v>
      </c>
      <c r="H1910" t="s">
        <v>14</v>
      </c>
      <c r="I1910" t="s">
        <v>16</v>
      </c>
      <c r="J1910">
        <f t="shared" si="117"/>
        <v>9600</v>
      </c>
      <c r="K1910" t="str">
        <f t="shared" si="116"/>
        <v>35+</v>
      </c>
      <c r="L1910" t="str">
        <f t="shared" ca="1" si="118"/>
        <v>Safe</v>
      </c>
      <c r="M1910" t="str">
        <f t="shared" si="119"/>
        <v>Apr-2025</v>
      </c>
    </row>
    <row r="1911" spans="1:13" x14ac:dyDescent="0.35">
      <c r="A1911">
        <v>11910</v>
      </c>
      <c r="B1911">
        <v>20</v>
      </c>
      <c r="C1911" t="s">
        <v>9</v>
      </c>
      <c r="D1911" t="s">
        <v>13</v>
      </c>
      <c r="E1911" s="2">
        <v>45218</v>
      </c>
      <c r="F1911" s="2">
        <v>45949</v>
      </c>
      <c r="G1911">
        <v>1000</v>
      </c>
      <c r="H1911" t="s">
        <v>14</v>
      </c>
      <c r="I1911" t="s">
        <v>17</v>
      </c>
      <c r="J1911">
        <f t="shared" si="117"/>
        <v>3000</v>
      </c>
      <c r="K1911" t="str">
        <f t="shared" si="116"/>
        <v>18-24</v>
      </c>
      <c r="L1911" t="str">
        <f t="shared" ca="1" si="118"/>
        <v>High Risk</v>
      </c>
      <c r="M1911" t="str">
        <f t="shared" si="119"/>
        <v>Oct-2023</v>
      </c>
    </row>
    <row r="1912" spans="1:13" x14ac:dyDescent="0.35">
      <c r="A1912">
        <v>11911</v>
      </c>
      <c r="B1912">
        <v>41</v>
      </c>
      <c r="C1912" t="s">
        <v>9</v>
      </c>
      <c r="D1912" t="s">
        <v>12</v>
      </c>
      <c r="E1912" s="2">
        <v>45289</v>
      </c>
      <c r="F1912" s="2">
        <v>46010</v>
      </c>
      <c r="G1912">
        <v>800</v>
      </c>
      <c r="H1912" t="s">
        <v>14</v>
      </c>
      <c r="I1912" t="s">
        <v>16</v>
      </c>
      <c r="J1912">
        <f t="shared" si="117"/>
        <v>9600</v>
      </c>
      <c r="K1912" t="str">
        <f t="shared" si="116"/>
        <v>35+</v>
      </c>
      <c r="L1912" t="str">
        <f t="shared" ca="1" si="118"/>
        <v>Safe</v>
      </c>
      <c r="M1912" t="str">
        <f t="shared" si="119"/>
        <v>Dec-2023</v>
      </c>
    </row>
    <row r="1913" spans="1:13" x14ac:dyDescent="0.35">
      <c r="A1913">
        <v>11912</v>
      </c>
      <c r="B1913">
        <v>23</v>
      </c>
      <c r="C1913" t="s">
        <v>10</v>
      </c>
      <c r="D1913" t="s">
        <v>11</v>
      </c>
      <c r="E1913" s="2">
        <v>45786</v>
      </c>
      <c r="F1913" s="2">
        <v>45938</v>
      </c>
      <c r="G1913">
        <v>1200</v>
      </c>
      <c r="H1913" t="s">
        <v>14</v>
      </c>
      <c r="I1913" t="s">
        <v>17</v>
      </c>
      <c r="J1913">
        <f t="shared" si="117"/>
        <v>1200</v>
      </c>
      <c r="K1913" t="str">
        <f t="shared" si="116"/>
        <v>18-24</v>
      </c>
      <c r="L1913" t="str">
        <f t="shared" ca="1" si="118"/>
        <v>High Risk</v>
      </c>
      <c r="M1913" t="str">
        <f t="shared" si="119"/>
        <v>May-2025</v>
      </c>
    </row>
    <row r="1914" spans="1:13" x14ac:dyDescent="0.35">
      <c r="A1914">
        <v>11913</v>
      </c>
      <c r="B1914">
        <v>22</v>
      </c>
      <c r="C1914" t="s">
        <v>9</v>
      </c>
      <c r="D1914" t="s">
        <v>11</v>
      </c>
      <c r="E1914" s="2">
        <v>45166</v>
      </c>
      <c r="F1914" s="2">
        <v>46016</v>
      </c>
      <c r="G1914">
        <v>1200</v>
      </c>
      <c r="H1914" t="s">
        <v>14</v>
      </c>
      <c r="I1914" t="s">
        <v>16</v>
      </c>
      <c r="J1914">
        <f t="shared" si="117"/>
        <v>1200</v>
      </c>
      <c r="K1914" t="str">
        <f t="shared" si="116"/>
        <v>18-24</v>
      </c>
      <c r="L1914" t="str">
        <f t="shared" ca="1" si="118"/>
        <v>Safe</v>
      </c>
      <c r="M1914" t="str">
        <f t="shared" si="119"/>
        <v>Aug-2023</v>
      </c>
    </row>
    <row r="1915" spans="1:13" x14ac:dyDescent="0.35">
      <c r="A1915">
        <v>11914</v>
      </c>
      <c r="B1915">
        <v>22</v>
      </c>
      <c r="C1915" t="s">
        <v>9</v>
      </c>
      <c r="D1915" t="s">
        <v>12</v>
      </c>
      <c r="E1915" s="2">
        <v>45963</v>
      </c>
      <c r="F1915" s="2">
        <v>46024</v>
      </c>
      <c r="G1915">
        <v>1300</v>
      </c>
      <c r="H1915" t="s">
        <v>15</v>
      </c>
      <c r="I1915" t="s">
        <v>16</v>
      </c>
      <c r="J1915">
        <f t="shared" si="117"/>
        <v>15600</v>
      </c>
      <c r="K1915" t="str">
        <f t="shared" si="116"/>
        <v>18-24</v>
      </c>
      <c r="L1915" t="str">
        <f t="shared" ca="1" si="118"/>
        <v>Safe</v>
      </c>
      <c r="M1915" t="str">
        <f t="shared" si="119"/>
        <v>Nov-2025</v>
      </c>
    </row>
    <row r="1916" spans="1:13" x14ac:dyDescent="0.35">
      <c r="A1916">
        <v>11915</v>
      </c>
      <c r="B1916">
        <v>39</v>
      </c>
      <c r="C1916" t="s">
        <v>9</v>
      </c>
      <c r="D1916" t="s">
        <v>11</v>
      </c>
      <c r="E1916" s="2">
        <v>45372</v>
      </c>
      <c r="F1916" s="2">
        <v>46031</v>
      </c>
      <c r="G1916">
        <v>1700</v>
      </c>
      <c r="H1916" t="s">
        <v>15</v>
      </c>
      <c r="I1916" t="s">
        <v>16</v>
      </c>
      <c r="J1916">
        <f t="shared" si="117"/>
        <v>1700</v>
      </c>
      <c r="K1916" t="str">
        <f t="shared" si="116"/>
        <v>35+</v>
      </c>
      <c r="L1916" t="str">
        <f t="shared" ca="1" si="118"/>
        <v>Safe</v>
      </c>
      <c r="M1916" t="str">
        <f t="shared" si="119"/>
        <v>Mar-2024</v>
      </c>
    </row>
    <row r="1917" spans="1:13" x14ac:dyDescent="0.35">
      <c r="A1917">
        <v>11916</v>
      </c>
      <c r="B1917">
        <v>32</v>
      </c>
      <c r="C1917" t="s">
        <v>9</v>
      </c>
      <c r="D1917" t="s">
        <v>11</v>
      </c>
      <c r="E1917" s="2">
        <v>45292</v>
      </c>
      <c r="F1917" s="2">
        <v>46022</v>
      </c>
      <c r="G1917">
        <v>1200</v>
      </c>
      <c r="H1917" t="s">
        <v>14</v>
      </c>
      <c r="I1917" t="s">
        <v>16</v>
      </c>
      <c r="J1917">
        <f t="shared" si="117"/>
        <v>1200</v>
      </c>
      <c r="K1917" t="str">
        <f t="shared" si="116"/>
        <v>25-34</v>
      </c>
      <c r="L1917" t="str">
        <f t="shared" ca="1" si="118"/>
        <v>Safe</v>
      </c>
      <c r="M1917" t="str">
        <f t="shared" si="119"/>
        <v>Jan-2024</v>
      </c>
    </row>
    <row r="1918" spans="1:13" x14ac:dyDescent="0.35">
      <c r="A1918">
        <v>11917</v>
      </c>
      <c r="B1918">
        <v>40</v>
      </c>
      <c r="C1918" t="s">
        <v>9</v>
      </c>
      <c r="D1918" t="s">
        <v>13</v>
      </c>
      <c r="E1918" s="2">
        <v>45990</v>
      </c>
      <c r="F1918" s="2">
        <v>46026</v>
      </c>
      <c r="G1918">
        <v>1000</v>
      </c>
      <c r="H1918" t="s">
        <v>14</v>
      </c>
      <c r="I1918" t="s">
        <v>16</v>
      </c>
      <c r="J1918">
        <f t="shared" si="117"/>
        <v>3000</v>
      </c>
      <c r="K1918" t="str">
        <f t="shared" si="116"/>
        <v>35+</v>
      </c>
      <c r="L1918" t="str">
        <f t="shared" ca="1" si="118"/>
        <v>Safe</v>
      </c>
      <c r="M1918" t="str">
        <f t="shared" si="119"/>
        <v>Nov-2025</v>
      </c>
    </row>
    <row r="1919" spans="1:13" x14ac:dyDescent="0.35">
      <c r="A1919">
        <v>11918</v>
      </c>
      <c r="B1919">
        <v>34</v>
      </c>
      <c r="C1919" t="s">
        <v>9</v>
      </c>
      <c r="D1919" t="s">
        <v>12</v>
      </c>
      <c r="E1919" s="2">
        <v>45778</v>
      </c>
      <c r="F1919" s="2">
        <v>45981</v>
      </c>
      <c r="G1919">
        <v>800</v>
      </c>
      <c r="H1919" t="s">
        <v>14</v>
      </c>
      <c r="I1919" t="s">
        <v>17</v>
      </c>
      <c r="J1919">
        <f t="shared" si="117"/>
        <v>9600</v>
      </c>
      <c r="K1919" t="str">
        <f t="shared" si="116"/>
        <v>25-34</v>
      </c>
      <c r="L1919" t="str">
        <f t="shared" ca="1" si="118"/>
        <v>High Risk</v>
      </c>
      <c r="M1919" t="str">
        <f t="shared" si="119"/>
        <v>May-2025</v>
      </c>
    </row>
    <row r="1920" spans="1:13" x14ac:dyDescent="0.35">
      <c r="A1920">
        <v>11919</v>
      </c>
      <c r="B1920">
        <v>26</v>
      </c>
      <c r="C1920" t="s">
        <v>9</v>
      </c>
      <c r="D1920" t="s">
        <v>12</v>
      </c>
      <c r="E1920" s="2">
        <v>45903</v>
      </c>
      <c r="F1920" s="2">
        <v>46024</v>
      </c>
      <c r="G1920">
        <v>1300</v>
      </c>
      <c r="H1920" t="s">
        <v>15</v>
      </c>
      <c r="I1920" t="s">
        <v>16</v>
      </c>
      <c r="J1920">
        <f t="shared" si="117"/>
        <v>15600</v>
      </c>
      <c r="K1920" t="str">
        <f t="shared" si="116"/>
        <v>25-34</v>
      </c>
      <c r="L1920" t="str">
        <f t="shared" ca="1" si="118"/>
        <v>Safe</v>
      </c>
      <c r="M1920" t="str">
        <f t="shared" si="119"/>
        <v>Sep-2025</v>
      </c>
    </row>
    <row r="1921" spans="1:13" x14ac:dyDescent="0.35">
      <c r="A1921">
        <v>11920</v>
      </c>
      <c r="B1921">
        <v>20</v>
      </c>
      <c r="C1921" t="s">
        <v>10</v>
      </c>
      <c r="D1921" t="s">
        <v>11</v>
      </c>
      <c r="E1921" s="2">
        <v>45557</v>
      </c>
      <c r="F1921" s="2">
        <v>46015</v>
      </c>
      <c r="G1921">
        <v>1200</v>
      </c>
      <c r="H1921" t="s">
        <v>14</v>
      </c>
      <c r="I1921" t="s">
        <v>16</v>
      </c>
      <c r="J1921">
        <f t="shared" si="117"/>
        <v>1200</v>
      </c>
      <c r="K1921" t="str">
        <f t="shared" si="116"/>
        <v>18-24</v>
      </c>
      <c r="L1921" t="str">
        <f t="shared" ca="1" si="118"/>
        <v>Safe</v>
      </c>
      <c r="M1921" t="str">
        <f t="shared" si="119"/>
        <v>Sep-2024</v>
      </c>
    </row>
    <row r="1922" spans="1:13" x14ac:dyDescent="0.35">
      <c r="A1922">
        <v>11921</v>
      </c>
      <c r="B1922">
        <v>37</v>
      </c>
      <c r="C1922" t="s">
        <v>9</v>
      </c>
      <c r="D1922" t="s">
        <v>12</v>
      </c>
      <c r="E1922" s="2">
        <v>45429</v>
      </c>
      <c r="F1922" s="2">
        <v>46011</v>
      </c>
      <c r="G1922">
        <v>1300</v>
      </c>
      <c r="H1922" t="s">
        <v>15</v>
      </c>
      <c r="I1922" t="s">
        <v>16</v>
      </c>
      <c r="J1922">
        <f t="shared" si="117"/>
        <v>15600</v>
      </c>
      <c r="K1922" t="str">
        <f t="shared" ref="K1922:K1985" si="120">IF(B1922&lt;25,"18-24",IF(B1922&lt;35,"25-34","35+"))</f>
        <v>35+</v>
      </c>
      <c r="L1922" t="str">
        <f t="shared" ca="1" si="118"/>
        <v>Safe</v>
      </c>
      <c r="M1922" t="str">
        <f t="shared" si="119"/>
        <v>May-2024</v>
      </c>
    </row>
    <row r="1923" spans="1:13" x14ac:dyDescent="0.35">
      <c r="A1923">
        <v>11922</v>
      </c>
      <c r="B1923">
        <v>43</v>
      </c>
      <c r="C1923" t="s">
        <v>9</v>
      </c>
      <c r="D1923" t="s">
        <v>11</v>
      </c>
      <c r="E1923" s="2">
        <v>45306</v>
      </c>
      <c r="F1923" s="2">
        <v>46012</v>
      </c>
      <c r="G1923">
        <v>1200</v>
      </c>
      <c r="H1923" t="s">
        <v>14</v>
      </c>
      <c r="I1923" t="s">
        <v>16</v>
      </c>
      <c r="J1923">
        <f t="shared" ref="J1923:J1986" si="121">IF(D1923="Monthly",G1923,IF(D1923="Quarterly",G1923*3,G1923*12))</f>
        <v>1200</v>
      </c>
      <c r="K1923" t="str">
        <f t="shared" si="120"/>
        <v>35+</v>
      </c>
      <c r="L1923" t="str">
        <f t="shared" ref="L1923:L1986" ca="1" si="122">IF(F1923&lt;TODAY()-30,"High Risk","Safe")</f>
        <v>Safe</v>
      </c>
      <c r="M1923" t="str">
        <f t="shared" ref="M1923:M1986" si="123">TEXT(E1923,"mmm-yyyy")</f>
        <v>Jan-2024</v>
      </c>
    </row>
    <row r="1924" spans="1:13" x14ac:dyDescent="0.35">
      <c r="A1924">
        <v>11923</v>
      </c>
      <c r="B1924">
        <v>34</v>
      </c>
      <c r="C1924" t="s">
        <v>9</v>
      </c>
      <c r="D1924" t="s">
        <v>11</v>
      </c>
      <c r="E1924" s="2">
        <v>45491</v>
      </c>
      <c r="F1924" s="2">
        <v>45969</v>
      </c>
      <c r="G1924">
        <v>1200</v>
      </c>
      <c r="H1924" t="s">
        <v>14</v>
      </c>
      <c r="I1924" t="s">
        <v>17</v>
      </c>
      <c r="J1924">
        <f t="shared" si="121"/>
        <v>1200</v>
      </c>
      <c r="K1924" t="str">
        <f t="shared" si="120"/>
        <v>25-34</v>
      </c>
      <c r="L1924" t="str">
        <f t="shared" ca="1" si="122"/>
        <v>High Risk</v>
      </c>
      <c r="M1924" t="str">
        <f t="shared" si="123"/>
        <v>Jul-2024</v>
      </c>
    </row>
    <row r="1925" spans="1:13" x14ac:dyDescent="0.35">
      <c r="A1925">
        <v>11924</v>
      </c>
      <c r="B1925">
        <v>44</v>
      </c>
      <c r="C1925" t="s">
        <v>9</v>
      </c>
      <c r="D1925" t="s">
        <v>13</v>
      </c>
      <c r="E1925" s="2">
        <v>45915</v>
      </c>
      <c r="F1925" s="2">
        <v>46011</v>
      </c>
      <c r="G1925">
        <v>1500</v>
      </c>
      <c r="H1925" t="s">
        <v>15</v>
      </c>
      <c r="I1925" t="s">
        <v>16</v>
      </c>
      <c r="J1925">
        <f t="shared" si="121"/>
        <v>4500</v>
      </c>
      <c r="K1925" t="str">
        <f t="shared" si="120"/>
        <v>35+</v>
      </c>
      <c r="L1925" t="str">
        <f t="shared" ca="1" si="122"/>
        <v>Safe</v>
      </c>
      <c r="M1925" t="str">
        <f t="shared" si="123"/>
        <v>Sep-2025</v>
      </c>
    </row>
    <row r="1926" spans="1:13" x14ac:dyDescent="0.35">
      <c r="A1926">
        <v>11925</v>
      </c>
      <c r="B1926">
        <v>27</v>
      </c>
      <c r="C1926" t="s">
        <v>9</v>
      </c>
      <c r="D1926" t="s">
        <v>11</v>
      </c>
      <c r="E1926" s="2">
        <v>45837</v>
      </c>
      <c r="F1926" s="2">
        <v>45956</v>
      </c>
      <c r="G1926">
        <v>1700</v>
      </c>
      <c r="H1926" t="s">
        <v>15</v>
      </c>
      <c r="I1926" t="s">
        <v>17</v>
      </c>
      <c r="J1926">
        <f t="shared" si="121"/>
        <v>1700</v>
      </c>
      <c r="K1926" t="str">
        <f t="shared" si="120"/>
        <v>25-34</v>
      </c>
      <c r="L1926" t="str">
        <f t="shared" ca="1" si="122"/>
        <v>High Risk</v>
      </c>
      <c r="M1926" t="str">
        <f t="shared" si="123"/>
        <v>Jun-2025</v>
      </c>
    </row>
    <row r="1927" spans="1:13" x14ac:dyDescent="0.35">
      <c r="A1927">
        <v>11926</v>
      </c>
      <c r="B1927">
        <v>20</v>
      </c>
      <c r="C1927" t="s">
        <v>9</v>
      </c>
      <c r="D1927" t="s">
        <v>11</v>
      </c>
      <c r="E1927" s="2">
        <v>45770</v>
      </c>
      <c r="F1927" s="2">
        <v>45988</v>
      </c>
      <c r="G1927">
        <v>1200</v>
      </c>
      <c r="H1927" t="s">
        <v>14</v>
      </c>
      <c r="I1927" t="s">
        <v>17</v>
      </c>
      <c r="J1927">
        <f t="shared" si="121"/>
        <v>1200</v>
      </c>
      <c r="K1927" t="str">
        <f t="shared" si="120"/>
        <v>18-24</v>
      </c>
      <c r="L1927" t="str">
        <f t="shared" ca="1" si="122"/>
        <v>High Risk</v>
      </c>
      <c r="M1927" t="str">
        <f t="shared" si="123"/>
        <v>Apr-2025</v>
      </c>
    </row>
    <row r="1928" spans="1:13" x14ac:dyDescent="0.35">
      <c r="A1928">
        <v>11927</v>
      </c>
      <c r="B1928">
        <v>35</v>
      </c>
      <c r="C1928" t="s">
        <v>9</v>
      </c>
      <c r="D1928" t="s">
        <v>13</v>
      </c>
      <c r="E1928" s="2">
        <v>45568</v>
      </c>
      <c r="F1928" s="2">
        <v>45915</v>
      </c>
      <c r="G1928">
        <v>1500</v>
      </c>
      <c r="H1928" t="s">
        <v>15</v>
      </c>
      <c r="I1928" t="s">
        <v>17</v>
      </c>
      <c r="J1928">
        <f t="shared" si="121"/>
        <v>4500</v>
      </c>
      <c r="K1928" t="str">
        <f t="shared" si="120"/>
        <v>35+</v>
      </c>
      <c r="L1928" t="str">
        <f t="shared" ca="1" si="122"/>
        <v>High Risk</v>
      </c>
      <c r="M1928" t="str">
        <f t="shared" si="123"/>
        <v>Oct-2024</v>
      </c>
    </row>
    <row r="1929" spans="1:13" x14ac:dyDescent="0.35">
      <c r="A1929">
        <v>11928</v>
      </c>
      <c r="B1929">
        <v>35</v>
      </c>
      <c r="C1929" t="s">
        <v>9</v>
      </c>
      <c r="D1929" t="s">
        <v>11</v>
      </c>
      <c r="E1929" s="2">
        <v>45244</v>
      </c>
      <c r="F1929" s="2">
        <v>45952</v>
      </c>
      <c r="G1929">
        <v>1200</v>
      </c>
      <c r="H1929" t="s">
        <v>14</v>
      </c>
      <c r="I1929" t="s">
        <v>17</v>
      </c>
      <c r="J1929">
        <f t="shared" si="121"/>
        <v>1200</v>
      </c>
      <c r="K1929" t="str">
        <f t="shared" si="120"/>
        <v>35+</v>
      </c>
      <c r="L1929" t="str">
        <f t="shared" ca="1" si="122"/>
        <v>High Risk</v>
      </c>
      <c r="M1929" t="str">
        <f t="shared" si="123"/>
        <v>Nov-2023</v>
      </c>
    </row>
    <row r="1930" spans="1:13" x14ac:dyDescent="0.35">
      <c r="A1930">
        <v>11929</v>
      </c>
      <c r="B1930">
        <v>34</v>
      </c>
      <c r="C1930" t="s">
        <v>9</v>
      </c>
      <c r="D1930" t="s">
        <v>11</v>
      </c>
      <c r="E1930" s="2">
        <v>45830</v>
      </c>
      <c r="F1930" s="2">
        <v>46028</v>
      </c>
      <c r="G1930">
        <v>1700</v>
      </c>
      <c r="H1930" t="s">
        <v>15</v>
      </c>
      <c r="I1930" t="s">
        <v>16</v>
      </c>
      <c r="J1930">
        <f t="shared" si="121"/>
        <v>1700</v>
      </c>
      <c r="K1930" t="str">
        <f t="shared" si="120"/>
        <v>25-34</v>
      </c>
      <c r="L1930" t="str">
        <f t="shared" ca="1" si="122"/>
        <v>Safe</v>
      </c>
      <c r="M1930" t="str">
        <f t="shared" si="123"/>
        <v>Jun-2025</v>
      </c>
    </row>
    <row r="1931" spans="1:13" x14ac:dyDescent="0.35">
      <c r="A1931">
        <v>11930</v>
      </c>
      <c r="B1931">
        <v>41</v>
      </c>
      <c r="C1931" t="s">
        <v>9</v>
      </c>
      <c r="D1931" t="s">
        <v>11</v>
      </c>
      <c r="E1931" s="2">
        <v>45323</v>
      </c>
      <c r="F1931" s="2">
        <v>45965</v>
      </c>
      <c r="G1931">
        <v>1200</v>
      </c>
      <c r="H1931" t="s">
        <v>14</v>
      </c>
      <c r="I1931" t="s">
        <v>17</v>
      </c>
      <c r="J1931">
        <f t="shared" si="121"/>
        <v>1200</v>
      </c>
      <c r="K1931" t="str">
        <f t="shared" si="120"/>
        <v>35+</v>
      </c>
      <c r="L1931" t="str">
        <f t="shared" ca="1" si="122"/>
        <v>High Risk</v>
      </c>
      <c r="M1931" t="str">
        <f t="shared" si="123"/>
        <v>Feb-2024</v>
      </c>
    </row>
    <row r="1932" spans="1:13" x14ac:dyDescent="0.35">
      <c r="A1932">
        <v>11931</v>
      </c>
      <c r="B1932">
        <v>20</v>
      </c>
      <c r="C1932" t="s">
        <v>9</v>
      </c>
      <c r="D1932" t="s">
        <v>13</v>
      </c>
      <c r="E1932" s="2">
        <v>45670</v>
      </c>
      <c r="F1932" s="2">
        <v>45944</v>
      </c>
      <c r="G1932">
        <v>1000</v>
      </c>
      <c r="H1932" t="s">
        <v>14</v>
      </c>
      <c r="I1932" t="s">
        <v>17</v>
      </c>
      <c r="J1932">
        <f t="shared" si="121"/>
        <v>3000</v>
      </c>
      <c r="K1932" t="str">
        <f t="shared" si="120"/>
        <v>18-24</v>
      </c>
      <c r="L1932" t="str">
        <f t="shared" ca="1" si="122"/>
        <v>High Risk</v>
      </c>
      <c r="M1932" t="str">
        <f t="shared" si="123"/>
        <v>Jan-2025</v>
      </c>
    </row>
    <row r="1933" spans="1:13" x14ac:dyDescent="0.35">
      <c r="A1933">
        <v>11932</v>
      </c>
      <c r="B1933">
        <v>20</v>
      </c>
      <c r="C1933" t="s">
        <v>9</v>
      </c>
      <c r="D1933" t="s">
        <v>13</v>
      </c>
      <c r="E1933" s="2">
        <v>45616</v>
      </c>
      <c r="F1933" s="2">
        <v>46024</v>
      </c>
      <c r="G1933">
        <v>1000</v>
      </c>
      <c r="H1933" t="s">
        <v>14</v>
      </c>
      <c r="I1933" t="s">
        <v>16</v>
      </c>
      <c r="J1933">
        <f t="shared" si="121"/>
        <v>3000</v>
      </c>
      <c r="K1933" t="str">
        <f t="shared" si="120"/>
        <v>18-24</v>
      </c>
      <c r="L1933" t="str">
        <f t="shared" ca="1" si="122"/>
        <v>Safe</v>
      </c>
      <c r="M1933" t="str">
        <f t="shared" si="123"/>
        <v>Nov-2024</v>
      </c>
    </row>
    <row r="1934" spans="1:13" x14ac:dyDescent="0.35">
      <c r="A1934">
        <v>11933</v>
      </c>
      <c r="B1934">
        <v>23</v>
      </c>
      <c r="C1934" t="s">
        <v>9</v>
      </c>
      <c r="D1934" t="s">
        <v>12</v>
      </c>
      <c r="E1934" s="2">
        <v>45277</v>
      </c>
      <c r="F1934" s="2">
        <v>46021</v>
      </c>
      <c r="G1934">
        <v>1300</v>
      </c>
      <c r="H1934" t="s">
        <v>15</v>
      </c>
      <c r="I1934" t="s">
        <v>16</v>
      </c>
      <c r="J1934">
        <f t="shared" si="121"/>
        <v>15600</v>
      </c>
      <c r="K1934" t="str">
        <f t="shared" si="120"/>
        <v>18-24</v>
      </c>
      <c r="L1934" t="str">
        <f t="shared" ca="1" si="122"/>
        <v>Safe</v>
      </c>
      <c r="M1934" t="str">
        <f t="shared" si="123"/>
        <v>Dec-2023</v>
      </c>
    </row>
    <row r="1935" spans="1:13" x14ac:dyDescent="0.35">
      <c r="A1935">
        <v>11934</v>
      </c>
      <c r="B1935">
        <v>30</v>
      </c>
      <c r="C1935" t="s">
        <v>10</v>
      </c>
      <c r="D1935" t="s">
        <v>12</v>
      </c>
      <c r="E1935" s="2">
        <v>45813</v>
      </c>
      <c r="F1935" s="2">
        <v>46015</v>
      </c>
      <c r="G1935">
        <v>1300</v>
      </c>
      <c r="H1935" t="s">
        <v>15</v>
      </c>
      <c r="I1935" t="s">
        <v>16</v>
      </c>
      <c r="J1935">
        <f t="shared" si="121"/>
        <v>15600</v>
      </c>
      <c r="K1935" t="str">
        <f t="shared" si="120"/>
        <v>25-34</v>
      </c>
      <c r="L1935" t="str">
        <f t="shared" ca="1" si="122"/>
        <v>Safe</v>
      </c>
      <c r="M1935" t="str">
        <f t="shared" si="123"/>
        <v>Jun-2025</v>
      </c>
    </row>
    <row r="1936" spans="1:13" x14ac:dyDescent="0.35">
      <c r="A1936">
        <v>11935</v>
      </c>
      <c r="B1936">
        <v>41</v>
      </c>
      <c r="C1936" t="s">
        <v>9</v>
      </c>
      <c r="D1936" t="s">
        <v>13</v>
      </c>
      <c r="E1936" s="2">
        <v>45197</v>
      </c>
      <c r="F1936" s="2">
        <v>46010</v>
      </c>
      <c r="G1936">
        <v>1000</v>
      </c>
      <c r="H1936" t="s">
        <v>14</v>
      </c>
      <c r="I1936" t="s">
        <v>16</v>
      </c>
      <c r="J1936">
        <f t="shared" si="121"/>
        <v>3000</v>
      </c>
      <c r="K1936" t="str">
        <f t="shared" si="120"/>
        <v>35+</v>
      </c>
      <c r="L1936" t="str">
        <f t="shared" ca="1" si="122"/>
        <v>Safe</v>
      </c>
      <c r="M1936" t="str">
        <f t="shared" si="123"/>
        <v>Sep-2023</v>
      </c>
    </row>
    <row r="1937" spans="1:13" x14ac:dyDescent="0.35">
      <c r="A1937">
        <v>11936</v>
      </c>
      <c r="B1937">
        <v>32</v>
      </c>
      <c r="C1937" t="s">
        <v>10</v>
      </c>
      <c r="D1937" t="s">
        <v>12</v>
      </c>
      <c r="E1937" s="2">
        <v>45735</v>
      </c>
      <c r="F1937" s="2">
        <v>45980</v>
      </c>
      <c r="G1937">
        <v>800</v>
      </c>
      <c r="H1937" t="s">
        <v>14</v>
      </c>
      <c r="I1937" t="s">
        <v>17</v>
      </c>
      <c r="J1937">
        <f t="shared" si="121"/>
        <v>9600</v>
      </c>
      <c r="K1937" t="str">
        <f t="shared" si="120"/>
        <v>25-34</v>
      </c>
      <c r="L1937" t="str">
        <f t="shared" ca="1" si="122"/>
        <v>High Risk</v>
      </c>
      <c r="M1937" t="str">
        <f t="shared" si="123"/>
        <v>Mar-2025</v>
      </c>
    </row>
    <row r="1938" spans="1:13" x14ac:dyDescent="0.35">
      <c r="A1938">
        <v>11937</v>
      </c>
      <c r="B1938">
        <v>42</v>
      </c>
      <c r="C1938" t="s">
        <v>9</v>
      </c>
      <c r="D1938" t="s">
        <v>11</v>
      </c>
      <c r="E1938" s="2">
        <v>45782</v>
      </c>
      <c r="F1938" s="2">
        <v>46012</v>
      </c>
      <c r="G1938">
        <v>1700</v>
      </c>
      <c r="H1938" t="s">
        <v>15</v>
      </c>
      <c r="I1938" t="s">
        <v>16</v>
      </c>
      <c r="J1938">
        <f t="shared" si="121"/>
        <v>1700</v>
      </c>
      <c r="K1938" t="str">
        <f t="shared" si="120"/>
        <v>35+</v>
      </c>
      <c r="L1938" t="str">
        <f t="shared" ca="1" si="122"/>
        <v>Safe</v>
      </c>
      <c r="M1938" t="str">
        <f t="shared" si="123"/>
        <v>May-2025</v>
      </c>
    </row>
    <row r="1939" spans="1:13" x14ac:dyDescent="0.35">
      <c r="A1939">
        <v>11938</v>
      </c>
      <c r="B1939">
        <v>26</v>
      </c>
      <c r="C1939" t="s">
        <v>9</v>
      </c>
      <c r="D1939" t="s">
        <v>11</v>
      </c>
      <c r="E1939" s="2">
        <v>45198</v>
      </c>
      <c r="F1939" s="2">
        <v>46012</v>
      </c>
      <c r="G1939">
        <v>1700</v>
      </c>
      <c r="H1939" t="s">
        <v>15</v>
      </c>
      <c r="I1939" t="s">
        <v>16</v>
      </c>
      <c r="J1939">
        <f t="shared" si="121"/>
        <v>1700</v>
      </c>
      <c r="K1939" t="str">
        <f t="shared" si="120"/>
        <v>25-34</v>
      </c>
      <c r="L1939" t="str">
        <f t="shared" ca="1" si="122"/>
        <v>Safe</v>
      </c>
      <c r="M1939" t="str">
        <f t="shared" si="123"/>
        <v>Sep-2023</v>
      </c>
    </row>
    <row r="1940" spans="1:13" x14ac:dyDescent="0.35">
      <c r="A1940">
        <v>11939</v>
      </c>
      <c r="B1940">
        <v>21</v>
      </c>
      <c r="C1940" t="s">
        <v>9</v>
      </c>
      <c r="D1940" t="s">
        <v>12</v>
      </c>
      <c r="E1940" s="2">
        <v>45541</v>
      </c>
      <c r="F1940" s="2">
        <v>46008</v>
      </c>
      <c r="G1940">
        <v>800</v>
      </c>
      <c r="H1940" t="s">
        <v>14</v>
      </c>
      <c r="I1940" t="s">
        <v>16</v>
      </c>
      <c r="J1940">
        <f t="shared" si="121"/>
        <v>9600</v>
      </c>
      <c r="K1940" t="str">
        <f t="shared" si="120"/>
        <v>18-24</v>
      </c>
      <c r="L1940" t="str">
        <f t="shared" ca="1" si="122"/>
        <v>Safe</v>
      </c>
      <c r="M1940" t="str">
        <f t="shared" si="123"/>
        <v>Sep-2024</v>
      </c>
    </row>
    <row r="1941" spans="1:13" x14ac:dyDescent="0.35">
      <c r="A1941">
        <v>11940</v>
      </c>
      <c r="B1941">
        <v>31</v>
      </c>
      <c r="C1941" t="s">
        <v>9</v>
      </c>
      <c r="D1941" t="s">
        <v>11</v>
      </c>
      <c r="E1941" s="2">
        <v>45978</v>
      </c>
      <c r="F1941" s="2">
        <v>45953</v>
      </c>
      <c r="G1941">
        <v>1200</v>
      </c>
      <c r="H1941" t="s">
        <v>14</v>
      </c>
      <c r="I1941" t="s">
        <v>17</v>
      </c>
      <c r="J1941">
        <f t="shared" si="121"/>
        <v>1200</v>
      </c>
      <c r="K1941" t="str">
        <f t="shared" si="120"/>
        <v>25-34</v>
      </c>
      <c r="L1941" t="str">
        <f t="shared" ca="1" si="122"/>
        <v>High Risk</v>
      </c>
      <c r="M1941" t="str">
        <f t="shared" si="123"/>
        <v>Nov-2025</v>
      </c>
    </row>
    <row r="1942" spans="1:13" x14ac:dyDescent="0.35">
      <c r="A1942">
        <v>11941</v>
      </c>
      <c r="B1942">
        <v>22</v>
      </c>
      <c r="C1942" t="s">
        <v>9</v>
      </c>
      <c r="D1942" t="s">
        <v>12</v>
      </c>
      <c r="E1942" s="2">
        <v>45675</v>
      </c>
      <c r="F1942" s="2">
        <v>46032</v>
      </c>
      <c r="G1942">
        <v>1300</v>
      </c>
      <c r="H1942" t="s">
        <v>15</v>
      </c>
      <c r="I1942" t="s">
        <v>16</v>
      </c>
      <c r="J1942">
        <f t="shared" si="121"/>
        <v>15600</v>
      </c>
      <c r="K1942" t="str">
        <f t="shared" si="120"/>
        <v>18-24</v>
      </c>
      <c r="L1942" t="str">
        <f t="shared" ca="1" si="122"/>
        <v>Safe</v>
      </c>
      <c r="M1942" t="str">
        <f t="shared" si="123"/>
        <v>Jan-2025</v>
      </c>
    </row>
    <row r="1943" spans="1:13" x14ac:dyDescent="0.35">
      <c r="A1943">
        <v>11942</v>
      </c>
      <c r="B1943">
        <v>19</v>
      </c>
      <c r="C1943" t="s">
        <v>10</v>
      </c>
      <c r="D1943" t="s">
        <v>13</v>
      </c>
      <c r="E1943" s="2">
        <v>45237</v>
      </c>
      <c r="F1943" s="2">
        <v>45917</v>
      </c>
      <c r="G1943">
        <v>1500</v>
      </c>
      <c r="H1943" t="s">
        <v>15</v>
      </c>
      <c r="I1943" t="s">
        <v>17</v>
      </c>
      <c r="J1943">
        <f t="shared" si="121"/>
        <v>4500</v>
      </c>
      <c r="K1943" t="str">
        <f t="shared" si="120"/>
        <v>18-24</v>
      </c>
      <c r="L1943" t="str">
        <f t="shared" ca="1" si="122"/>
        <v>High Risk</v>
      </c>
      <c r="M1943" t="str">
        <f t="shared" si="123"/>
        <v>Nov-2023</v>
      </c>
    </row>
    <row r="1944" spans="1:13" x14ac:dyDescent="0.35">
      <c r="A1944">
        <v>11943</v>
      </c>
      <c r="B1944">
        <v>28</v>
      </c>
      <c r="C1944" t="s">
        <v>9</v>
      </c>
      <c r="D1944" t="s">
        <v>12</v>
      </c>
      <c r="E1944" s="2">
        <v>45900</v>
      </c>
      <c r="F1944" s="2">
        <v>45967</v>
      </c>
      <c r="G1944">
        <v>800</v>
      </c>
      <c r="H1944" t="s">
        <v>14</v>
      </c>
      <c r="I1944" t="s">
        <v>17</v>
      </c>
      <c r="J1944">
        <f t="shared" si="121"/>
        <v>9600</v>
      </c>
      <c r="K1944" t="str">
        <f t="shared" si="120"/>
        <v>25-34</v>
      </c>
      <c r="L1944" t="str">
        <f t="shared" ca="1" si="122"/>
        <v>High Risk</v>
      </c>
      <c r="M1944" t="str">
        <f t="shared" si="123"/>
        <v>Aug-2025</v>
      </c>
    </row>
    <row r="1945" spans="1:13" x14ac:dyDescent="0.35">
      <c r="A1945">
        <v>11944</v>
      </c>
      <c r="B1945">
        <v>26</v>
      </c>
      <c r="C1945" t="s">
        <v>10</v>
      </c>
      <c r="D1945" t="s">
        <v>11</v>
      </c>
      <c r="E1945" s="2">
        <v>45989</v>
      </c>
      <c r="F1945" s="2">
        <v>46032</v>
      </c>
      <c r="G1945">
        <v>1200</v>
      </c>
      <c r="H1945" t="s">
        <v>14</v>
      </c>
      <c r="I1945" t="s">
        <v>16</v>
      </c>
      <c r="J1945">
        <f t="shared" si="121"/>
        <v>1200</v>
      </c>
      <c r="K1945" t="str">
        <f t="shared" si="120"/>
        <v>25-34</v>
      </c>
      <c r="L1945" t="str">
        <f t="shared" ca="1" si="122"/>
        <v>Safe</v>
      </c>
      <c r="M1945" t="str">
        <f t="shared" si="123"/>
        <v>Nov-2025</v>
      </c>
    </row>
    <row r="1946" spans="1:13" x14ac:dyDescent="0.35">
      <c r="A1946">
        <v>11945</v>
      </c>
      <c r="B1946">
        <v>41</v>
      </c>
      <c r="C1946" t="s">
        <v>9</v>
      </c>
      <c r="D1946" t="s">
        <v>11</v>
      </c>
      <c r="E1946" s="2">
        <v>45974</v>
      </c>
      <c r="F1946" s="2">
        <v>46014</v>
      </c>
      <c r="G1946">
        <v>1200</v>
      </c>
      <c r="H1946" t="s">
        <v>14</v>
      </c>
      <c r="I1946" t="s">
        <v>16</v>
      </c>
      <c r="J1946">
        <f t="shared" si="121"/>
        <v>1200</v>
      </c>
      <c r="K1946" t="str">
        <f t="shared" si="120"/>
        <v>35+</v>
      </c>
      <c r="L1946" t="str">
        <f t="shared" ca="1" si="122"/>
        <v>Safe</v>
      </c>
      <c r="M1946" t="str">
        <f t="shared" si="123"/>
        <v>Nov-2025</v>
      </c>
    </row>
    <row r="1947" spans="1:13" x14ac:dyDescent="0.35">
      <c r="A1947">
        <v>11946</v>
      </c>
      <c r="B1947">
        <v>20</v>
      </c>
      <c r="C1947" t="s">
        <v>10</v>
      </c>
      <c r="D1947" t="s">
        <v>11</v>
      </c>
      <c r="E1947" s="2">
        <v>45683</v>
      </c>
      <c r="F1947" s="2">
        <v>46018</v>
      </c>
      <c r="G1947">
        <v>1200</v>
      </c>
      <c r="H1947" t="s">
        <v>14</v>
      </c>
      <c r="I1947" t="s">
        <v>16</v>
      </c>
      <c r="J1947">
        <f t="shared" si="121"/>
        <v>1200</v>
      </c>
      <c r="K1947" t="str">
        <f t="shared" si="120"/>
        <v>18-24</v>
      </c>
      <c r="L1947" t="str">
        <f t="shared" ca="1" si="122"/>
        <v>Safe</v>
      </c>
      <c r="M1947" t="str">
        <f t="shared" si="123"/>
        <v>Jan-2025</v>
      </c>
    </row>
    <row r="1948" spans="1:13" x14ac:dyDescent="0.35">
      <c r="A1948">
        <v>11947</v>
      </c>
      <c r="B1948">
        <v>44</v>
      </c>
      <c r="C1948" t="s">
        <v>9</v>
      </c>
      <c r="D1948" t="s">
        <v>13</v>
      </c>
      <c r="E1948" s="2">
        <v>45298</v>
      </c>
      <c r="F1948" s="2">
        <v>46015</v>
      </c>
      <c r="G1948">
        <v>1500</v>
      </c>
      <c r="H1948" t="s">
        <v>15</v>
      </c>
      <c r="I1948" t="s">
        <v>16</v>
      </c>
      <c r="J1948">
        <f t="shared" si="121"/>
        <v>4500</v>
      </c>
      <c r="K1948" t="str">
        <f t="shared" si="120"/>
        <v>35+</v>
      </c>
      <c r="L1948" t="str">
        <f t="shared" ca="1" si="122"/>
        <v>Safe</v>
      </c>
      <c r="M1948" t="str">
        <f t="shared" si="123"/>
        <v>Jan-2024</v>
      </c>
    </row>
    <row r="1949" spans="1:13" x14ac:dyDescent="0.35">
      <c r="A1949">
        <v>11948</v>
      </c>
      <c r="B1949">
        <v>45</v>
      </c>
      <c r="C1949" t="s">
        <v>10</v>
      </c>
      <c r="D1949" t="s">
        <v>13</v>
      </c>
      <c r="E1949" s="2">
        <v>45479</v>
      </c>
      <c r="F1949" s="2">
        <v>46030</v>
      </c>
      <c r="G1949">
        <v>1500</v>
      </c>
      <c r="H1949" t="s">
        <v>15</v>
      </c>
      <c r="I1949" t="s">
        <v>16</v>
      </c>
      <c r="J1949">
        <f t="shared" si="121"/>
        <v>4500</v>
      </c>
      <c r="K1949" t="str">
        <f t="shared" si="120"/>
        <v>35+</v>
      </c>
      <c r="L1949" t="str">
        <f t="shared" ca="1" si="122"/>
        <v>Safe</v>
      </c>
      <c r="M1949" t="str">
        <f t="shared" si="123"/>
        <v>Jul-2024</v>
      </c>
    </row>
    <row r="1950" spans="1:13" x14ac:dyDescent="0.35">
      <c r="A1950">
        <v>11949</v>
      </c>
      <c r="B1950">
        <v>26</v>
      </c>
      <c r="C1950" t="s">
        <v>9</v>
      </c>
      <c r="D1950" t="s">
        <v>12</v>
      </c>
      <c r="E1950" s="2">
        <v>45678</v>
      </c>
      <c r="F1950" s="2">
        <v>46011</v>
      </c>
      <c r="G1950">
        <v>1300</v>
      </c>
      <c r="H1950" t="s">
        <v>15</v>
      </c>
      <c r="I1950" t="s">
        <v>16</v>
      </c>
      <c r="J1950">
        <f t="shared" si="121"/>
        <v>15600</v>
      </c>
      <c r="K1950" t="str">
        <f t="shared" si="120"/>
        <v>25-34</v>
      </c>
      <c r="L1950" t="str">
        <f t="shared" ca="1" si="122"/>
        <v>Safe</v>
      </c>
      <c r="M1950" t="str">
        <f t="shared" si="123"/>
        <v>Jan-2025</v>
      </c>
    </row>
    <row r="1951" spans="1:13" x14ac:dyDescent="0.35">
      <c r="A1951">
        <v>11950</v>
      </c>
      <c r="B1951">
        <v>20</v>
      </c>
      <c r="C1951" t="s">
        <v>9</v>
      </c>
      <c r="D1951" t="s">
        <v>11</v>
      </c>
      <c r="E1951" s="2">
        <v>45890</v>
      </c>
      <c r="F1951" s="2">
        <v>46027</v>
      </c>
      <c r="G1951">
        <v>1200</v>
      </c>
      <c r="H1951" t="s">
        <v>14</v>
      </c>
      <c r="I1951" t="s">
        <v>16</v>
      </c>
      <c r="J1951">
        <f t="shared" si="121"/>
        <v>1200</v>
      </c>
      <c r="K1951" t="str">
        <f t="shared" si="120"/>
        <v>18-24</v>
      </c>
      <c r="L1951" t="str">
        <f t="shared" ca="1" si="122"/>
        <v>Safe</v>
      </c>
      <c r="M1951" t="str">
        <f t="shared" si="123"/>
        <v>Aug-2025</v>
      </c>
    </row>
    <row r="1952" spans="1:13" x14ac:dyDescent="0.35">
      <c r="A1952">
        <v>11951</v>
      </c>
      <c r="B1952">
        <v>42</v>
      </c>
      <c r="C1952" t="s">
        <v>9</v>
      </c>
      <c r="D1952" t="s">
        <v>11</v>
      </c>
      <c r="E1952" s="2">
        <v>45667</v>
      </c>
      <c r="F1952" s="2">
        <v>46021</v>
      </c>
      <c r="G1952">
        <v>1200</v>
      </c>
      <c r="H1952" t="s">
        <v>14</v>
      </c>
      <c r="I1952" t="s">
        <v>16</v>
      </c>
      <c r="J1952">
        <f t="shared" si="121"/>
        <v>1200</v>
      </c>
      <c r="K1952" t="str">
        <f t="shared" si="120"/>
        <v>35+</v>
      </c>
      <c r="L1952" t="str">
        <f t="shared" ca="1" si="122"/>
        <v>Safe</v>
      </c>
      <c r="M1952" t="str">
        <f t="shared" si="123"/>
        <v>Jan-2025</v>
      </c>
    </row>
    <row r="1953" spans="1:13" x14ac:dyDescent="0.35">
      <c r="A1953">
        <v>11952</v>
      </c>
      <c r="B1953">
        <v>19</v>
      </c>
      <c r="C1953" t="s">
        <v>10</v>
      </c>
      <c r="D1953" t="s">
        <v>11</v>
      </c>
      <c r="E1953" s="2">
        <v>45800</v>
      </c>
      <c r="F1953" s="2">
        <v>46021</v>
      </c>
      <c r="G1953">
        <v>1700</v>
      </c>
      <c r="H1953" t="s">
        <v>15</v>
      </c>
      <c r="I1953" t="s">
        <v>16</v>
      </c>
      <c r="J1953">
        <f t="shared" si="121"/>
        <v>1700</v>
      </c>
      <c r="K1953" t="str">
        <f t="shared" si="120"/>
        <v>18-24</v>
      </c>
      <c r="L1953" t="str">
        <f t="shared" ca="1" si="122"/>
        <v>Safe</v>
      </c>
      <c r="M1953" t="str">
        <f t="shared" si="123"/>
        <v>May-2025</v>
      </c>
    </row>
    <row r="1954" spans="1:13" x14ac:dyDescent="0.35">
      <c r="A1954">
        <v>11953</v>
      </c>
      <c r="B1954">
        <v>29</v>
      </c>
      <c r="C1954" t="s">
        <v>9</v>
      </c>
      <c r="D1954" t="s">
        <v>13</v>
      </c>
      <c r="E1954" s="2">
        <v>45417</v>
      </c>
      <c r="F1954" s="2">
        <v>46024</v>
      </c>
      <c r="G1954">
        <v>1000</v>
      </c>
      <c r="H1954" t="s">
        <v>14</v>
      </c>
      <c r="I1954" t="s">
        <v>16</v>
      </c>
      <c r="J1954">
        <f t="shared" si="121"/>
        <v>3000</v>
      </c>
      <c r="K1954" t="str">
        <f t="shared" si="120"/>
        <v>25-34</v>
      </c>
      <c r="L1954" t="str">
        <f t="shared" ca="1" si="122"/>
        <v>Safe</v>
      </c>
      <c r="M1954" t="str">
        <f t="shared" si="123"/>
        <v>May-2024</v>
      </c>
    </row>
    <row r="1955" spans="1:13" x14ac:dyDescent="0.35">
      <c r="A1955">
        <v>11954</v>
      </c>
      <c r="B1955">
        <v>27</v>
      </c>
      <c r="C1955" t="s">
        <v>10</v>
      </c>
      <c r="D1955" t="s">
        <v>12</v>
      </c>
      <c r="E1955" s="2">
        <v>45520</v>
      </c>
      <c r="F1955" s="2">
        <v>46014</v>
      </c>
      <c r="G1955">
        <v>1300</v>
      </c>
      <c r="H1955" t="s">
        <v>15</v>
      </c>
      <c r="I1955" t="s">
        <v>16</v>
      </c>
      <c r="J1955">
        <f t="shared" si="121"/>
        <v>15600</v>
      </c>
      <c r="K1955" t="str">
        <f t="shared" si="120"/>
        <v>25-34</v>
      </c>
      <c r="L1955" t="str">
        <f t="shared" ca="1" si="122"/>
        <v>Safe</v>
      </c>
      <c r="M1955" t="str">
        <f t="shared" si="123"/>
        <v>Aug-2024</v>
      </c>
    </row>
    <row r="1956" spans="1:13" x14ac:dyDescent="0.35">
      <c r="A1956">
        <v>11955</v>
      </c>
      <c r="B1956">
        <v>26</v>
      </c>
      <c r="C1956" t="s">
        <v>9</v>
      </c>
      <c r="D1956" t="s">
        <v>11</v>
      </c>
      <c r="E1956" s="2">
        <v>45982</v>
      </c>
      <c r="F1956" s="2">
        <v>46030</v>
      </c>
      <c r="G1956">
        <v>1200</v>
      </c>
      <c r="H1956" t="s">
        <v>14</v>
      </c>
      <c r="I1956" t="s">
        <v>16</v>
      </c>
      <c r="J1956">
        <f t="shared" si="121"/>
        <v>1200</v>
      </c>
      <c r="K1956" t="str">
        <f t="shared" si="120"/>
        <v>25-34</v>
      </c>
      <c r="L1956" t="str">
        <f t="shared" ca="1" si="122"/>
        <v>Safe</v>
      </c>
      <c r="M1956" t="str">
        <f t="shared" si="123"/>
        <v>Nov-2025</v>
      </c>
    </row>
    <row r="1957" spans="1:13" x14ac:dyDescent="0.35">
      <c r="A1957">
        <v>11956</v>
      </c>
      <c r="B1957">
        <v>32</v>
      </c>
      <c r="C1957" t="s">
        <v>10</v>
      </c>
      <c r="D1957" t="s">
        <v>13</v>
      </c>
      <c r="E1957" s="2">
        <v>45316</v>
      </c>
      <c r="F1957" s="2">
        <v>46010</v>
      </c>
      <c r="G1957">
        <v>1000</v>
      </c>
      <c r="H1957" t="s">
        <v>14</v>
      </c>
      <c r="I1957" t="s">
        <v>16</v>
      </c>
      <c r="J1957">
        <f t="shared" si="121"/>
        <v>3000</v>
      </c>
      <c r="K1957" t="str">
        <f t="shared" si="120"/>
        <v>25-34</v>
      </c>
      <c r="L1957" t="str">
        <f t="shared" ca="1" si="122"/>
        <v>Safe</v>
      </c>
      <c r="M1957" t="str">
        <f t="shared" si="123"/>
        <v>Jan-2024</v>
      </c>
    </row>
    <row r="1958" spans="1:13" x14ac:dyDescent="0.35">
      <c r="A1958">
        <v>11957</v>
      </c>
      <c r="B1958">
        <v>25</v>
      </c>
      <c r="C1958" t="s">
        <v>10</v>
      </c>
      <c r="D1958" t="s">
        <v>11</v>
      </c>
      <c r="E1958" s="2">
        <v>45659</v>
      </c>
      <c r="F1958" s="2">
        <v>46027</v>
      </c>
      <c r="G1958">
        <v>1700</v>
      </c>
      <c r="H1958" t="s">
        <v>15</v>
      </c>
      <c r="I1958" t="s">
        <v>16</v>
      </c>
      <c r="J1958">
        <f t="shared" si="121"/>
        <v>1700</v>
      </c>
      <c r="K1958" t="str">
        <f t="shared" si="120"/>
        <v>25-34</v>
      </c>
      <c r="L1958" t="str">
        <f t="shared" ca="1" si="122"/>
        <v>Safe</v>
      </c>
      <c r="M1958" t="str">
        <f t="shared" si="123"/>
        <v>Jan-2025</v>
      </c>
    </row>
    <row r="1959" spans="1:13" x14ac:dyDescent="0.35">
      <c r="A1959">
        <v>11958</v>
      </c>
      <c r="B1959">
        <v>42</v>
      </c>
      <c r="C1959" t="s">
        <v>10</v>
      </c>
      <c r="D1959" t="s">
        <v>13</v>
      </c>
      <c r="E1959" s="2">
        <v>45808</v>
      </c>
      <c r="F1959" s="2">
        <v>46032</v>
      </c>
      <c r="G1959">
        <v>1500</v>
      </c>
      <c r="H1959" t="s">
        <v>15</v>
      </c>
      <c r="I1959" t="s">
        <v>16</v>
      </c>
      <c r="J1959">
        <f t="shared" si="121"/>
        <v>4500</v>
      </c>
      <c r="K1959" t="str">
        <f t="shared" si="120"/>
        <v>35+</v>
      </c>
      <c r="L1959" t="str">
        <f t="shared" ca="1" si="122"/>
        <v>Safe</v>
      </c>
      <c r="M1959" t="str">
        <f t="shared" si="123"/>
        <v>May-2025</v>
      </c>
    </row>
    <row r="1960" spans="1:13" x14ac:dyDescent="0.35">
      <c r="A1960">
        <v>11959</v>
      </c>
      <c r="B1960">
        <v>22</v>
      </c>
      <c r="C1960" t="s">
        <v>9</v>
      </c>
      <c r="D1960" t="s">
        <v>12</v>
      </c>
      <c r="E1960" s="2">
        <v>45557</v>
      </c>
      <c r="F1960" s="2">
        <v>46021</v>
      </c>
      <c r="G1960">
        <v>800</v>
      </c>
      <c r="H1960" t="s">
        <v>14</v>
      </c>
      <c r="I1960" t="s">
        <v>16</v>
      </c>
      <c r="J1960">
        <f t="shared" si="121"/>
        <v>9600</v>
      </c>
      <c r="K1960" t="str">
        <f t="shared" si="120"/>
        <v>18-24</v>
      </c>
      <c r="L1960" t="str">
        <f t="shared" ca="1" si="122"/>
        <v>Safe</v>
      </c>
      <c r="M1960" t="str">
        <f t="shared" si="123"/>
        <v>Sep-2024</v>
      </c>
    </row>
    <row r="1961" spans="1:13" x14ac:dyDescent="0.35">
      <c r="A1961">
        <v>11960</v>
      </c>
      <c r="B1961">
        <v>28</v>
      </c>
      <c r="C1961" t="s">
        <v>9</v>
      </c>
      <c r="D1961" t="s">
        <v>11</v>
      </c>
      <c r="E1961" s="2">
        <v>45286</v>
      </c>
      <c r="F1961" s="2">
        <v>45937</v>
      </c>
      <c r="G1961">
        <v>1200</v>
      </c>
      <c r="H1961" t="s">
        <v>14</v>
      </c>
      <c r="I1961" t="s">
        <v>17</v>
      </c>
      <c r="J1961">
        <f t="shared" si="121"/>
        <v>1200</v>
      </c>
      <c r="K1961" t="str">
        <f t="shared" si="120"/>
        <v>25-34</v>
      </c>
      <c r="L1961" t="str">
        <f t="shared" ca="1" si="122"/>
        <v>High Risk</v>
      </c>
      <c r="M1961" t="str">
        <f t="shared" si="123"/>
        <v>Dec-2023</v>
      </c>
    </row>
    <row r="1962" spans="1:13" x14ac:dyDescent="0.35">
      <c r="A1962">
        <v>11961</v>
      </c>
      <c r="B1962">
        <v>44</v>
      </c>
      <c r="C1962" t="s">
        <v>10</v>
      </c>
      <c r="D1962" t="s">
        <v>11</v>
      </c>
      <c r="E1962" s="2">
        <v>45990</v>
      </c>
      <c r="F1962" s="2">
        <v>46022</v>
      </c>
      <c r="G1962">
        <v>1200</v>
      </c>
      <c r="H1962" t="s">
        <v>14</v>
      </c>
      <c r="I1962" t="s">
        <v>16</v>
      </c>
      <c r="J1962">
        <f t="shared" si="121"/>
        <v>1200</v>
      </c>
      <c r="K1962" t="str">
        <f t="shared" si="120"/>
        <v>35+</v>
      </c>
      <c r="L1962" t="str">
        <f t="shared" ca="1" si="122"/>
        <v>Safe</v>
      </c>
      <c r="M1962" t="str">
        <f t="shared" si="123"/>
        <v>Nov-2025</v>
      </c>
    </row>
    <row r="1963" spans="1:13" x14ac:dyDescent="0.35">
      <c r="A1963">
        <v>11962</v>
      </c>
      <c r="B1963">
        <v>19</v>
      </c>
      <c r="C1963" t="s">
        <v>9</v>
      </c>
      <c r="D1963" t="s">
        <v>12</v>
      </c>
      <c r="E1963" s="2">
        <v>45752</v>
      </c>
      <c r="F1963" s="2">
        <v>46032</v>
      </c>
      <c r="G1963">
        <v>800</v>
      </c>
      <c r="H1963" t="s">
        <v>14</v>
      </c>
      <c r="I1963" t="s">
        <v>16</v>
      </c>
      <c r="J1963">
        <f t="shared" si="121"/>
        <v>9600</v>
      </c>
      <c r="K1963" t="str">
        <f t="shared" si="120"/>
        <v>18-24</v>
      </c>
      <c r="L1963" t="str">
        <f t="shared" ca="1" si="122"/>
        <v>Safe</v>
      </c>
      <c r="M1963" t="str">
        <f t="shared" si="123"/>
        <v>Apr-2025</v>
      </c>
    </row>
    <row r="1964" spans="1:13" x14ac:dyDescent="0.35">
      <c r="A1964">
        <v>11963</v>
      </c>
      <c r="B1964">
        <v>41</v>
      </c>
      <c r="C1964" t="s">
        <v>9</v>
      </c>
      <c r="D1964" t="s">
        <v>12</v>
      </c>
      <c r="E1964" s="2">
        <v>45511</v>
      </c>
      <c r="F1964" s="2">
        <v>46024</v>
      </c>
      <c r="G1964">
        <v>800</v>
      </c>
      <c r="H1964" t="s">
        <v>14</v>
      </c>
      <c r="I1964" t="s">
        <v>16</v>
      </c>
      <c r="J1964">
        <f t="shared" si="121"/>
        <v>9600</v>
      </c>
      <c r="K1964" t="str">
        <f t="shared" si="120"/>
        <v>35+</v>
      </c>
      <c r="L1964" t="str">
        <f t="shared" ca="1" si="122"/>
        <v>Safe</v>
      </c>
      <c r="M1964" t="str">
        <f t="shared" si="123"/>
        <v>Aug-2024</v>
      </c>
    </row>
    <row r="1965" spans="1:13" x14ac:dyDescent="0.35">
      <c r="A1965">
        <v>11964</v>
      </c>
      <c r="B1965">
        <v>45</v>
      </c>
      <c r="C1965" t="s">
        <v>9</v>
      </c>
      <c r="D1965" t="s">
        <v>13</v>
      </c>
      <c r="E1965" s="2">
        <v>45415</v>
      </c>
      <c r="F1965" s="2">
        <v>46014</v>
      </c>
      <c r="G1965">
        <v>1500</v>
      </c>
      <c r="H1965" t="s">
        <v>15</v>
      </c>
      <c r="I1965" t="s">
        <v>16</v>
      </c>
      <c r="J1965">
        <f t="shared" si="121"/>
        <v>4500</v>
      </c>
      <c r="K1965" t="str">
        <f t="shared" si="120"/>
        <v>35+</v>
      </c>
      <c r="L1965" t="str">
        <f t="shared" ca="1" si="122"/>
        <v>Safe</v>
      </c>
      <c r="M1965" t="str">
        <f t="shared" si="123"/>
        <v>May-2024</v>
      </c>
    </row>
    <row r="1966" spans="1:13" x14ac:dyDescent="0.35">
      <c r="A1966">
        <v>11965</v>
      </c>
      <c r="B1966">
        <v>32</v>
      </c>
      <c r="C1966" t="s">
        <v>10</v>
      </c>
      <c r="D1966" t="s">
        <v>13</v>
      </c>
      <c r="E1966" s="2">
        <v>45700</v>
      </c>
      <c r="F1966" s="2">
        <v>46015</v>
      </c>
      <c r="G1966">
        <v>1500</v>
      </c>
      <c r="H1966" t="s">
        <v>15</v>
      </c>
      <c r="I1966" t="s">
        <v>16</v>
      </c>
      <c r="J1966">
        <f t="shared" si="121"/>
        <v>4500</v>
      </c>
      <c r="K1966" t="str">
        <f t="shared" si="120"/>
        <v>25-34</v>
      </c>
      <c r="L1966" t="str">
        <f t="shared" ca="1" si="122"/>
        <v>Safe</v>
      </c>
      <c r="M1966" t="str">
        <f t="shared" si="123"/>
        <v>Feb-2025</v>
      </c>
    </row>
    <row r="1967" spans="1:13" x14ac:dyDescent="0.35">
      <c r="A1967">
        <v>11966</v>
      </c>
      <c r="B1967">
        <v>23</v>
      </c>
      <c r="C1967" t="s">
        <v>9</v>
      </c>
      <c r="D1967" t="s">
        <v>11</v>
      </c>
      <c r="E1967" s="2">
        <v>45548</v>
      </c>
      <c r="F1967" s="2">
        <v>45925</v>
      </c>
      <c r="G1967">
        <v>1200</v>
      </c>
      <c r="H1967" t="s">
        <v>14</v>
      </c>
      <c r="I1967" t="s">
        <v>17</v>
      </c>
      <c r="J1967">
        <f t="shared" si="121"/>
        <v>1200</v>
      </c>
      <c r="K1967" t="str">
        <f t="shared" si="120"/>
        <v>18-24</v>
      </c>
      <c r="L1967" t="str">
        <f t="shared" ca="1" si="122"/>
        <v>High Risk</v>
      </c>
      <c r="M1967" t="str">
        <f t="shared" si="123"/>
        <v>Sep-2024</v>
      </c>
    </row>
    <row r="1968" spans="1:13" x14ac:dyDescent="0.35">
      <c r="A1968">
        <v>11967</v>
      </c>
      <c r="B1968">
        <v>25</v>
      </c>
      <c r="C1968" t="s">
        <v>9</v>
      </c>
      <c r="D1968" t="s">
        <v>13</v>
      </c>
      <c r="E1968" s="2">
        <v>45489</v>
      </c>
      <c r="F1968" s="2">
        <v>46002</v>
      </c>
      <c r="G1968">
        <v>1500</v>
      </c>
      <c r="H1968" t="s">
        <v>15</v>
      </c>
      <c r="I1968" t="s">
        <v>17</v>
      </c>
      <c r="J1968">
        <f t="shared" si="121"/>
        <v>4500</v>
      </c>
      <c r="K1968" t="str">
        <f t="shared" si="120"/>
        <v>25-34</v>
      </c>
      <c r="L1968" t="str">
        <f t="shared" ca="1" si="122"/>
        <v>High Risk</v>
      </c>
      <c r="M1968" t="str">
        <f t="shared" si="123"/>
        <v>Jul-2024</v>
      </c>
    </row>
    <row r="1969" spans="1:13" x14ac:dyDescent="0.35">
      <c r="A1969">
        <v>11968</v>
      </c>
      <c r="B1969">
        <v>44</v>
      </c>
      <c r="C1969" t="s">
        <v>10</v>
      </c>
      <c r="D1969" t="s">
        <v>12</v>
      </c>
      <c r="E1969" s="2">
        <v>45188</v>
      </c>
      <c r="F1969" s="2">
        <v>46016</v>
      </c>
      <c r="G1969">
        <v>800</v>
      </c>
      <c r="H1969" t="s">
        <v>14</v>
      </c>
      <c r="I1969" t="s">
        <v>16</v>
      </c>
      <c r="J1969">
        <f t="shared" si="121"/>
        <v>9600</v>
      </c>
      <c r="K1969" t="str">
        <f t="shared" si="120"/>
        <v>35+</v>
      </c>
      <c r="L1969" t="str">
        <f t="shared" ca="1" si="122"/>
        <v>Safe</v>
      </c>
      <c r="M1969" t="str">
        <f t="shared" si="123"/>
        <v>Sep-2023</v>
      </c>
    </row>
    <row r="1970" spans="1:13" x14ac:dyDescent="0.35">
      <c r="A1970">
        <v>11969</v>
      </c>
      <c r="B1970">
        <v>22</v>
      </c>
      <c r="C1970" t="s">
        <v>9</v>
      </c>
      <c r="D1970" t="s">
        <v>13</v>
      </c>
      <c r="E1970" s="2">
        <v>45582</v>
      </c>
      <c r="F1970" s="2">
        <v>46015</v>
      </c>
      <c r="G1970">
        <v>1500</v>
      </c>
      <c r="H1970" t="s">
        <v>15</v>
      </c>
      <c r="I1970" t="s">
        <v>16</v>
      </c>
      <c r="J1970">
        <f t="shared" si="121"/>
        <v>4500</v>
      </c>
      <c r="K1970" t="str">
        <f t="shared" si="120"/>
        <v>18-24</v>
      </c>
      <c r="L1970" t="str">
        <f t="shared" ca="1" si="122"/>
        <v>Safe</v>
      </c>
      <c r="M1970" t="str">
        <f t="shared" si="123"/>
        <v>Oct-2024</v>
      </c>
    </row>
    <row r="1971" spans="1:13" x14ac:dyDescent="0.35">
      <c r="A1971">
        <v>11970</v>
      </c>
      <c r="B1971">
        <v>33</v>
      </c>
      <c r="C1971" t="s">
        <v>10</v>
      </c>
      <c r="D1971" t="s">
        <v>11</v>
      </c>
      <c r="E1971" s="2">
        <v>45266</v>
      </c>
      <c r="F1971" s="2">
        <v>46024</v>
      </c>
      <c r="G1971">
        <v>1700</v>
      </c>
      <c r="H1971" t="s">
        <v>15</v>
      </c>
      <c r="I1971" t="s">
        <v>16</v>
      </c>
      <c r="J1971">
        <f t="shared" si="121"/>
        <v>1700</v>
      </c>
      <c r="K1971" t="str">
        <f t="shared" si="120"/>
        <v>25-34</v>
      </c>
      <c r="L1971" t="str">
        <f t="shared" ca="1" si="122"/>
        <v>Safe</v>
      </c>
      <c r="M1971" t="str">
        <f t="shared" si="123"/>
        <v>Dec-2023</v>
      </c>
    </row>
    <row r="1972" spans="1:13" x14ac:dyDescent="0.35">
      <c r="A1972">
        <v>11971</v>
      </c>
      <c r="B1972">
        <v>43</v>
      </c>
      <c r="C1972" t="s">
        <v>9</v>
      </c>
      <c r="D1972" t="s">
        <v>11</v>
      </c>
      <c r="E1972" s="2">
        <v>45371</v>
      </c>
      <c r="F1972" s="2">
        <v>46015</v>
      </c>
      <c r="G1972">
        <v>1700</v>
      </c>
      <c r="H1972" t="s">
        <v>15</v>
      </c>
      <c r="I1972" t="s">
        <v>16</v>
      </c>
      <c r="J1972">
        <f t="shared" si="121"/>
        <v>1700</v>
      </c>
      <c r="K1972" t="str">
        <f t="shared" si="120"/>
        <v>35+</v>
      </c>
      <c r="L1972" t="str">
        <f t="shared" ca="1" si="122"/>
        <v>Safe</v>
      </c>
      <c r="M1972" t="str">
        <f t="shared" si="123"/>
        <v>Mar-2024</v>
      </c>
    </row>
    <row r="1973" spans="1:13" x14ac:dyDescent="0.35">
      <c r="A1973">
        <v>11972</v>
      </c>
      <c r="B1973">
        <v>35</v>
      </c>
      <c r="C1973" t="s">
        <v>9</v>
      </c>
      <c r="D1973" t="s">
        <v>11</v>
      </c>
      <c r="E1973" s="2">
        <v>45643</v>
      </c>
      <c r="F1973" s="2">
        <v>45924</v>
      </c>
      <c r="G1973">
        <v>1200</v>
      </c>
      <c r="H1973" t="s">
        <v>14</v>
      </c>
      <c r="I1973" t="s">
        <v>17</v>
      </c>
      <c r="J1973">
        <f t="shared" si="121"/>
        <v>1200</v>
      </c>
      <c r="K1973" t="str">
        <f t="shared" si="120"/>
        <v>35+</v>
      </c>
      <c r="L1973" t="str">
        <f t="shared" ca="1" si="122"/>
        <v>High Risk</v>
      </c>
      <c r="M1973" t="str">
        <f t="shared" si="123"/>
        <v>Dec-2024</v>
      </c>
    </row>
    <row r="1974" spans="1:13" x14ac:dyDescent="0.35">
      <c r="A1974">
        <v>11973</v>
      </c>
      <c r="B1974">
        <v>23</v>
      </c>
      <c r="C1974" t="s">
        <v>9</v>
      </c>
      <c r="D1974" t="s">
        <v>11</v>
      </c>
      <c r="E1974" s="2">
        <v>45663</v>
      </c>
      <c r="F1974" s="2">
        <v>46029</v>
      </c>
      <c r="G1974">
        <v>1700</v>
      </c>
      <c r="H1974" t="s">
        <v>15</v>
      </c>
      <c r="I1974" t="s">
        <v>16</v>
      </c>
      <c r="J1974">
        <f t="shared" si="121"/>
        <v>1700</v>
      </c>
      <c r="K1974" t="str">
        <f t="shared" si="120"/>
        <v>18-24</v>
      </c>
      <c r="L1974" t="str">
        <f t="shared" ca="1" si="122"/>
        <v>Safe</v>
      </c>
      <c r="M1974" t="str">
        <f t="shared" si="123"/>
        <v>Jan-2025</v>
      </c>
    </row>
    <row r="1975" spans="1:13" x14ac:dyDescent="0.35">
      <c r="A1975">
        <v>11974</v>
      </c>
      <c r="B1975">
        <v>22</v>
      </c>
      <c r="C1975" t="s">
        <v>9</v>
      </c>
      <c r="D1975" t="s">
        <v>11</v>
      </c>
      <c r="E1975" s="2">
        <v>45815</v>
      </c>
      <c r="F1975" s="2">
        <v>46013</v>
      </c>
      <c r="G1975">
        <v>1200</v>
      </c>
      <c r="H1975" t="s">
        <v>14</v>
      </c>
      <c r="I1975" t="s">
        <v>16</v>
      </c>
      <c r="J1975">
        <f t="shared" si="121"/>
        <v>1200</v>
      </c>
      <c r="K1975" t="str">
        <f t="shared" si="120"/>
        <v>18-24</v>
      </c>
      <c r="L1975" t="str">
        <f t="shared" ca="1" si="122"/>
        <v>Safe</v>
      </c>
      <c r="M1975" t="str">
        <f t="shared" si="123"/>
        <v>Jun-2025</v>
      </c>
    </row>
    <row r="1976" spans="1:13" x14ac:dyDescent="0.35">
      <c r="A1976">
        <v>11975</v>
      </c>
      <c r="B1976">
        <v>45</v>
      </c>
      <c r="C1976" t="s">
        <v>10</v>
      </c>
      <c r="D1976" t="s">
        <v>11</v>
      </c>
      <c r="E1976" s="2">
        <v>45459</v>
      </c>
      <c r="F1976" s="2">
        <v>46020</v>
      </c>
      <c r="G1976">
        <v>1200</v>
      </c>
      <c r="H1976" t="s">
        <v>14</v>
      </c>
      <c r="I1976" t="s">
        <v>16</v>
      </c>
      <c r="J1976">
        <f t="shared" si="121"/>
        <v>1200</v>
      </c>
      <c r="K1976" t="str">
        <f t="shared" si="120"/>
        <v>35+</v>
      </c>
      <c r="L1976" t="str">
        <f t="shared" ca="1" si="122"/>
        <v>Safe</v>
      </c>
      <c r="M1976" t="str">
        <f t="shared" si="123"/>
        <v>Jun-2024</v>
      </c>
    </row>
    <row r="1977" spans="1:13" x14ac:dyDescent="0.35">
      <c r="A1977">
        <v>11976</v>
      </c>
      <c r="B1977">
        <v>33</v>
      </c>
      <c r="C1977" t="s">
        <v>9</v>
      </c>
      <c r="D1977" t="s">
        <v>11</v>
      </c>
      <c r="E1977" s="2">
        <v>45806</v>
      </c>
      <c r="F1977" s="2">
        <v>46023</v>
      </c>
      <c r="G1977">
        <v>1200</v>
      </c>
      <c r="H1977" t="s">
        <v>14</v>
      </c>
      <c r="I1977" t="s">
        <v>16</v>
      </c>
      <c r="J1977">
        <f t="shared" si="121"/>
        <v>1200</v>
      </c>
      <c r="K1977" t="str">
        <f t="shared" si="120"/>
        <v>25-34</v>
      </c>
      <c r="L1977" t="str">
        <f t="shared" ca="1" si="122"/>
        <v>Safe</v>
      </c>
      <c r="M1977" t="str">
        <f t="shared" si="123"/>
        <v>May-2025</v>
      </c>
    </row>
    <row r="1978" spans="1:13" x14ac:dyDescent="0.35">
      <c r="A1978">
        <v>11977</v>
      </c>
      <c r="B1978">
        <v>30</v>
      </c>
      <c r="C1978" t="s">
        <v>9</v>
      </c>
      <c r="D1978" t="s">
        <v>11</v>
      </c>
      <c r="E1978" s="2">
        <v>45568</v>
      </c>
      <c r="F1978" s="2">
        <v>46024</v>
      </c>
      <c r="G1978">
        <v>1200</v>
      </c>
      <c r="H1978" t="s">
        <v>14</v>
      </c>
      <c r="I1978" t="s">
        <v>16</v>
      </c>
      <c r="J1978">
        <f t="shared" si="121"/>
        <v>1200</v>
      </c>
      <c r="K1978" t="str">
        <f t="shared" si="120"/>
        <v>25-34</v>
      </c>
      <c r="L1978" t="str">
        <f t="shared" ca="1" si="122"/>
        <v>Safe</v>
      </c>
      <c r="M1978" t="str">
        <f t="shared" si="123"/>
        <v>Oct-2024</v>
      </c>
    </row>
    <row r="1979" spans="1:13" x14ac:dyDescent="0.35">
      <c r="A1979">
        <v>11978</v>
      </c>
      <c r="B1979">
        <v>45</v>
      </c>
      <c r="C1979" t="s">
        <v>9</v>
      </c>
      <c r="D1979" t="s">
        <v>13</v>
      </c>
      <c r="E1979" s="2">
        <v>45708</v>
      </c>
      <c r="F1979" s="2">
        <v>46013</v>
      </c>
      <c r="G1979">
        <v>1500</v>
      </c>
      <c r="H1979" t="s">
        <v>15</v>
      </c>
      <c r="I1979" t="s">
        <v>16</v>
      </c>
      <c r="J1979">
        <f t="shared" si="121"/>
        <v>4500</v>
      </c>
      <c r="K1979" t="str">
        <f t="shared" si="120"/>
        <v>35+</v>
      </c>
      <c r="L1979" t="str">
        <f t="shared" ca="1" si="122"/>
        <v>Safe</v>
      </c>
      <c r="M1979" t="str">
        <f t="shared" si="123"/>
        <v>Feb-2025</v>
      </c>
    </row>
    <row r="1980" spans="1:13" x14ac:dyDescent="0.35">
      <c r="A1980">
        <v>11979</v>
      </c>
      <c r="B1980">
        <v>22</v>
      </c>
      <c r="C1980" t="s">
        <v>9</v>
      </c>
      <c r="D1980" t="s">
        <v>11</v>
      </c>
      <c r="E1980" s="2">
        <v>45241</v>
      </c>
      <c r="F1980" s="2">
        <v>45934</v>
      </c>
      <c r="G1980">
        <v>1200</v>
      </c>
      <c r="H1980" t="s">
        <v>14</v>
      </c>
      <c r="I1980" t="s">
        <v>17</v>
      </c>
      <c r="J1980">
        <f t="shared" si="121"/>
        <v>1200</v>
      </c>
      <c r="K1980" t="str">
        <f t="shared" si="120"/>
        <v>18-24</v>
      </c>
      <c r="L1980" t="str">
        <f t="shared" ca="1" si="122"/>
        <v>High Risk</v>
      </c>
      <c r="M1980" t="str">
        <f t="shared" si="123"/>
        <v>Nov-2023</v>
      </c>
    </row>
    <row r="1981" spans="1:13" x14ac:dyDescent="0.35">
      <c r="A1981">
        <v>11980</v>
      </c>
      <c r="B1981">
        <v>30</v>
      </c>
      <c r="C1981" t="s">
        <v>9</v>
      </c>
      <c r="D1981" t="s">
        <v>11</v>
      </c>
      <c r="E1981" s="2">
        <v>45546</v>
      </c>
      <c r="F1981" s="2">
        <v>45966</v>
      </c>
      <c r="G1981">
        <v>1700</v>
      </c>
      <c r="H1981" t="s">
        <v>15</v>
      </c>
      <c r="I1981" t="s">
        <v>17</v>
      </c>
      <c r="J1981">
        <f t="shared" si="121"/>
        <v>1700</v>
      </c>
      <c r="K1981" t="str">
        <f t="shared" si="120"/>
        <v>25-34</v>
      </c>
      <c r="L1981" t="str">
        <f t="shared" ca="1" si="122"/>
        <v>High Risk</v>
      </c>
      <c r="M1981" t="str">
        <f t="shared" si="123"/>
        <v>Sep-2024</v>
      </c>
    </row>
    <row r="1982" spans="1:13" x14ac:dyDescent="0.35">
      <c r="A1982">
        <v>11981</v>
      </c>
      <c r="B1982">
        <v>34</v>
      </c>
      <c r="C1982" t="s">
        <v>9</v>
      </c>
      <c r="D1982" t="s">
        <v>11</v>
      </c>
      <c r="E1982" s="2">
        <v>45553</v>
      </c>
      <c r="F1982" s="2">
        <v>45929</v>
      </c>
      <c r="G1982">
        <v>1200</v>
      </c>
      <c r="H1982" t="s">
        <v>14</v>
      </c>
      <c r="I1982" t="s">
        <v>17</v>
      </c>
      <c r="J1982">
        <f t="shared" si="121"/>
        <v>1200</v>
      </c>
      <c r="K1982" t="str">
        <f t="shared" si="120"/>
        <v>25-34</v>
      </c>
      <c r="L1982" t="str">
        <f t="shared" ca="1" si="122"/>
        <v>High Risk</v>
      </c>
      <c r="M1982" t="str">
        <f t="shared" si="123"/>
        <v>Sep-2024</v>
      </c>
    </row>
    <row r="1983" spans="1:13" x14ac:dyDescent="0.35">
      <c r="A1983">
        <v>11982</v>
      </c>
      <c r="B1983">
        <v>35</v>
      </c>
      <c r="C1983" t="s">
        <v>9</v>
      </c>
      <c r="D1983" t="s">
        <v>11</v>
      </c>
      <c r="E1983" s="2">
        <v>45658</v>
      </c>
      <c r="F1983" s="2">
        <v>46023</v>
      </c>
      <c r="G1983">
        <v>1700</v>
      </c>
      <c r="H1983" t="s">
        <v>15</v>
      </c>
      <c r="I1983" t="s">
        <v>16</v>
      </c>
      <c r="J1983">
        <f t="shared" si="121"/>
        <v>1700</v>
      </c>
      <c r="K1983" t="str">
        <f t="shared" si="120"/>
        <v>35+</v>
      </c>
      <c r="L1983" t="str">
        <f t="shared" ca="1" si="122"/>
        <v>Safe</v>
      </c>
      <c r="M1983" t="str">
        <f t="shared" si="123"/>
        <v>Jan-2025</v>
      </c>
    </row>
    <row r="1984" spans="1:13" x14ac:dyDescent="0.35">
      <c r="A1984">
        <v>11983</v>
      </c>
      <c r="B1984">
        <v>25</v>
      </c>
      <c r="C1984" t="s">
        <v>10</v>
      </c>
      <c r="D1984" t="s">
        <v>13</v>
      </c>
      <c r="E1984" s="2">
        <v>45536</v>
      </c>
      <c r="F1984" s="2">
        <v>46021</v>
      </c>
      <c r="G1984">
        <v>1000</v>
      </c>
      <c r="H1984" t="s">
        <v>14</v>
      </c>
      <c r="I1984" t="s">
        <v>16</v>
      </c>
      <c r="J1984">
        <f t="shared" si="121"/>
        <v>3000</v>
      </c>
      <c r="K1984" t="str">
        <f t="shared" si="120"/>
        <v>25-34</v>
      </c>
      <c r="L1984" t="str">
        <f t="shared" ca="1" si="122"/>
        <v>Safe</v>
      </c>
      <c r="M1984" t="str">
        <f t="shared" si="123"/>
        <v>Sep-2024</v>
      </c>
    </row>
    <row r="1985" spans="1:13" x14ac:dyDescent="0.35">
      <c r="A1985">
        <v>11984</v>
      </c>
      <c r="B1985">
        <v>30</v>
      </c>
      <c r="C1985" t="s">
        <v>9</v>
      </c>
      <c r="D1985" t="s">
        <v>11</v>
      </c>
      <c r="E1985" s="2">
        <v>45459</v>
      </c>
      <c r="F1985" s="2">
        <v>46031</v>
      </c>
      <c r="G1985">
        <v>1200</v>
      </c>
      <c r="H1985" t="s">
        <v>14</v>
      </c>
      <c r="I1985" t="s">
        <v>16</v>
      </c>
      <c r="J1985">
        <f t="shared" si="121"/>
        <v>1200</v>
      </c>
      <c r="K1985" t="str">
        <f t="shared" si="120"/>
        <v>25-34</v>
      </c>
      <c r="L1985" t="str">
        <f t="shared" ca="1" si="122"/>
        <v>Safe</v>
      </c>
      <c r="M1985" t="str">
        <f t="shared" si="123"/>
        <v>Jun-2024</v>
      </c>
    </row>
    <row r="1986" spans="1:13" x14ac:dyDescent="0.35">
      <c r="A1986">
        <v>11985</v>
      </c>
      <c r="B1986">
        <v>36</v>
      </c>
      <c r="C1986" t="s">
        <v>9</v>
      </c>
      <c r="D1986" t="s">
        <v>12</v>
      </c>
      <c r="E1986" s="2">
        <v>45596</v>
      </c>
      <c r="F1986" s="2">
        <v>46026</v>
      </c>
      <c r="G1986">
        <v>800</v>
      </c>
      <c r="H1986" t="s">
        <v>14</v>
      </c>
      <c r="I1986" t="s">
        <v>16</v>
      </c>
      <c r="J1986">
        <f t="shared" si="121"/>
        <v>9600</v>
      </c>
      <c r="K1986" t="str">
        <f t="shared" ref="K1986:K2001" si="124">IF(B1986&lt;25,"18-24",IF(B1986&lt;35,"25-34","35+"))</f>
        <v>35+</v>
      </c>
      <c r="L1986" t="str">
        <f t="shared" ca="1" si="122"/>
        <v>Safe</v>
      </c>
      <c r="M1986" t="str">
        <f t="shared" si="123"/>
        <v>Oct-2024</v>
      </c>
    </row>
    <row r="1987" spans="1:13" x14ac:dyDescent="0.35">
      <c r="A1987">
        <v>11986</v>
      </c>
      <c r="B1987">
        <v>43</v>
      </c>
      <c r="C1987" t="s">
        <v>9</v>
      </c>
      <c r="D1987" t="s">
        <v>12</v>
      </c>
      <c r="E1987" s="2">
        <v>45985</v>
      </c>
      <c r="F1987" s="2">
        <v>46029</v>
      </c>
      <c r="G1987">
        <v>800</v>
      </c>
      <c r="H1987" t="s">
        <v>14</v>
      </c>
      <c r="I1987" t="s">
        <v>16</v>
      </c>
      <c r="J1987">
        <f t="shared" ref="J1987:J2001" si="125">IF(D1987="Monthly",G1987,IF(D1987="Quarterly",G1987*3,G1987*12))</f>
        <v>9600</v>
      </c>
      <c r="K1987" t="str">
        <f t="shared" si="124"/>
        <v>35+</v>
      </c>
      <c r="L1987" t="str">
        <f t="shared" ref="L1987:L2001" ca="1" si="126">IF(F1987&lt;TODAY()-30,"High Risk","Safe")</f>
        <v>Safe</v>
      </c>
      <c r="M1987" t="str">
        <f t="shared" ref="M1987:M2001" si="127">TEXT(E1987,"mmm-yyyy")</f>
        <v>Nov-2025</v>
      </c>
    </row>
    <row r="1988" spans="1:13" x14ac:dyDescent="0.35">
      <c r="A1988">
        <v>11987</v>
      </c>
      <c r="B1988">
        <v>20</v>
      </c>
      <c r="C1988" t="s">
        <v>10</v>
      </c>
      <c r="D1988" t="s">
        <v>13</v>
      </c>
      <c r="E1988" s="2">
        <v>45734</v>
      </c>
      <c r="F1988" s="2">
        <v>46015</v>
      </c>
      <c r="G1988">
        <v>1000</v>
      </c>
      <c r="H1988" t="s">
        <v>14</v>
      </c>
      <c r="I1988" t="s">
        <v>16</v>
      </c>
      <c r="J1988">
        <f t="shared" si="125"/>
        <v>3000</v>
      </c>
      <c r="K1988" t="str">
        <f t="shared" si="124"/>
        <v>18-24</v>
      </c>
      <c r="L1988" t="str">
        <f t="shared" ca="1" si="126"/>
        <v>Safe</v>
      </c>
      <c r="M1988" t="str">
        <f t="shared" si="127"/>
        <v>Mar-2025</v>
      </c>
    </row>
    <row r="1989" spans="1:13" x14ac:dyDescent="0.35">
      <c r="A1989">
        <v>11988</v>
      </c>
      <c r="B1989">
        <v>41</v>
      </c>
      <c r="C1989" t="s">
        <v>9</v>
      </c>
      <c r="D1989" t="s">
        <v>13</v>
      </c>
      <c r="E1989" s="2">
        <v>45441</v>
      </c>
      <c r="F1989" s="2">
        <v>46030</v>
      </c>
      <c r="G1989">
        <v>1500</v>
      </c>
      <c r="H1989" t="s">
        <v>15</v>
      </c>
      <c r="I1989" t="s">
        <v>16</v>
      </c>
      <c r="J1989">
        <f t="shared" si="125"/>
        <v>4500</v>
      </c>
      <c r="K1989" t="str">
        <f t="shared" si="124"/>
        <v>35+</v>
      </c>
      <c r="L1989" t="str">
        <f t="shared" ca="1" si="126"/>
        <v>Safe</v>
      </c>
      <c r="M1989" t="str">
        <f t="shared" si="127"/>
        <v>May-2024</v>
      </c>
    </row>
    <row r="1990" spans="1:13" x14ac:dyDescent="0.35">
      <c r="A1990">
        <v>11989</v>
      </c>
      <c r="B1990">
        <v>25</v>
      </c>
      <c r="C1990" t="s">
        <v>9</v>
      </c>
      <c r="D1990" t="s">
        <v>12</v>
      </c>
      <c r="E1990" s="2">
        <v>45257</v>
      </c>
      <c r="F1990" s="2">
        <v>46029</v>
      </c>
      <c r="G1990">
        <v>800</v>
      </c>
      <c r="H1990" t="s">
        <v>14</v>
      </c>
      <c r="I1990" t="s">
        <v>16</v>
      </c>
      <c r="J1990">
        <f t="shared" si="125"/>
        <v>9600</v>
      </c>
      <c r="K1990" t="str">
        <f t="shared" si="124"/>
        <v>25-34</v>
      </c>
      <c r="L1990" t="str">
        <f t="shared" ca="1" si="126"/>
        <v>Safe</v>
      </c>
      <c r="M1990" t="str">
        <f t="shared" si="127"/>
        <v>Nov-2023</v>
      </c>
    </row>
    <row r="1991" spans="1:13" x14ac:dyDescent="0.35">
      <c r="A1991">
        <v>11990</v>
      </c>
      <c r="B1991">
        <v>19</v>
      </c>
      <c r="C1991" t="s">
        <v>9</v>
      </c>
      <c r="D1991" t="s">
        <v>13</v>
      </c>
      <c r="E1991" s="2">
        <v>45505</v>
      </c>
      <c r="F1991" s="2">
        <v>45983</v>
      </c>
      <c r="G1991">
        <v>1500</v>
      </c>
      <c r="H1991" t="s">
        <v>15</v>
      </c>
      <c r="I1991" t="s">
        <v>17</v>
      </c>
      <c r="J1991">
        <f t="shared" si="125"/>
        <v>4500</v>
      </c>
      <c r="K1991" t="str">
        <f t="shared" si="124"/>
        <v>18-24</v>
      </c>
      <c r="L1991" t="str">
        <f t="shared" ca="1" si="126"/>
        <v>High Risk</v>
      </c>
      <c r="M1991" t="str">
        <f t="shared" si="127"/>
        <v>Aug-2024</v>
      </c>
    </row>
    <row r="1992" spans="1:13" x14ac:dyDescent="0.35">
      <c r="A1992">
        <v>11991</v>
      </c>
      <c r="B1992">
        <v>25</v>
      </c>
      <c r="C1992" t="s">
        <v>10</v>
      </c>
      <c r="D1992" t="s">
        <v>11</v>
      </c>
      <c r="E1992" s="2">
        <v>45450</v>
      </c>
      <c r="F1992" s="2">
        <v>45928</v>
      </c>
      <c r="G1992">
        <v>1200</v>
      </c>
      <c r="H1992" t="s">
        <v>14</v>
      </c>
      <c r="I1992" t="s">
        <v>17</v>
      </c>
      <c r="J1992">
        <f t="shared" si="125"/>
        <v>1200</v>
      </c>
      <c r="K1992" t="str">
        <f t="shared" si="124"/>
        <v>25-34</v>
      </c>
      <c r="L1992" t="str">
        <f t="shared" ca="1" si="126"/>
        <v>High Risk</v>
      </c>
      <c r="M1992" t="str">
        <f t="shared" si="127"/>
        <v>Jun-2024</v>
      </c>
    </row>
    <row r="1993" spans="1:13" x14ac:dyDescent="0.35">
      <c r="A1993">
        <v>11992</v>
      </c>
      <c r="B1993">
        <v>44</v>
      </c>
      <c r="C1993" t="s">
        <v>9</v>
      </c>
      <c r="D1993" t="s">
        <v>11</v>
      </c>
      <c r="E1993" s="2">
        <v>45773</v>
      </c>
      <c r="F1993" s="2">
        <v>46023</v>
      </c>
      <c r="G1993">
        <v>1200</v>
      </c>
      <c r="H1993" t="s">
        <v>14</v>
      </c>
      <c r="I1993" t="s">
        <v>16</v>
      </c>
      <c r="J1993">
        <f t="shared" si="125"/>
        <v>1200</v>
      </c>
      <c r="K1993" t="str">
        <f t="shared" si="124"/>
        <v>35+</v>
      </c>
      <c r="L1993" t="str">
        <f t="shared" ca="1" si="126"/>
        <v>Safe</v>
      </c>
      <c r="M1993" t="str">
        <f t="shared" si="127"/>
        <v>Apr-2025</v>
      </c>
    </row>
    <row r="1994" spans="1:13" x14ac:dyDescent="0.35">
      <c r="A1994">
        <v>11993</v>
      </c>
      <c r="B1994">
        <v>30</v>
      </c>
      <c r="C1994" t="s">
        <v>10</v>
      </c>
      <c r="D1994" t="s">
        <v>12</v>
      </c>
      <c r="E1994" s="2">
        <v>45659</v>
      </c>
      <c r="F1994" s="2">
        <v>46009</v>
      </c>
      <c r="G1994">
        <v>800</v>
      </c>
      <c r="H1994" t="s">
        <v>14</v>
      </c>
      <c r="I1994" t="s">
        <v>16</v>
      </c>
      <c r="J1994">
        <f t="shared" si="125"/>
        <v>9600</v>
      </c>
      <c r="K1994" t="str">
        <f t="shared" si="124"/>
        <v>25-34</v>
      </c>
      <c r="L1994" t="str">
        <f t="shared" ca="1" si="126"/>
        <v>Safe</v>
      </c>
      <c r="M1994" t="str">
        <f t="shared" si="127"/>
        <v>Jan-2025</v>
      </c>
    </row>
    <row r="1995" spans="1:13" x14ac:dyDescent="0.35">
      <c r="A1995">
        <v>11994</v>
      </c>
      <c r="B1995">
        <v>30</v>
      </c>
      <c r="C1995" t="s">
        <v>9</v>
      </c>
      <c r="D1995" t="s">
        <v>11</v>
      </c>
      <c r="E1995" s="2">
        <v>45641</v>
      </c>
      <c r="F1995" s="2">
        <v>45946</v>
      </c>
      <c r="G1995">
        <v>1200</v>
      </c>
      <c r="H1995" t="s">
        <v>14</v>
      </c>
      <c r="I1995" t="s">
        <v>17</v>
      </c>
      <c r="J1995">
        <f t="shared" si="125"/>
        <v>1200</v>
      </c>
      <c r="K1995" t="str">
        <f t="shared" si="124"/>
        <v>25-34</v>
      </c>
      <c r="L1995" t="str">
        <f t="shared" ca="1" si="126"/>
        <v>High Risk</v>
      </c>
      <c r="M1995" t="str">
        <f t="shared" si="127"/>
        <v>Dec-2024</v>
      </c>
    </row>
    <row r="1996" spans="1:13" x14ac:dyDescent="0.35">
      <c r="A1996">
        <v>11995</v>
      </c>
      <c r="B1996">
        <v>18</v>
      </c>
      <c r="C1996" t="s">
        <v>9</v>
      </c>
      <c r="D1996" t="s">
        <v>11</v>
      </c>
      <c r="E1996" s="2">
        <v>45925</v>
      </c>
      <c r="F1996" s="2">
        <v>46028</v>
      </c>
      <c r="G1996">
        <v>1200</v>
      </c>
      <c r="H1996" t="s">
        <v>14</v>
      </c>
      <c r="I1996" t="s">
        <v>16</v>
      </c>
      <c r="J1996">
        <f t="shared" si="125"/>
        <v>1200</v>
      </c>
      <c r="K1996" t="str">
        <f t="shared" si="124"/>
        <v>18-24</v>
      </c>
      <c r="L1996" t="str">
        <f t="shared" ca="1" si="126"/>
        <v>Safe</v>
      </c>
      <c r="M1996" t="str">
        <f t="shared" si="127"/>
        <v>Sep-2025</v>
      </c>
    </row>
    <row r="1997" spans="1:13" x14ac:dyDescent="0.35">
      <c r="A1997">
        <v>11996</v>
      </c>
      <c r="B1997">
        <v>23</v>
      </c>
      <c r="C1997" t="s">
        <v>10</v>
      </c>
      <c r="D1997" t="s">
        <v>13</v>
      </c>
      <c r="E1997" s="2">
        <v>45379</v>
      </c>
      <c r="F1997" s="2">
        <v>46026</v>
      </c>
      <c r="G1997">
        <v>1000</v>
      </c>
      <c r="H1997" t="s">
        <v>14</v>
      </c>
      <c r="I1997" t="s">
        <v>16</v>
      </c>
      <c r="J1997">
        <f t="shared" si="125"/>
        <v>3000</v>
      </c>
      <c r="K1997" t="str">
        <f t="shared" si="124"/>
        <v>18-24</v>
      </c>
      <c r="L1997" t="str">
        <f t="shared" ca="1" si="126"/>
        <v>Safe</v>
      </c>
      <c r="M1997" t="str">
        <f t="shared" si="127"/>
        <v>Mar-2024</v>
      </c>
    </row>
    <row r="1998" spans="1:13" x14ac:dyDescent="0.35">
      <c r="A1998">
        <v>11997</v>
      </c>
      <c r="B1998">
        <v>41</v>
      </c>
      <c r="C1998" t="s">
        <v>9</v>
      </c>
      <c r="D1998" t="s">
        <v>12</v>
      </c>
      <c r="E1998" s="2">
        <v>45295</v>
      </c>
      <c r="F1998" s="2">
        <v>46022</v>
      </c>
      <c r="G1998">
        <v>1300</v>
      </c>
      <c r="H1998" t="s">
        <v>15</v>
      </c>
      <c r="I1998" t="s">
        <v>16</v>
      </c>
      <c r="J1998">
        <f t="shared" si="125"/>
        <v>15600</v>
      </c>
      <c r="K1998" t="str">
        <f t="shared" si="124"/>
        <v>35+</v>
      </c>
      <c r="L1998" t="str">
        <f t="shared" ca="1" si="126"/>
        <v>Safe</v>
      </c>
      <c r="M1998" t="str">
        <f t="shared" si="127"/>
        <v>Jan-2024</v>
      </c>
    </row>
    <row r="1999" spans="1:13" x14ac:dyDescent="0.35">
      <c r="A1999">
        <v>11998</v>
      </c>
      <c r="B1999">
        <v>36</v>
      </c>
      <c r="C1999" t="s">
        <v>10</v>
      </c>
      <c r="D1999" t="s">
        <v>11</v>
      </c>
      <c r="E1999" s="2">
        <v>45487</v>
      </c>
      <c r="F1999" s="2">
        <v>46017</v>
      </c>
      <c r="G1999">
        <v>1200</v>
      </c>
      <c r="H1999" t="s">
        <v>14</v>
      </c>
      <c r="I1999" t="s">
        <v>16</v>
      </c>
      <c r="J1999">
        <f t="shared" si="125"/>
        <v>1200</v>
      </c>
      <c r="K1999" t="str">
        <f t="shared" si="124"/>
        <v>35+</v>
      </c>
      <c r="L1999" t="str">
        <f t="shared" ca="1" si="126"/>
        <v>Safe</v>
      </c>
      <c r="M1999" t="str">
        <f t="shared" si="127"/>
        <v>Jul-2024</v>
      </c>
    </row>
    <row r="2000" spans="1:13" x14ac:dyDescent="0.35">
      <c r="A2000">
        <v>11999</v>
      </c>
      <c r="B2000">
        <v>33</v>
      </c>
      <c r="C2000" t="s">
        <v>10</v>
      </c>
      <c r="D2000" t="s">
        <v>13</v>
      </c>
      <c r="E2000" s="2">
        <v>45680</v>
      </c>
      <c r="F2000" s="2">
        <v>46029</v>
      </c>
      <c r="G2000">
        <v>1000</v>
      </c>
      <c r="H2000" t="s">
        <v>14</v>
      </c>
      <c r="I2000" t="s">
        <v>16</v>
      </c>
      <c r="J2000">
        <f t="shared" si="125"/>
        <v>3000</v>
      </c>
      <c r="K2000" t="str">
        <f t="shared" si="124"/>
        <v>25-34</v>
      </c>
      <c r="L2000" t="str">
        <f t="shared" ca="1" si="126"/>
        <v>Safe</v>
      </c>
      <c r="M2000" t="str">
        <f t="shared" si="127"/>
        <v>Jan-2025</v>
      </c>
    </row>
    <row r="2001" spans="1:13" x14ac:dyDescent="0.35">
      <c r="A2001">
        <v>12000</v>
      </c>
      <c r="B2001">
        <v>25</v>
      </c>
      <c r="C2001" t="s">
        <v>10</v>
      </c>
      <c r="D2001" t="s">
        <v>11</v>
      </c>
      <c r="E2001" s="2">
        <v>45352</v>
      </c>
      <c r="F2001" s="2">
        <v>46018</v>
      </c>
      <c r="G2001">
        <v>1200</v>
      </c>
      <c r="H2001" t="s">
        <v>14</v>
      </c>
      <c r="I2001" t="s">
        <v>16</v>
      </c>
      <c r="J2001">
        <f t="shared" si="125"/>
        <v>1200</v>
      </c>
      <c r="K2001" t="str">
        <f t="shared" si="124"/>
        <v>25-34</v>
      </c>
      <c r="L2001" t="str">
        <f t="shared" ca="1" si="126"/>
        <v>Safe</v>
      </c>
      <c r="M2001" t="str">
        <f t="shared" si="127"/>
        <v>Mar-2024</v>
      </c>
    </row>
    <row r="2002" spans="1:13" x14ac:dyDescent="0.35">
      <c r="E2002" s="2"/>
      <c r="F2002"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DC38-632B-4293-A417-B47D9FF104A7}">
  <dimension ref="A13:R27"/>
  <sheetViews>
    <sheetView topLeftCell="D11" zoomScale="70" workbookViewId="0">
      <selection activeCell="B25" sqref="B25"/>
    </sheetView>
  </sheetViews>
  <sheetFormatPr defaultRowHeight="14.5" x14ac:dyDescent="0.35"/>
  <cols>
    <col min="1" max="1" width="13.08984375" bestFit="1" customWidth="1"/>
    <col min="2" max="2" width="18.26953125" bestFit="1" customWidth="1"/>
    <col min="4" max="4" width="11.54296875" bestFit="1" customWidth="1"/>
    <col min="5" max="5" width="11.7265625" bestFit="1" customWidth="1"/>
    <col min="17" max="17" width="13.08984375" bestFit="1" customWidth="1"/>
    <col min="18" max="18" width="17.36328125" bestFit="1" customWidth="1"/>
  </cols>
  <sheetData>
    <row r="13" spans="17:18" x14ac:dyDescent="0.35">
      <c r="Q13" s="5" t="s">
        <v>21</v>
      </c>
      <c r="R13" t="s">
        <v>32</v>
      </c>
    </row>
    <row r="14" spans="17:18" x14ac:dyDescent="0.35">
      <c r="Q14" s="6" t="s">
        <v>10</v>
      </c>
      <c r="R14">
        <v>598</v>
      </c>
    </row>
    <row r="15" spans="17:18" x14ac:dyDescent="0.35">
      <c r="Q15" s="6" t="s">
        <v>9</v>
      </c>
      <c r="R15">
        <v>1402</v>
      </c>
    </row>
    <row r="16" spans="17:18" x14ac:dyDescent="0.35">
      <c r="Q16" s="6" t="s">
        <v>22</v>
      </c>
      <c r="R16">
        <v>2000</v>
      </c>
    </row>
    <row r="23" spans="1:5" x14ac:dyDescent="0.35">
      <c r="A23" s="5" t="s">
        <v>21</v>
      </c>
      <c r="B23" t="s">
        <v>29</v>
      </c>
      <c r="D23" t="s">
        <v>19</v>
      </c>
      <c r="E23" t="s">
        <v>6</v>
      </c>
    </row>
    <row r="24" spans="1:5" x14ac:dyDescent="0.35">
      <c r="A24" s="6" t="s">
        <v>24</v>
      </c>
      <c r="B24" s="13">
        <v>4800</v>
      </c>
      <c r="D24" t="str">
        <f>A24</f>
        <v>18-24</v>
      </c>
      <c r="E24">
        <f>GETPIVOTDATA("Monthly_Fee",$A$23,"Group_Stage",A24)</f>
        <v>4800</v>
      </c>
    </row>
    <row r="25" spans="1:5" x14ac:dyDescent="0.35">
      <c r="A25" s="6" t="s">
        <v>25</v>
      </c>
      <c r="B25" s="13">
        <v>10400</v>
      </c>
      <c r="D25" t="str">
        <f t="shared" ref="D25:D26" si="0">A25</f>
        <v>25-34</v>
      </c>
      <c r="E25">
        <f t="shared" ref="E25:E26" si="1">GETPIVOTDATA("Monthly_Fee",$A$23,"Group_Stage",A25)</f>
        <v>10400</v>
      </c>
    </row>
    <row r="26" spans="1:5" x14ac:dyDescent="0.35">
      <c r="A26" s="6" t="s">
        <v>26</v>
      </c>
      <c r="B26" s="13">
        <v>15200</v>
      </c>
      <c r="D26" t="str">
        <f t="shared" si="0"/>
        <v>35+</v>
      </c>
      <c r="E26">
        <f t="shared" si="1"/>
        <v>15200</v>
      </c>
    </row>
    <row r="27" spans="1:5" x14ac:dyDescent="0.35">
      <c r="A27" s="6" t="s">
        <v>22</v>
      </c>
      <c r="B27" s="13">
        <v>30400</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77821-B967-46C9-98D9-E717C35B0538}">
  <dimension ref="M4"/>
  <sheetViews>
    <sheetView showGridLines="0" tabSelected="1" topLeftCell="J4" zoomScale="81" zoomScaleNormal="85" workbookViewId="0">
      <selection activeCell="M21" sqref="M21"/>
    </sheetView>
  </sheetViews>
  <sheetFormatPr defaultRowHeight="14.5" x14ac:dyDescent="0.35"/>
  <cols>
    <col min="1" max="16384" width="8.7265625" style="11"/>
  </cols>
  <sheetData>
    <row r="4" spans="13:13" ht="18" x14ac:dyDescent="0.55000000000000004">
      <c r="M4"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Best Plan</vt:lpstr>
      <vt:lpstr>male and female</vt:lpstr>
      <vt:lpstr>Membership by age group</vt:lpstr>
      <vt:lpstr>Revenue by plan type</vt:lpstr>
      <vt:lpstr>PT_Opted vs not opted</vt:lpstr>
      <vt:lpstr>Data</vt:lpstr>
      <vt:lpstr>Revenue by age group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adityagnihotri1711@gmail.com</cp:lastModifiedBy>
  <dcterms:created xsi:type="dcterms:W3CDTF">2026-01-11T04:41:38Z</dcterms:created>
  <dcterms:modified xsi:type="dcterms:W3CDTF">2026-01-16T05:22:00Z</dcterms:modified>
</cp:coreProperties>
</file>